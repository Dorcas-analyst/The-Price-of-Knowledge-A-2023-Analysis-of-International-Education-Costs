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dorca\OneDrive\Desktop\VEPHLA TASKS\"/>
    </mc:Choice>
  </mc:AlternateContent>
  <xr:revisionPtr revIDLastSave="0" documentId="13_ncr:1_{119B647A-87F4-44AF-A34F-5AD351DCFA52}" xr6:coauthVersionLast="47" xr6:coauthVersionMax="47" xr10:uidLastSave="{00000000-0000-0000-0000-000000000000}"/>
  <bookViews>
    <workbookView xWindow="-120" yWindow="-120" windowWidth="20730" windowHeight="11160" tabRatio="605" firstSheet="2" activeTab="3" xr2:uid="{67E4AE13-63D8-46F1-9B38-9DBC5C9D7926}"/>
  </bookViews>
  <sheets>
    <sheet name="Original Dataset" sheetId="14" r:id="rId1"/>
    <sheet name="International_Education_Costs" sheetId="1" r:id="rId2"/>
    <sheet name="Pre-analysis board" sheetId="3" r:id="rId3"/>
    <sheet name="Dashboard" sheetId="12" r:id="rId4"/>
    <sheet name="Post Analysis Board" sheetId="13" r:id="rId5"/>
    <sheet name="Average Tuition fee By Living" sheetId="7" r:id="rId6"/>
    <sheet name="Top 10 programs by totalcost" sheetId="8" r:id="rId7"/>
    <sheet name="Country by living cost index" sheetId="9" r:id="rId8"/>
    <sheet name="Country byVisa_fee" sheetId="11" r:id="rId9"/>
    <sheet name="Program level by total cost" sheetId="10" r:id="rId10"/>
    <sheet name="Rent &amp; Insurance By Country" sheetId="6" r:id="rId11"/>
  </sheets>
  <definedNames>
    <definedName name="Slicer_Affordability_marker">#N/A</definedName>
    <definedName name="Slicer_City">#N/A</definedName>
    <definedName name="Slicer_Year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N3" i="1"/>
  <c r="G3" i="1"/>
  <c r="P908" i="1"/>
  <c r="Q908" i="1" s="1"/>
  <c r="O908" i="1"/>
  <c r="N908" i="1"/>
  <c r="G908" i="1"/>
  <c r="Q907" i="1"/>
  <c r="O907" i="1"/>
  <c r="P907" i="1" s="1"/>
  <c r="N907" i="1"/>
  <c r="G907" i="1"/>
  <c r="O906" i="1"/>
  <c r="P906" i="1" s="1"/>
  <c r="Q906" i="1" s="1"/>
  <c r="N906" i="1"/>
  <c r="G906" i="1"/>
  <c r="O905" i="1"/>
  <c r="P905" i="1" s="1"/>
  <c r="Q905" i="1" s="1"/>
  <c r="N905" i="1"/>
  <c r="G905" i="1"/>
  <c r="O904" i="1"/>
  <c r="P904" i="1" s="1"/>
  <c r="Q904" i="1" s="1"/>
  <c r="N904" i="1"/>
  <c r="G904" i="1"/>
  <c r="O903" i="1"/>
  <c r="P903" i="1" s="1"/>
  <c r="Q903" i="1" s="1"/>
  <c r="N903" i="1"/>
  <c r="G903" i="1"/>
  <c r="O902" i="1"/>
  <c r="P902" i="1" s="1"/>
  <c r="Q902" i="1" s="1"/>
  <c r="N902" i="1"/>
  <c r="G902" i="1"/>
  <c r="O901" i="1"/>
  <c r="P901" i="1" s="1"/>
  <c r="Q901" i="1" s="1"/>
  <c r="N901" i="1"/>
  <c r="G901" i="1"/>
  <c r="O900" i="1"/>
  <c r="P900" i="1" s="1"/>
  <c r="Q900" i="1" s="1"/>
  <c r="N900" i="1"/>
  <c r="G900" i="1"/>
  <c r="O899" i="1"/>
  <c r="P899" i="1" s="1"/>
  <c r="Q899" i="1" s="1"/>
  <c r="N899" i="1"/>
  <c r="G899" i="1"/>
  <c r="O898" i="1"/>
  <c r="P898" i="1" s="1"/>
  <c r="Q898" i="1" s="1"/>
  <c r="N898" i="1"/>
  <c r="G898" i="1"/>
  <c r="P897" i="1"/>
  <c r="Q897" i="1" s="1"/>
  <c r="O897" i="1"/>
  <c r="N897" i="1"/>
  <c r="G897" i="1"/>
  <c r="O896" i="1"/>
  <c r="P896" i="1" s="1"/>
  <c r="Q896" i="1" s="1"/>
  <c r="N896" i="1"/>
  <c r="G896" i="1"/>
  <c r="O895" i="1"/>
  <c r="P895" i="1" s="1"/>
  <c r="Q895" i="1" s="1"/>
  <c r="N895" i="1"/>
  <c r="G895" i="1"/>
  <c r="O894" i="1"/>
  <c r="P894" i="1" s="1"/>
  <c r="Q894" i="1" s="1"/>
  <c r="N894" i="1"/>
  <c r="G894" i="1"/>
  <c r="O893" i="1"/>
  <c r="P893" i="1" s="1"/>
  <c r="Q893" i="1" s="1"/>
  <c r="N893" i="1"/>
  <c r="G893" i="1"/>
  <c r="O892" i="1"/>
  <c r="P892" i="1" s="1"/>
  <c r="Q892" i="1" s="1"/>
  <c r="N892" i="1"/>
  <c r="G892" i="1"/>
  <c r="O891" i="1"/>
  <c r="P891" i="1" s="1"/>
  <c r="Q891" i="1" s="1"/>
  <c r="N891" i="1"/>
  <c r="G891" i="1"/>
  <c r="O890" i="1"/>
  <c r="P890" i="1" s="1"/>
  <c r="Q890" i="1" s="1"/>
  <c r="N890" i="1"/>
  <c r="G890" i="1"/>
  <c r="O889" i="1"/>
  <c r="P889" i="1" s="1"/>
  <c r="Q889" i="1" s="1"/>
  <c r="N889" i="1"/>
  <c r="G889" i="1"/>
  <c r="O888" i="1"/>
  <c r="P888" i="1" s="1"/>
  <c r="Q888" i="1" s="1"/>
  <c r="N888" i="1"/>
  <c r="G888" i="1"/>
  <c r="O887" i="1"/>
  <c r="P887" i="1" s="1"/>
  <c r="Q887" i="1" s="1"/>
  <c r="N887" i="1"/>
  <c r="G887" i="1"/>
  <c r="O886" i="1"/>
  <c r="P886" i="1" s="1"/>
  <c r="Q886" i="1" s="1"/>
  <c r="N886" i="1"/>
  <c r="G886" i="1"/>
  <c r="P885" i="1"/>
  <c r="Q885" i="1" s="1"/>
  <c r="O885" i="1"/>
  <c r="N885" i="1"/>
  <c r="G885" i="1"/>
  <c r="O884" i="1"/>
  <c r="P884" i="1" s="1"/>
  <c r="Q884" i="1" s="1"/>
  <c r="N884" i="1"/>
  <c r="G884" i="1"/>
  <c r="O883" i="1"/>
  <c r="P883" i="1" s="1"/>
  <c r="Q883" i="1" s="1"/>
  <c r="N883" i="1"/>
  <c r="G883" i="1"/>
  <c r="O882" i="1"/>
  <c r="P882" i="1" s="1"/>
  <c r="Q882" i="1" s="1"/>
  <c r="N882" i="1"/>
  <c r="G882" i="1"/>
  <c r="O881" i="1"/>
  <c r="P881" i="1" s="1"/>
  <c r="Q881" i="1" s="1"/>
  <c r="N881" i="1"/>
  <c r="G881" i="1"/>
  <c r="O880" i="1"/>
  <c r="P880" i="1" s="1"/>
  <c r="Q880" i="1" s="1"/>
  <c r="N880" i="1"/>
  <c r="G880" i="1"/>
  <c r="O879" i="1"/>
  <c r="P879" i="1" s="1"/>
  <c r="Q879" i="1" s="1"/>
  <c r="N879" i="1"/>
  <c r="G879" i="1"/>
  <c r="O878" i="1"/>
  <c r="P878" i="1" s="1"/>
  <c r="Q878" i="1" s="1"/>
  <c r="N878" i="1"/>
  <c r="G878" i="1"/>
  <c r="O877" i="1"/>
  <c r="P877" i="1" s="1"/>
  <c r="Q877" i="1" s="1"/>
  <c r="N877" i="1"/>
  <c r="G877" i="1"/>
  <c r="O876" i="1"/>
  <c r="P876" i="1" s="1"/>
  <c r="Q876" i="1" s="1"/>
  <c r="N876" i="1"/>
  <c r="G876" i="1"/>
  <c r="O875" i="1"/>
  <c r="P875" i="1" s="1"/>
  <c r="Q875" i="1" s="1"/>
  <c r="N875" i="1"/>
  <c r="G875" i="1"/>
  <c r="O874" i="1"/>
  <c r="P874" i="1" s="1"/>
  <c r="Q874" i="1" s="1"/>
  <c r="N874" i="1"/>
  <c r="G874" i="1"/>
  <c r="O873" i="1"/>
  <c r="P873" i="1" s="1"/>
  <c r="Q873" i="1" s="1"/>
  <c r="N873" i="1"/>
  <c r="G873" i="1"/>
  <c r="O872" i="1"/>
  <c r="P872" i="1" s="1"/>
  <c r="Q872" i="1" s="1"/>
  <c r="N872" i="1"/>
  <c r="G872" i="1"/>
  <c r="O871" i="1"/>
  <c r="P871" i="1" s="1"/>
  <c r="Q871" i="1" s="1"/>
  <c r="N871" i="1"/>
  <c r="G871" i="1"/>
  <c r="O870" i="1"/>
  <c r="P870" i="1" s="1"/>
  <c r="Q870" i="1" s="1"/>
  <c r="N870" i="1"/>
  <c r="G870" i="1"/>
  <c r="O869" i="1"/>
  <c r="P869" i="1" s="1"/>
  <c r="Q869" i="1" s="1"/>
  <c r="N869" i="1"/>
  <c r="G869" i="1"/>
  <c r="O868" i="1"/>
  <c r="P868" i="1" s="1"/>
  <c r="Q868" i="1" s="1"/>
  <c r="N868" i="1"/>
  <c r="G868" i="1"/>
  <c r="O867" i="1"/>
  <c r="P867" i="1" s="1"/>
  <c r="Q867" i="1" s="1"/>
  <c r="N867" i="1"/>
  <c r="G867" i="1"/>
  <c r="O866" i="1"/>
  <c r="P866" i="1" s="1"/>
  <c r="Q866" i="1" s="1"/>
  <c r="N866" i="1"/>
  <c r="G866" i="1"/>
  <c r="P865" i="1"/>
  <c r="Q865" i="1" s="1"/>
  <c r="O865" i="1"/>
  <c r="N865" i="1"/>
  <c r="G865" i="1"/>
  <c r="O864" i="1"/>
  <c r="P864" i="1" s="1"/>
  <c r="Q864" i="1" s="1"/>
  <c r="N864" i="1"/>
  <c r="G864" i="1"/>
  <c r="O863" i="1"/>
  <c r="P863" i="1" s="1"/>
  <c r="Q863" i="1" s="1"/>
  <c r="N863" i="1"/>
  <c r="G863" i="1"/>
  <c r="O862" i="1"/>
  <c r="P862" i="1" s="1"/>
  <c r="Q862" i="1" s="1"/>
  <c r="N862" i="1"/>
  <c r="G862" i="1"/>
  <c r="O861" i="1"/>
  <c r="P861" i="1" s="1"/>
  <c r="Q861" i="1" s="1"/>
  <c r="N861" i="1"/>
  <c r="G861" i="1"/>
  <c r="O860" i="1"/>
  <c r="P860" i="1" s="1"/>
  <c r="Q860" i="1" s="1"/>
  <c r="N860" i="1"/>
  <c r="G860" i="1"/>
  <c r="O859" i="1"/>
  <c r="P859" i="1" s="1"/>
  <c r="Q859" i="1" s="1"/>
  <c r="N859" i="1"/>
  <c r="G859" i="1"/>
  <c r="O858" i="1"/>
  <c r="P858" i="1" s="1"/>
  <c r="Q858" i="1" s="1"/>
  <c r="N858" i="1"/>
  <c r="G858" i="1"/>
  <c r="O857" i="1"/>
  <c r="P857" i="1" s="1"/>
  <c r="Q857" i="1" s="1"/>
  <c r="N857" i="1"/>
  <c r="G857" i="1"/>
  <c r="O856" i="1"/>
  <c r="P856" i="1" s="1"/>
  <c r="Q856" i="1" s="1"/>
  <c r="N856" i="1"/>
  <c r="G856" i="1"/>
  <c r="O855" i="1"/>
  <c r="P855" i="1" s="1"/>
  <c r="Q855" i="1" s="1"/>
  <c r="N855" i="1"/>
  <c r="G855" i="1"/>
  <c r="O854" i="1"/>
  <c r="P854" i="1" s="1"/>
  <c r="Q854" i="1" s="1"/>
  <c r="N854" i="1"/>
  <c r="G854" i="1"/>
  <c r="O853" i="1"/>
  <c r="P853" i="1" s="1"/>
  <c r="Q853" i="1" s="1"/>
  <c r="N853" i="1"/>
  <c r="G853" i="1"/>
  <c r="O852" i="1"/>
  <c r="P852" i="1" s="1"/>
  <c r="Q852" i="1" s="1"/>
  <c r="N852" i="1"/>
  <c r="G852" i="1"/>
  <c r="O851" i="1"/>
  <c r="P851" i="1" s="1"/>
  <c r="Q851" i="1" s="1"/>
  <c r="N851" i="1"/>
  <c r="G851" i="1"/>
  <c r="O850" i="1"/>
  <c r="P850" i="1" s="1"/>
  <c r="Q850" i="1" s="1"/>
  <c r="N850" i="1"/>
  <c r="G850" i="1"/>
  <c r="O849" i="1"/>
  <c r="P849" i="1" s="1"/>
  <c r="Q849" i="1" s="1"/>
  <c r="N849" i="1"/>
  <c r="G849" i="1"/>
  <c r="O848" i="1"/>
  <c r="P848" i="1" s="1"/>
  <c r="Q848" i="1" s="1"/>
  <c r="N848" i="1"/>
  <c r="G848" i="1"/>
  <c r="O847" i="1"/>
  <c r="P847" i="1" s="1"/>
  <c r="Q847" i="1" s="1"/>
  <c r="N847" i="1"/>
  <c r="G847" i="1"/>
  <c r="O846" i="1"/>
  <c r="P846" i="1" s="1"/>
  <c r="Q846" i="1" s="1"/>
  <c r="N846" i="1"/>
  <c r="G846" i="1"/>
  <c r="O845" i="1"/>
  <c r="P845" i="1" s="1"/>
  <c r="Q845" i="1" s="1"/>
  <c r="N845" i="1"/>
  <c r="G845" i="1"/>
  <c r="O844" i="1"/>
  <c r="P844" i="1" s="1"/>
  <c r="Q844" i="1" s="1"/>
  <c r="N844" i="1"/>
  <c r="G844" i="1"/>
  <c r="P843" i="1"/>
  <c r="Q843" i="1" s="1"/>
  <c r="O843" i="1"/>
  <c r="N843" i="1"/>
  <c r="G843" i="1"/>
  <c r="Q842" i="1"/>
  <c r="O842" i="1"/>
  <c r="P842" i="1" s="1"/>
  <c r="N842" i="1"/>
  <c r="G842" i="1"/>
  <c r="P841" i="1"/>
  <c r="Q841" i="1" s="1"/>
  <c r="O841" i="1"/>
  <c r="N841" i="1"/>
  <c r="G841" i="1"/>
  <c r="O840" i="1"/>
  <c r="P840" i="1" s="1"/>
  <c r="Q840" i="1" s="1"/>
  <c r="N840" i="1"/>
  <c r="G840" i="1"/>
  <c r="O839" i="1"/>
  <c r="P839" i="1" s="1"/>
  <c r="Q839" i="1" s="1"/>
  <c r="N839" i="1"/>
  <c r="G839" i="1"/>
  <c r="O838" i="1"/>
  <c r="P838" i="1" s="1"/>
  <c r="Q838" i="1" s="1"/>
  <c r="N838" i="1"/>
  <c r="G838" i="1"/>
  <c r="O837" i="1"/>
  <c r="P837" i="1" s="1"/>
  <c r="Q837" i="1" s="1"/>
  <c r="N837" i="1"/>
  <c r="G837" i="1"/>
  <c r="O836" i="1"/>
  <c r="P836" i="1" s="1"/>
  <c r="Q836" i="1" s="1"/>
  <c r="N836" i="1"/>
  <c r="G836" i="1"/>
  <c r="O835" i="1"/>
  <c r="P835" i="1" s="1"/>
  <c r="Q835" i="1" s="1"/>
  <c r="N835" i="1"/>
  <c r="G835" i="1"/>
  <c r="O834" i="1"/>
  <c r="P834" i="1" s="1"/>
  <c r="Q834" i="1" s="1"/>
  <c r="N834" i="1"/>
  <c r="G834" i="1"/>
  <c r="O833" i="1"/>
  <c r="P833" i="1" s="1"/>
  <c r="Q833" i="1" s="1"/>
  <c r="N833" i="1"/>
  <c r="G833" i="1"/>
  <c r="O832" i="1"/>
  <c r="P832" i="1" s="1"/>
  <c r="Q832" i="1" s="1"/>
  <c r="N832" i="1"/>
  <c r="G832" i="1"/>
  <c r="O831" i="1"/>
  <c r="P831" i="1" s="1"/>
  <c r="Q831" i="1" s="1"/>
  <c r="N831" i="1"/>
  <c r="G831" i="1"/>
  <c r="O830" i="1"/>
  <c r="P830" i="1" s="1"/>
  <c r="Q830" i="1" s="1"/>
  <c r="N830" i="1"/>
  <c r="G830" i="1"/>
  <c r="O829" i="1"/>
  <c r="P829" i="1" s="1"/>
  <c r="Q829" i="1" s="1"/>
  <c r="N829" i="1"/>
  <c r="G829" i="1"/>
  <c r="O828" i="1"/>
  <c r="P828" i="1" s="1"/>
  <c r="Q828" i="1" s="1"/>
  <c r="N828" i="1"/>
  <c r="G828" i="1"/>
  <c r="O827" i="1"/>
  <c r="P827" i="1" s="1"/>
  <c r="Q827" i="1" s="1"/>
  <c r="N827" i="1"/>
  <c r="G827" i="1"/>
  <c r="O826" i="1"/>
  <c r="P826" i="1" s="1"/>
  <c r="Q826" i="1" s="1"/>
  <c r="N826" i="1"/>
  <c r="G826" i="1"/>
  <c r="O825" i="1"/>
  <c r="P825" i="1" s="1"/>
  <c r="Q825" i="1" s="1"/>
  <c r="N825" i="1"/>
  <c r="G825" i="1"/>
  <c r="O824" i="1"/>
  <c r="P824" i="1" s="1"/>
  <c r="Q824" i="1" s="1"/>
  <c r="N824" i="1"/>
  <c r="G824" i="1"/>
  <c r="P823" i="1"/>
  <c r="Q823" i="1" s="1"/>
  <c r="O823" i="1"/>
  <c r="N823" i="1"/>
  <c r="G823" i="1"/>
  <c r="O822" i="1"/>
  <c r="P822" i="1" s="1"/>
  <c r="Q822" i="1" s="1"/>
  <c r="N822" i="1"/>
  <c r="G822" i="1"/>
  <c r="O821" i="1"/>
  <c r="P821" i="1" s="1"/>
  <c r="Q821" i="1" s="1"/>
  <c r="N821" i="1"/>
  <c r="G821" i="1"/>
  <c r="O820" i="1"/>
  <c r="P820" i="1" s="1"/>
  <c r="Q820" i="1" s="1"/>
  <c r="N820" i="1"/>
  <c r="G820" i="1"/>
  <c r="O819" i="1"/>
  <c r="P819" i="1" s="1"/>
  <c r="Q819" i="1" s="1"/>
  <c r="N819" i="1"/>
  <c r="G819" i="1"/>
  <c r="O818" i="1"/>
  <c r="P818" i="1" s="1"/>
  <c r="Q818" i="1" s="1"/>
  <c r="N818" i="1"/>
  <c r="G818" i="1"/>
  <c r="O817" i="1"/>
  <c r="P817" i="1" s="1"/>
  <c r="Q817" i="1" s="1"/>
  <c r="N817" i="1"/>
  <c r="G817" i="1"/>
  <c r="O816" i="1"/>
  <c r="P816" i="1" s="1"/>
  <c r="Q816" i="1" s="1"/>
  <c r="N816" i="1"/>
  <c r="G816" i="1"/>
  <c r="O815" i="1"/>
  <c r="P815" i="1" s="1"/>
  <c r="Q815" i="1" s="1"/>
  <c r="N815" i="1"/>
  <c r="G815" i="1"/>
  <c r="O814" i="1"/>
  <c r="P814" i="1" s="1"/>
  <c r="Q814" i="1" s="1"/>
  <c r="N814" i="1"/>
  <c r="G814" i="1"/>
  <c r="O813" i="1"/>
  <c r="P813" i="1" s="1"/>
  <c r="Q813" i="1" s="1"/>
  <c r="N813" i="1"/>
  <c r="G813" i="1"/>
  <c r="O812" i="1"/>
  <c r="P812" i="1" s="1"/>
  <c r="Q812" i="1" s="1"/>
  <c r="N812" i="1"/>
  <c r="G812" i="1"/>
  <c r="O811" i="1"/>
  <c r="P811" i="1" s="1"/>
  <c r="Q811" i="1" s="1"/>
  <c r="N811" i="1"/>
  <c r="G811" i="1"/>
  <c r="O810" i="1"/>
  <c r="P810" i="1" s="1"/>
  <c r="Q810" i="1" s="1"/>
  <c r="N810" i="1"/>
  <c r="G810" i="1"/>
  <c r="O809" i="1"/>
  <c r="P809" i="1" s="1"/>
  <c r="Q809" i="1" s="1"/>
  <c r="N809" i="1"/>
  <c r="G809" i="1"/>
  <c r="O808" i="1"/>
  <c r="P808" i="1" s="1"/>
  <c r="Q808" i="1" s="1"/>
  <c r="N808" i="1"/>
  <c r="G808" i="1"/>
  <c r="P807" i="1"/>
  <c r="Q807" i="1" s="1"/>
  <c r="O807" i="1"/>
  <c r="N807" i="1"/>
  <c r="G807" i="1"/>
  <c r="O806" i="1"/>
  <c r="P806" i="1" s="1"/>
  <c r="Q806" i="1" s="1"/>
  <c r="N806" i="1"/>
  <c r="G806" i="1"/>
  <c r="O805" i="1"/>
  <c r="P805" i="1" s="1"/>
  <c r="Q805" i="1" s="1"/>
  <c r="N805" i="1"/>
  <c r="G805" i="1"/>
  <c r="O804" i="1"/>
  <c r="P804" i="1" s="1"/>
  <c r="Q804" i="1" s="1"/>
  <c r="N804" i="1"/>
  <c r="G804" i="1"/>
  <c r="O803" i="1"/>
  <c r="P803" i="1" s="1"/>
  <c r="Q803" i="1" s="1"/>
  <c r="N803" i="1"/>
  <c r="G803" i="1"/>
  <c r="O802" i="1"/>
  <c r="P802" i="1" s="1"/>
  <c r="Q802" i="1" s="1"/>
  <c r="N802" i="1"/>
  <c r="G802" i="1"/>
  <c r="P801" i="1"/>
  <c r="Q801" i="1" s="1"/>
  <c r="O801" i="1"/>
  <c r="N801" i="1"/>
  <c r="G801" i="1"/>
  <c r="O800" i="1"/>
  <c r="P800" i="1" s="1"/>
  <c r="Q800" i="1" s="1"/>
  <c r="N800" i="1"/>
  <c r="G800" i="1"/>
  <c r="O799" i="1"/>
  <c r="P799" i="1" s="1"/>
  <c r="Q799" i="1" s="1"/>
  <c r="N799" i="1"/>
  <c r="G799" i="1"/>
  <c r="O798" i="1"/>
  <c r="P798" i="1" s="1"/>
  <c r="Q798" i="1" s="1"/>
  <c r="N798" i="1"/>
  <c r="G798" i="1"/>
  <c r="O797" i="1"/>
  <c r="P797" i="1" s="1"/>
  <c r="Q797" i="1" s="1"/>
  <c r="N797" i="1"/>
  <c r="G797" i="1"/>
  <c r="O796" i="1"/>
  <c r="P796" i="1" s="1"/>
  <c r="Q796" i="1" s="1"/>
  <c r="N796" i="1"/>
  <c r="G796" i="1"/>
  <c r="O795" i="1"/>
  <c r="P795" i="1" s="1"/>
  <c r="Q795" i="1" s="1"/>
  <c r="N795" i="1"/>
  <c r="G795" i="1"/>
  <c r="O794" i="1"/>
  <c r="P794" i="1" s="1"/>
  <c r="Q794" i="1" s="1"/>
  <c r="N794" i="1"/>
  <c r="G794" i="1"/>
  <c r="O793" i="1"/>
  <c r="P793" i="1" s="1"/>
  <c r="Q793" i="1" s="1"/>
  <c r="N793" i="1"/>
  <c r="G793" i="1"/>
  <c r="O792" i="1"/>
  <c r="P792" i="1" s="1"/>
  <c r="Q792" i="1" s="1"/>
  <c r="N792" i="1"/>
  <c r="G792" i="1"/>
  <c r="O791" i="1"/>
  <c r="P791" i="1" s="1"/>
  <c r="Q791" i="1" s="1"/>
  <c r="N791" i="1"/>
  <c r="G791" i="1"/>
  <c r="O790" i="1"/>
  <c r="P790" i="1" s="1"/>
  <c r="Q790" i="1" s="1"/>
  <c r="N790" i="1"/>
  <c r="G790" i="1"/>
  <c r="O789" i="1"/>
  <c r="P789" i="1" s="1"/>
  <c r="Q789" i="1" s="1"/>
  <c r="N789" i="1"/>
  <c r="G789" i="1"/>
  <c r="O788" i="1"/>
  <c r="P788" i="1" s="1"/>
  <c r="Q788" i="1" s="1"/>
  <c r="N788" i="1"/>
  <c r="G788" i="1"/>
  <c r="P787" i="1"/>
  <c r="Q787" i="1" s="1"/>
  <c r="O787" i="1"/>
  <c r="N787" i="1"/>
  <c r="G787" i="1"/>
  <c r="O786" i="1"/>
  <c r="P786" i="1" s="1"/>
  <c r="Q786" i="1" s="1"/>
  <c r="N786" i="1"/>
  <c r="G786" i="1"/>
  <c r="O785" i="1"/>
  <c r="P785" i="1" s="1"/>
  <c r="Q785" i="1" s="1"/>
  <c r="N785" i="1"/>
  <c r="G785" i="1"/>
  <c r="O784" i="1"/>
  <c r="P784" i="1" s="1"/>
  <c r="Q784" i="1" s="1"/>
  <c r="N784" i="1"/>
  <c r="G784" i="1"/>
  <c r="O783" i="1"/>
  <c r="P783" i="1" s="1"/>
  <c r="Q783" i="1" s="1"/>
  <c r="N783" i="1"/>
  <c r="G783" i="1"/>
  <c r="O782" i="1"/>
  <c r="P782" i="1" s="1"/>
  <c r="Q782" i="1" s="1"/>
  <c r="N782" i="1"/>
  <c r="G782" i="1"/>
  <c r="O781" i="1"/>
  <c r="P781" i="1" s="1"/>
  <c r="Q781" i="1" s="1"/>
  <c r="N781" i="1"/>
  <c r="G781" i="1"/>
  <c r="O780" i="1"/>
  <c r="P780" i="1" s="1"/>
  <c r="Q780" i="1" s="1"/>
  <c r="N780" i="1"/>
  <c r="G780" i="1"/>
  <c r="P779" i="1"/>
  <c r="Q779" i="1" s="1"/>
  <c r="O779" i="1"/>
  <c r="N779" i="1"/>
  <c r="G779" i="1"/>
  <c r="Q778" i="1"/>
  <c r="O778" i="1"/>
  <c r="P778" i="1" s="1"/>
  <c r="N778" i="1"/>
  <c r="G778" i="1"/>
  <c r="P777" i="1"/>
  <c r="Q777" i="1" s="1"/>
  <c r="O777" i="1"/>
  <c r="N777" i="1"/>
  <c r="G777" i="1"/>
  <c r="O776" i="1"/>
  <c r="P776" i="1" s="1"/>
  <c r="Q776" i="1" s="1"/>
  <c r="N776" i="1"/>
  <c r="G776" i="1"/>
  <c r="O775" i="1"/>
  <c r="P775" i="1" s="1"/>
  <c r="Q775" i="1" s="1"/>
  <c r="N775" i="1"/>
  <c r="G775" i="1"/>
  <c r="O774" i="1"/>
  <c r="P774" i="1" s="1"/>
  <c r="Q774" i="1" s="1"/>
  <c r="N774" i="1"/>
  <c r="G774" i="1"/>
  <c r="O773" i="1"/>
  <c r="P773" i="1" s="1"/>
  <c r="Q773" i="1" s="1"/>
  <c r="N773" i="1"/>
  <c r="G773" i="1"/>
  <c r="O772" i="1"/>
  <c r="P772" i="1" s="1"/>
  <c r="Q772" i="1" s="1"/>
  <c r="N772" i="1"/>
  <c r="G772" i="1"/>
  <c r="P771" i="1"/>
  <c r="Q771" i="1" s="1"/>
  <c r="O771" i="1"/>
  <c r="N771" i="1"/>
  <c r="G771" i="1"/>
  <c r="O770" i="1"/>
  <c r="P770" i="1" s="1"/>
  <c r="Q770" i="1" s="1"/>
  <c r="N770" i="1"/>
  <c r="G770" i="1"/>
  <c r="O769" i="1"/>
  <c r="P769" i="1" s="1"/>
  <c r="Q769" i="1" s="1"/>
  <c r="N769" i="1"/>
  <c r="G769" i="1"/>
  <c r="O768" i="1"/>
  <c r="P768" i="1" s="1"/>
  <c r="Q768" i="1" s="1"/>
  <c r="N768" i="1"/>
  <c r="G768" i="1"/>
  <c r="O767" i="1"/>
  <c r="P767" i="1" s="1"/>
  <c r="Q767" i="1" s="1"/>
  <c r="N767" i="1"/>
  <c r="G767" i="1"/>
  <c r="O766" i="1"/>
  <c r="P766" i="1" s="1"/>
  <c r="Q766" i="1" s="1"/>
  <c r="N766" i="1"/>
  <c r="G766" i="1"/>
  <c r="O765" i="1"/>
  <c r="P765" i="1" s="1"/>
  <c r="Q765" i="1" s="1"/>
  <c r="N765" i="1"/>
  <c r="G765" i="1"/>
  <c r="O764" i="1"/>
  <c r="P764" i="1" s="1"/>
  <c r="Q764" i="1" s="1"/>
  <c r="N764" i="1"/>
  <c r="G764" i="1"/>
  <c r="O763" i="1"/>
  <c r="P763" i="1" s="1"/>
  <c r="Q763" i="1" s="1"/>
  <c r="N763" i="1"/>
  <c r="G763" i="1"/>
  <c r="O762" i="1"/>
  <c r="P762" i="1" s="1"/>
  <c r="Q762" i="1" s="1"/>
  <c r="N762" i="1"/>
  <c r="G762" i="1"/>
  <c r="O761" i="1"/>
  <c r="P761" i="1" s="1"/>
  <c r="Q761" i="1" s="1"/>
  <c r="N761" i="1"/>
  <c r="G761" i="1"/>
  <c r="O760" i="1"/>
  <c r="P760" i="1" s="1"/>
  <c r="Q760" i="1" s="1"/>
  <c r="N760" i="1"/>
  <c r="G760" i="1"/>
  <c r="O759" i="1"/>
  <c r="P759" i="1" s="1"/>
  <c r="Q759" i="1" s="1"/>
  <c r="N759" i="1"/>
  <c r="G759" i="1"/>
  <c r="O758" i="1"/>
  <c r="P758" i="1" s="1"/>
  <c r="Q758" i="1" s="1"/>
  <c r="N758" i="1"/>
  <c r="G758" i="1"/>
  <c r="O757" i="1"/>
  <c r="P757" i="1" s="1"/>
  <c r="Q757" i="1" s="1"/>
  <c r="N757" i="1"/>
  <c r="G757" i="1"/>
  <c r="O756" i="1"/>
  <c r="P756" i="1" s="1"/>
  <c r="Q756" i="1" s="1"/>
  <c r="N756" i="1"/>
  <c r="G756" i="1"/>
  <c r="P755" i="1"/>
  <c r="Q755" i="1" s="1"/>
  <c r="O755" i="1"/>
  <c r="N755" i="1"/>
  <c r="G755" i="1"/>
  <c r="O754" i="1"/>
  <c r="P754" i="1" s="1"/>
  <c r="Q754" i="1" s="1"/>
  <c r="N754" i="1"/>
  <c r="G754" i="1"/>
  <c r="O753" i="1"/>
  <c r="P753" i="1" s="1"/>
  <c r="Q753" i="1" s="1"/>
  <c r="N753" i="1"/>
  <c r="G753" i="1"/>
  <c r="O752" i="1"/>
  <c r="P752" i="1" s="1"/>
  <c r="Q752" i="1" s="1"/>
  <c r="N752" i="1"/>
  <c r="G752" i="1"/>
  <c r="O751" i="1"/>
  <c r="P751" i="1" s="1"/>
  <c r="Q751" i="1" s="1"/>
  <c r="N751" i="1"/>
  <c r="G751" i="1"/>
  <c r="O750" i="1"/>
  <c r="P750" i="1" s="1"/>
  <c r="Q750" i="1" s="1"/>
  <c r="N750" i="1"/>
  <c r="G750" i="1"/>
  <c r="P749" i="1"/>
  <c r="Q749" i="1" s="1"/>
  <c r="O749" i="1"/>
  <c r="N749" i="1"/>
  <c r="G749" i="1"/>
  <c r="O748" i="1"/>
  <c r="P748" i="1" s="1"/>
  <c r="Q748" i="1" s="1"/>
  <c r="N748" i="1"/>
  <c r="G748" i="1"/>
  <c r="O747" i="1"/>
  <c r="P747" i="1" s="1"/>
  <c r="Q747" i="1" s="1"/>
  <c r="N747" i="1"/>
  <c r="G747" i="1"/>
  <c r="O746" i="1"/>
  <c r="P746" i="1" s="1"/>
  <c r="Q746" i="1" s="1"/>
  <c r="N746" i="1"/>
  <c r="G746" i="1"/>
  <c r="O745" i="1"/>
  <c r="P745" i="1" s="1"/>
  <c r="Q745" i="1" s="1"/>
  <c r="N745" i="1"/>
  <c r="G745" i="1"/>
  <c r="O744" i="1"/>
  <c r="P744" i="1" s="1"/>
  <c r="Q744" i="1" s="1"/>
  <c r="N744" i="1"/>
  <c r="G744" i="1"/>
  <c r="O743" i="1"/>
  <c r="P743" i="1" s="1"/>
  <c r="Q743" i="1" s="1"/>
  <c r="N743" i="1"/>
  <c r="G743" i="1"/>
  <c r="O742" i="1"/>
  <c r="P742" i="1" s="1"/>
  <c r="Q742" i="1" s="1"/>
  <c r="N742" i="1"/>
  <c r="G742" i="1"/>
  <c r="O741" i="1"/>
  <c r="P741" i="1" s="1"/>
  <c r="Q741" i="1" s="1"/>
  <c r="N741" i="1"/>
  <c r="G741" i="1"/>
  <c r="O740" i="1"/>
  <c r="P740" i="1" s="1"/>
  <c r="Q740" i="1" s="1"/>
  <c r="N740" i="1"/>
  <c r="G740" i="1"/>
  <c r="P739" i="1"/>
  <c r="Q739" i="1" s="1"/>
  <c r="O739" i="1"/>
  <c r="N739" i="1"/>
  <c r="G739" i="1"/>
  <c r="Q738" i="1"/>
  <c r="O738" i="1"/>
  <c r="P738" i="1" s="1"/>
  <c r="N738" i="1"/>
  <c r="G738" i="1"/>
  <c r="O737" i="1"/>
  <c r="P737" i="1" s="1"/>
  <c r="Q737" i="1" s="1"/>
  <c r="N737" i="1"/>
  <c r="G737" i="1"/>
  <c r="O736" i="1"/>
  <c r="P736" i="1" s="1"/>
  <c r="Q736" i="1" s="1"/>
  <c r="N736" i="1"/>
  <c r="G736" i="1"/>
  <c r="O735" i="1"/>
  <c r="P735" i="1" s="1"/>
  <c r="Q735" i="1" s="1"/>
  <c r="N735" i="1"/>
  <c r="G735" i="1"/>
  <c r="O734" i="1"/>
  <c r="P734" i="1" s="1"/>
  <c r="Q734" i="1" s="1"/>
  <c r="N734" i="1"/>
  <c r="G734" i="1"/>
  <c r="O733" i="1"/>
  <c r="P733" i="1" s="1"/>
  <c r="Q733" i="1" s="1"/>
  <c r="N733" i="1"/>
  <c r="G733" i="1"/>
  <c r="O732" i="1"/>
  <c r="P732" i="1" s="1"/>
  <c r="Q732" i="1" s="1"/>
  <c r="N732" i="1"/>
  <c r="G732" i="1"/>
  <c r="O731" i="1"/>
  <c r="P731" i="1" s="1"/>
  <c r="Q731" i="1" s="1"/>
  <c r="N731" i="1"/>
  <c r="G731" i="1"/>
  <c r="O730" i="1"/>
  <c r="P730" i="1" s="1"/>
  <c r="Q730" i="1" s="1"/>
  <c r="N730" i="1"/>
  <c r="G730" i="1"/>
  <c r="O729" i="1"/>
  <c r="P729" i="1" s="1"/>
  <c r="Q729" i="1" s="1"/>
  <c r="N729" i="1"/>
  <c r="G729" i="1"/>
  <c r="O728" i="1"/>
  <c r="P728" i="1" s="1"/>
  <c r="Q728" i="1" s="1"/>
  <c r="N728" i="1"/>
  <c r="G728" i="1"/>
  <c r="P727" i="1"/>
  <c r="Q727" i="1" s="1"/>
  <c r="O727" i="1"/>
  <c r="N727" i="1"/>
  <c r="G727" i="1"/>
  <c r="O726" i="1"/>
  <c r="P726" i="1" s="1"/>
  <c r="Q726" i="1" s="1"/>
  <c r="N726" i="1"/>
  <c r="G726" i="1"/>
  <c r="O725" i="1"/>
  <c r="P725" i="1" s="1"/>
  <c r="Q725" i="1" s="1"/>
  <c r="N725" i="1"/>
  <c r="G725" i="1"/>
  <c r="O724" i="1"/>
  <c r="P724" i="1" s="1"/>
  <c r="Q724" i="1" s="1"/>
  <c r="N724" i="1"/>
  <c r="G724" i="1"/>
  <c r="O723" i="1"/>
  <c r="P723" i="1" s="1"/>
  <c r="Q723" i="1" s="1"/>
  <c r="N723" i="1"/>
  <c r="G723" i="1"/>
  <c r="O722" i="1"/>
  <c r="P722" i="1" s="1"/>
  <c r="Q722" i="1" s="1"/>
  <c r="N722" i="1"/>
  <c r="G722" i="1"/>
  <c r="O721" i="1"/>
  <c r="P721" i="1" s="1"/>
  <c r="Q721" i="1" s="1"/>
  <c r="N721" i="1"/>
  <c r="G721" i="1"/>
  <c r="O720" i="1"/>
  <c r="P720" i="1" s="1"/>
  <c r="Q720" i="1" s="1"/>
  <c r="N720" i="1"/>
  <c r="G720" i="1"/>
  <c r="O719" i="1"/>
  <c r="P719" i="1" s="1"/>
  <c r="Q719" i="1" s="1"/>
  <c r="N719" i="1"/>
  <c r="G719" i="1"/>
  <c r="O718" i="1"/>
  <c r="P718" i="1" s="1"/>
  <c r="Q718" i="1" s="1"/>
  <c r="N718" i="1"/>
  <c r="G718" i="1"/>
  <c r="O717" i="1"/>
  <c r="P717" i="1" s="1"/>
  <c r="Q717" i="1" s="1"/>
  <c r="N717" i="1"/>
  <c r="G717" i="1"/>
  <c r="O716" i="1"/>
  <c r="P716" i="1" s="1"/>
  <c r="Q716" i="1" s="1"/>
  <c r="N716" i="1"/>
  <c r="G716" i="1"/>
  <c r="P715" i="1"/>
  <c r="Q715" i="1" s="1"/>
  <c r="O715" i="1"/>
  <c r="N715" i="1"/>
  <c r="G715" i="1"/>
  <c r="O714" i="1"/>
  <c r="P714" i="1" s="1"/>
  <c r="Q714" i="1" s="1"/>
  <c r="N714" i="1"/>
  <c r="G714" i="1"/>
  <c r="O713" i="1"/>
  <c r="P713" i="1" s="1"/>
  <c r="Q713" i="1" s="1"/>
  <c r="N713" i="1"/>
  <c r="G713" i="1"/>
  <c r="O712" i="1"/>
  <c r="P712" i="1" s="1"/>
  <c r="Q712" i="1" s="1"/>
  <c r="N712" i="1"/>
  <c r="G712" i="1"/>
  <c r="O711" i="1"/>
  <c r="P711" i="1" s="1"/>
  <c r="Q711" i="1" s="1"/>
  <c r="N711" i="1"/>
  <c r="G711" i="1"/>
  <c r="O710" i="1"/>
  <c r="P710" i="1" s="1"/>
  <c r="Q710" i="1" s="1"/>
  <c r="N710" i="1"/>
  <c r="G710" i="1"/>
  <c r="O709" i="1"/>
  <c r="P709" i="1" s="1"/>
  <c r="Q709" i="1" s="1"/>
  <c r="N709" i="1"/>
  <c r="G709" i="1"/>
  <c r="O708" i="1"/>
  <c r="P708" i="1" s="1"/>
  <c r="Q708" i="1" s="1"/>
  <c r="N708" i="1"/>
  <c r="G708" i="1"/>
  <c r="O707" i="1"/>
  <c r="P707" i="1" s="1"/>
  <c r="Q707" i="1" s="1"/>
  <c r="N707" i="1"/>
  <c r="G707" i="1"/>
  <c r="P706" i="1"/>
  <c r="Q706" i="1" s="1"/>
  <c r="O706" i="1"/>
  <c r="N706" i="1"/>
  <c r="G706" i="1"/>
  <c r="O705" i="1"/>
  <c r="P705" i="1" s="1"/>
  <c r="Q705" i="1" s="1"/>
  <c r="N705" i="1"/>
  <c r="G705" i="1"/>
  <c r="O704" i="1"/>
  <c r="P704" i="1" s="1"/>
  <c r="Q704" i="1" s="1"/>
  <c r="N704" i="1"/>
  <c r="G704" i="1"/>
  <c r="O703" i="1"/>
  <c r="P703" i="1" s="1"/>
  <c r="Q703" i="1" s="1"/>
  <c r="N703" i="1"/>
  <c r="G703" i="1"/>
  <c r="P702" i="1"/>
  <c r="Q702" i="1" s="1"/>
  <c r="O702" i="1"/>
  <c r="N702" i="1"/>
  <c r="G702" i="1"/>
  <c r="O701" i="1"/>
  <c r="P701" i="1" s="1"/>
  <c r="Q701" i="1" s="1"/>
  <c r="N701" i="1"/>
  <c r="G701" i="1"/>
  <c r="O700" i="1"/>
  <c r="P700" i="1" s="1"/>
  <c r="Q700" i="1" s="1"/>
  <c r="N700" i="1"/>
  <c r="G700" i="1"/>
  <c r="O699" i="1"/>
  <c r="P699" i="1" s="1"/>
  <c r="Q699" i="1" s="1"/>
  <c r="N699" i="1"/>
  <c r="G699" i="1"/>
  <c r="O698" i="1"/>
  <c r="P698" i="1" s="1"/>
  <c r="Q698" i="1" s="1"/>
  <c r="N698" i="1"/>
  <c r="G698" i="1"/>
  <c r="O697" i="1"/>
  <c r="P697" i="1" s="1"/>
  <c r="Q697" i="1" s="1"/>
  <c r="N697" i="1"/>
  <c r="G697" i="1"/>
  <c r="O696" i="1"/>
  <c r="P696" i="1" s="1"/>
  <c r="Q696" i="1" s="1"/>
  <c r="N696" i="1"/>
  <c r="G696" i="1"/>
  <c r="O695" i="1"/>
  <c r="P695" i="1" s="1"/>
  <c r="Q695" i="1" s="1"/>
  <c r="N695" i="1"/>
  <c r="G695" i="1"/>
  <c r="P694" i="1"/>
  <c r="Q694" i="1" s="1"/>
  <c r="O694" i="1"/>
  <c r="N694" i="1"/>
  <c r="G694" i="1"/>
  <c r="O693" i="1"/>
  <c r="P693" i="1" s="1"/>
  <c r="Q693" i="1" s="1"/>
  <c r="N693" i="1"/>
  <c r="G693" i="1"/>
  <c r="O692" i="1"/>
  <c r="P692" i="1" s="1"/>
  <c r="Q692" i="1" s="1"/>
  <c r="N692" i="1"/>
  <c r="G692" i="1"/>
  <c r="O691" i="1"/>
  <c r="P691" i="1" s="1"/>
  <c r="Q691" i="1" s="1"/>
  <c r="N691" i="1"/>
  <c r="G691" i="1"/>
  <c r="O690" i="1"/>
  <c r="P690" i="1" s="1"/>
  <c r="Q690" i="1" s="1"/>
  <c r="N690" i="1"/>
  <c r="G690" i="1"/>
  <c r="O689" i="1"/>
  <c r="P689" i="1" s="1"/>
  <c r="Q689" i="1" s="1"/>
  <c r="N689" i="1"/>
  <c r="G689" i="1"/>
  <c r="O688" i="1"/>
  <c r="P688" i="1" s="1"/>
  <c r="Q688" i="1" s="1"/>
  <c r="N688" i="1"/>
  <c r="G688" i="1"/>
  <c r="O687" i="1"/>
  <c r="P687" i="1" s="1"/>
  <c r="Q687" i="1" s="1"/>
  <c r="N687" i="1"/>
  <c r="G687" i="1"/>
  <c r="O686" i="1"/>
  <c r="P686" i="1" s="1"/>
  <c r="Q686" i="1" s="1"/>
  <c r="N686" i="1"/>
  <c r="G686" i="1"/>
  <c r="O685" i="1"/>
  <c r="P685" i="1" s="1"/>
  <c r="Q685" i="1" s="1"/>
  <c r="N685" i="1"/>
  <c r="G685" i="1"/>
  <c r="O684" i="1"/>
  <c r="P684" i="1" s="1"/>
  <c r="Q684" i="1" s="1"/>
  <c r="N684" i="1"/>
  <c r="G684" i="1"/>
  <c r="O683" i="1"/>
  <c r="P683" i="1" s="1"/>
  <c r="Q683" i="1" s="1"/>
  <c r="N683" i="1"/>
  <c r="G683" i="1"/>
  <c r="O682" i="1"/>
  <c r="P682" i="1" s="1"/>
  <c r="Q682" i="1" s="1"/>
  <c r="N682" i="1"/>
  <c r="G682" i="1"/>
  <c r="O681" i="1"/>
  <c r="P681" i="1" s="1"/>
  <c r="Q681" i="1" s="1"/>
  <c r="N681" i="1"/>
  <c r="G681" i="1"/>
  <c r="O680" i="1"/>
  <c r="P680" i="1" s="1"/>
  <c r="Q680" i="1" s="1"/>
  <c r="N680" i="1"/>
  <c r="G680" i="1"/>
  <c r="P679" i="1"/>
  <c r="Q679" i="1" s="1"/>
  <c r="O679" i="1"/>
  <c r="N679" i="1"/>
  <c r="G679" i="1"/>
  <c r="O678" i="1"/>
  <c r="P678" i="1" s="1"/>
  <c r="Q678" i="1" s="1"/>
  <c r="N678" i="1"/>
  <c r="G678" i="1"/>
  <c r="O677" i="1"/>
  <c r="P677" i="1" s="1"/>
  <c r="Q677" i="1" s="1"/>
  <c r="N677" i="1"/>
  <c r="G677" i="1"/>
  <c r="O676" i="1"/>
  <c r="P676" i="1" s="1"/>
  <c r="Q676" i="1" s="1"/>
  <c r="N676" i="1"/>
  <c r="G676" i="1"/>
  <c r="O675" i="1"/>
  <c r="P675" i="1" s="1"/>
  <c r="Q675" i="1" s="1"/>
  <c r="N675" i="1"/>
  <c r="G675" i="1"/>
  <c r="O674" i="1"/>
  <c r="P674" i="1" s="1"/>
  <c r="Q674" i="1" s="1"/>
  <c r="N674" i="1"/>
  <c r="G674" i="1"/>
  <c r="O673" i="1"/>
  <c r="P673" i="1" s="1"/>
  <c r="Q673" i="1" s="1"/>
  <c r="N673" i="1"/>
  <c r="G673" i="1"/>
  <c r="O672" i="1"/>
  <c r="P672" i="1" s="1"/>
  <c r="Q672" i="1" s="1"/>
  <c r="N672" i="1"/>
  <c r="G672" i="1"/>
  <c r="O671" i="1"/>
  <c r="P671" i="1" s="1"/>
  <c r="Q671" i="1" s="1"/>
  <c r="N671" i="1"/>
  <c r="G671" i="1"/>
  <c r="O670" i="1"/>
  <c r="P670" i="1" s="1"/>
  <c r="Q670" i="1" s="1"/>
  <c r="N670" i="1"/>
  <c r="G670" i="1"/>
  <c r="O669" i="1"/>
  <c r="P669" i="1" s="1"/>
  <c r="Q669" i="1" s="1"/>
  <c r="N669" i="1"/>
  <c r="G669" i="1"/>
  <c r="O668" i="1"/>
  <c r="P668" i="1" s="1"/>
  <c r="Q668" i="1" s="1"/>
  <c r="N668" i="1"/>
  <c r="G668" i="1"/>
  <c r="P667" i="1"/>
  <c r="Q667" i="1" s="1"/>
  <c r="O667" i="1"/>
  <c r="N667" i="1"/>
  <c r="G667" i="1"/>
  <c r="O666" i="1"/>
  <c r="P666" i="1" s="1"/>
  <c r="Q666" i="1" s="1"/>
  <c r="N666" i="1"/>
  <c r="G666" i="1"/>
  <c r="O665" i="1"/>
  <c r="P665" i="1" s="1"/>
  <c r="Q665" i="1" s="1"/>
  <c r="N665" i="1"/>
  <c r="G665" i="1"/>
  <c r="O664" i="1"/>
  <c r="P664" i="1" s="1"/>
  <c r="Q664" i="1" s="1"/>
  <c r="N664" i="1"/>
  <c r="G664" i="1"/>
  <c r="O663" i="1"/>
  <c r="P663" i="1" s="1"/>
  <c r="Q663" i="1" s="1"/>
  <c r="N663" i="1"/>
  <c r="G663" i="1"/>
  <c r="O662" i="1"/>
  <c r="P662" i="1" s="1"/>
  <c r="Q662" i="1" s="1"/>
  <c r="N662" i="1"/>
  <c r="G662" i="1"/>
  <c r="O661" i="1"/>
  <c r="P661" i="1" s="1"/>
  <c r="Q661" i="1" s="1"/>
  <c r="N661" i="1"/>
  <c r="G661" i="1"/>
  <c r="O660" i="1"/>
  <c r="P660" i="1" s="1"/>
  <c r="Q660" i="1" s="1"/>
  <c r="N660" i="1"/>
  <c r="G660" i="1"/>
  <c r="O659" i="1"/>
  <c r="P659" i="1" s="1"/>
  <c r="Q659" i="1" s="1"/>
  <c r="N659" i="1"/>
  <c r="G659" i="1"/>
  <c r="O658" i="1"/>
  <c r="P658" i="1" s="1"/>
  <c r="Q658" i="1" s="1"/>
  <c r="N658" i="1"/>
  <c r="G658" i="1"/>
  <c r="O657" i="1"/>
  <c r="P657" i="1" s="1"/>
  <c r="Q657" i="1" s="1"/>
  <c r="N657" i="1"/>
  <c r="G657" i="1"/>
  <c r="O656" i="1"/>
  <c r="P656" i="1" s="1"/>
  <c r="Q656" i="1" s="1"/>
  <c r="N656" i="1"/>
  <c r="G656" i="1"/>
  <c r="O655" i="1"/>
  <c r="P655" i="1" s="1"/>
  <c r="Q655" i="1" s="1"/>
  <c r="N655" i="1"/>
  <c r="G655" i="1"/>
  <c r="O654" i="1"/>
  <c r="P654" i="1" s="1"/>
  <c r="Q654" i="1" s="1"/>
  <c r="N654" i="1"/>
  <c r="G654" i="1"/>
  <c r="O653" i="1"/>
  <c r="P653" i="1" s="1"/>
  <c r="Q653" i="1" s="1"/>
  <c r="N653" i="1"/>
  <c r="G653" i="1"/>
  <c r="O652" i="1"/>
  <c r="P652" i="1" s="1"/>
  <c r="Q652" i="1" s="1"/>
  <c r="N652" i="1"/>
  <c r="G652" i="1"/>
  <c r="O651" i="1"/>
  <c r="P651" i="1" s="1"/>
  <c r="Q651" i="1" s="1"/>
  <c r="N651" i="1"/>
  <c r="G651" i="1"/>
  <c r="O650" i="1"/>
  <c r="P650" i="1" s="1"/>
  <c r="Q650" i="1" s="1"/>
  <c r="N650" i="1"/>
  <c r="G650" i="1"/>
  <c r="O649" i="1"/>
  <c r="P649" i="1" s="1"/>
  <c r="Q649" i="1" s="1"/>
  <c r="N649" i="1"/>
  <c r="G649" i="1"/>
  <c r="O648" i="1"/>
  <c r="P648" i="1" s="1"/>
  <c r="Q648" i="1" s="1"/>
  <c r="N648" i="1"/>
  <c r="G648" i="1"/>
  <c r="O647" i="1"/>
  <c r="P647" i="1" s="1"/>
  <c r="Q647" i="1" s="1"/>
  <c r="N647" i="1"/>
  <c r="G647" i="1"/>
  <c r="O646" i="1"/>
  <c r="P646" i="1" s="1"/>
  <c r="Q646" i="1" s="1"/>
  <c r="N646" i="1"/>
  <c r="G646" i="1"/>
  <c r="O645" i="1"/>
  <c r="P645" i="1" s="1"/>
  <c r="Q645" i="1" s="1"/>
  <c r="N645" i="1"/>
  <c r="G645" i="1"/>
  <c r="O644" i="1"/>
  <c r="P644" i="1" s="1"/>
  <c r="Q644" i="1" s="1"/>
  <c r="N644" i="1"/>
  <c r="G644" i="1"/>
  <c r="O643" i="1"/>
  <c r="P643" i="1" s="1"/>
  <c r="Q643" i="1" s="1"/>
  <c r="N643" i="1"/>
  <c r="G643" i="1"/>
  <c r="P642" i="1"/>
  <c r="Q642" i="1" s="1"/>
  <c r="O642" i="1"/>
  <c r="N642" i="1"/>
  <c r="G642" i="1"/>
  <c r="O641" i="1"/>
  <c r="P641" i="1" s="1"/>
  <c r="Q641" i="1" s="1"/>
  <c r="N641" i="1"/>
  <c r="G641" i="1"/>
  <c r="O640" i="1"/>
  <c r="P640" i="1" s="1"/>
  <c r="Q640" i="1" s="1"/>
  <c r="N640" i="1"/>
  <c r="G640" i="1"/>
  <c r="O639" i="1"/>
  <c r="P639" i="1" s="1"/>
  <c r="Q639" i="1" s="1"/>
  <c r="N639" i="1"/>
  <c r="G639" i="1"/>
  <c r="O638" i="1"/>
  <c r="P638" i="1" s="1"/>
  <c r="Q638" i="1" s="1"/>
  <c r="N638" i="1"/>
  <c r="G638" i="1"/>
  <c r="O637" i="1"/>
  <c r="P637" i="1" s="1"/>
  <c r="Q637" i="1" s="1"/>
  <c r="N637" i="1"/>
  <c r="G637" i="1"/>
  <c r="O636" i="1"/>
  <c r="P636" i="1" s="1"/>
  <c r="Q636" i="1" s="1"/>
  <c r="N636" i="1"/>
  <c r="G636" i="1"/>
  <c r="O635" i="1"/>
  <c r="P635" i="1" s="1"/>
  <c r="Q635" i="1" s="1"/>
  <c r="N635" i="1"/>
  <c r="G635" i="1"/>
  <c r="O634" i="1"/>
  <c r="P634" i="1" s="1"/>
  <c r="Q634" i="1" s="1"/>
  <c r="N634" i="1"/>
  <c r="G634" i="1"/>
  <c r="O633" i="1"/>
  <c r="P633" i="1" s="1"/>
  <c r="Q633" i="1" s="1"/>
  <c r="N633" i="1"/>
  <c r="G633" i="1"/>
  <c r="O632" i="1"/>
  <c r="P632" i="1" s="1"/>
  <c r="Q632" i="1" s="1"/>
  <c r="N632" i="1"/>
  <c r="G632" i="1"/>
  <c r="P631" i="1"/>
  <c r="Q631" i="1" s="1"/>
  <c r="O631" i="1"/>
  <c r="N631" i="1"/>
  <c r="G631" i="1"/>
  <c r="O630" i="1"/>
  <c r="P630" i="1" s="1"/>
  <c r="Q630" i="1" s="1"/>
  <c r="N630" i="1"/>
  <c r="G630" i="1"/>
  <c r="O629" i="1"/>
  <c r="P629" i="1" s="1"/>
  <c r="Q629" i="1" s="1"/>
  <c r="N629" i="1"/>
  <c r="G629" i="1"/>
  <c r="O628" i="1"/>
  <c r="P628" i="1" s="1"/>
  <c r="Q628" i="1" s="1"/>
  <c r="N628" i="1"/>
  <c r="G628" i="1"/>
  <c r="O627" i="1"/>
  <c r="P627" i="1" s="1"/>
  <c r="Q627" i="1" s="1"/>
  <c r="N627" i="1"/>
  <c r="G627" i="1"/>
  <c r="O626" i="1"/>
  <c r="P626" i="1" s="1"/>
  <c r="Q626" i="1" s="1"/>
  <c r="N626" i="1"/>
  <c r="G626" i="1"/>
  <c r="O625" i="1"/>
  <c r="P625" i="1" s="1"/>
  <c r="Q625" i="1" s="1"/>
  <c r="N625" i="1"/>
  <c r="G625" i="1"/>
  <c r="O624" i="1"/>
  <c r="P624" i="1" s="1"/>
  <c r="Q624" i="1" s="1"/>
  <c r="N624" i="1"/>
  <c r="G624" i="1"/>
  <c r="O623" i="1"/>
  <c r="P623" i="1" s="1"/>
  <c r="Q623" i="1" s="1"/>
  <c r="N623" i="1"/>
  <c r="G623" i="1"/>
  <c r="O622" i="1"/>
  <c r="P622" i="1" s="1"/>
  <c r="Q622" i="1" s="1"/>
  <c r="N622" i="1"/>
  <c r="G622" i="1"/>
  <c r="O621" i="1"/>
  <c r="P621" i="1" s="1"/>
  <c r="Q621" i="1" s="1"/>
  <c r="N621" i="1"/>
  <c r="G621" i="1"/>
  <c r="O620" i="1"/>
  <c r="P620" i="1" s="1"/>
  <c r="Q620" i="1" s="1"/>
  <c r="N620" i="1"/>
  <c r="G620" i="1"/>
  <c r="O619" i="1"/>
  <c r="P619" i="1" s="1"/>
  <c r="Q619" i="1" s="1"/>
  <c r="N619" i="1"/>
  <c r="G619" i="1"/>
  <c r="O618" i="1"/>
  <c r="P618" i="1" s="1"/>
  <c r="Q618" i="1" s="1"/>
  <c r="N618" i="1"/>
  <c r="G618" i="1"/>
  <c r="O617" i="1"/>
  <c r="P617" i="1" s="1"/>
  <c r="Q617" i="1" s="1"/>
  <c r="N617" i="1"/>
  <c r="G617" i="1"/>
  <c r="O616" i="1"/>
  <c r="P616" i="1" s="1"/>
  <c r="Q616" i="1" s="1"/>
  <c r="N616" i="1"/>
  <c r="G616" i="1"/>
  <c r="P615" i="1"/>
  <c r="Q615" i="1" s="1"/>
  <c r="O615" i="1"/>
  <c r="N615" i="1"/>
  <c r="G615" i="1"/>
  <c r="O614" i="1"/>
  <c r="P614" i="1" s="1"/>
  <c r="Q614" i="1" s="1"/>
  <c r="N614" i="1"/>
  <c r="G614" i="1"/>
  <c r="O613" i="1"/>
  <c r="P613" i="1" s="1"/>
  <c r="Q613" i="1" s="1"/>
  <c r="N613" i="1"/>
  <c r="G613" i="1"/>
  <c r="O612" i="1"/>
  <c r="P612" i="1" s="1"/>
  <c r="Q612" i="1" s="1"/>
  <c r="N612" i="1"/>
  <c r="G612" i="1"/>
  <c r="P611" i="1"/>
  <c r="Q611" i="1" s="1"/>
  <c r="O611" i="1"/>
  <c r="N611" i="1"/>
  <c r="G611" i="1"/>
  <c r="O610" i="1"/>
  <c r="P610" i="1" s="1"/>
  <c r="Q610" i="1" s="1"/>
  <c r="N610" i="1"/>
  <c r="G610" i="1"/>
  <c r="O609" i="1"/>
  <c r="P609" i="1" s="1"/>
  <c r="Q609" i="1" s="1"/>
  <c r="N609" i="1"/>
  <c r="G609" i="1"/>
  <c r="O608" i="1"/>
  <c r="P608" i="1" s="1"/>
  <c r="Q608" i="1" s="1"/>
  <c r="N608" i="1"/>
  <c r="G608" i="1"/>
  <c r="O607" i="1"/>
  <c r="P607" i="1" s="1"/>
  <c r="Q607" i="1" s="1"/>
  <c r="N607" i="1"/>
  <c r="G607" i="1"/>
  <c r="O606" i="1"/>
  <c r="P606" i="1" s="1"/>
  <c r="Q606" i="1" s="1"/>
  <c r="N606" i="1"/>
  <c r="G606" i="1"/>
  <c r="O605" i="1"/>
  <c r="P605" i="1" s="1"/>
  <c r="Q605" i="1" s="1"/>
  <c r="N605" i="1"/>
  <c r="G605" i="1"/>
  <c r="O604" i="1"/>
  <c r="P604" i="1" s="1"/>
  <c r="Q604" i="1" s="1"/>
  <c r="N604" i="1"/>
  <c r="G604" i="1"/>
  <c r="P603" i="1"/>
  <c r="Q603" i="1" s="1"/>
  <c r="O603" i="1"/>
  <c r="N603" i="1"/>
  <c r="G603" i="1"/>
  <c r="O602" i="1"/>
  <c r="P602" i="1" s="1"/>
  <c r="Q602" i="1" s="1"/>
  <c r="N602" i="1"/>
  <c r="G602" i="1"/>
  <c r="O601" i="1"/>
  <c r="P601" i="1" s="1"/>
  <c r="Q601" i="1" s="1"/>
  <c r="N601" i="1"/>
  <c r="G601" i="1"/>
  <c r="O600" i="1"/>
  <c r="P600" i="1" s="1"/>
  <c r="Q600" i="1" s="1"/>
  <c r="N600" i="1"/>
  <c r="G600" i="1"/>
  <c r="O599" i="1"/>
  <c r="P599" i="1" s="1"/>
  <c r="Q599" i="1" s="1"/>
  <c r="N599" i="1"/>
  <c r="G599" i="1"/>
  <c r="O598" i="1"/>
  <c r="P598" i="1" s="1"/>
  <c r="Q598" i="1" s="1"/>
  <c r="N598" i="1"/>
  <c r="G598" i="1"/>
  <c r="O597" i="1"/>
  <c r="P597" i="1" s="1"/>
  <c r="Q597" i="1" s="1"/>
  <c r="N597" i="1"/>
  <c r="G597" i="1"/>
  <c r="O596" i="1"/>
  <c r="P596" i="1" s="1"/>
  <c r="Q596" i="1" s="1"/>
  <c r="N596" i="1"/>
  <c r="G596" i="1"/>
  <c r="O595" i="1"/>
  <c r="P595" i="1" s="1"/>
  <c r="Q595" i="1" s="1"/>
  <c r="N595" i="1"/>
  <c r="G595" i="1"/>
  <c r="O594" i="1"/>
  <c r="P594" i="1" s="1"/>
  <c r="Q594" i="1" s="1"/>
  <c r="N594" i="1"/>
  <c r="G594" i="1"/>
  <c r="O593" i="1"/>
  <c r="P593" i="1" s="1"/>
  <c r="Q593" i="1" s="1"/>
  <c r="N593" i="1"/>
  <c r="G593" i="1"/>
  <c r="O592" i="1"/>
  <c r="P592" i="1" s="1"/>
  <c r="Q592" i="1" s="1"/>
  <c r="N592" i="1"/>
  <c r="G592" i="1"/>
  <c r="O591" i="1"/>
  <c r="P591" i="1" s="1"/>
  <c r="Q591" i="1" s="1"/>
  <c r="N591" i="1"/>
  <c r="G591" i="1"/>
  <c r="O590" i="1"/>
  <c r="P590" i="1" s="1"/>
  <c r="Q590" i="1" s="1"/>
  <c r="N590" i="1"/>
  <c r="G590" i="1"/>
  <c r="O589" i="1"/>
  <c r="P589" i="1" s="1"/>
  <c r="Q589" i="1" s="1"/>
  <c r="N589" i="1"/>
  <c r="G589" i="1"/>
  <c r="P588" i="1"/>
  <c r="Q588" i="1" s="1"/>
  <c r="O588" i="1"/>
  <c r="N588" i="1"/>
  <c r="G588" i="1"/>
  <c r="O587" i="1"/>
  <c r="P587" i="1" s="1"/>
  <c r="Q587" i="1" s="1"/>
  <c r="N587" i="1"/>
  <c r="G587" i="1"/>
  <c r="O586" i="1"/>
  <c r="P586" i="1" s="1"/>
  <c r="Q586" i="1" s="1"/>
  <c r="N586" i="1"/>
  <c r="G586" i="1"/>
  <c r="O585" i="1"/>
  <c r="P585" i="1" s="1"/>
  <c r="Q585" i="1" s="1"/>
  <c r="N585" i="1"/>
  <c r="G585" i="1"/>
  <c r="O584" i="1"/>
  <c r="P584" i="1" s="1"/>
  <c r="Q584" i="1" s="1"/>
  <c r="N584" i="1"/>
  <c r="G584" i="1"/>
  <c r="O583" i="1"/>
  <c r="P583" i="1" s="1"/>
  <c r="Q583" i="1" s="1"/>
  <c r="N583" i="1"/>
  <c r="G583" i="1"/>
  <c r="O582" i="1"/>
  <c r="P582" i="1" s="1"/>
  <c r="Q582" i="1" s="1"/>
  <c r="N582" i="1"/>
  <c r="G582" i="1"/>
  <c r="O581" i="1"/>
  <c r="P581" i="1" s="1"/>
  <c r="Q581" i="1" s="1"/>
  <c r="N581" i="1"/>
  <c r="G581" i="1"/>
  <c r="O580" i="1"/>
  <c r="P580" i="1" s="1"/>
  <c r="Q580" i="1" s="1"/>
  <c r="N580" i="1"/>
  <c r="G580" i="1"/>
  <c r="P579" i="1"/>
  <c r="Q579" i="1" s="1"/>
  <c r="O579" i="1"/>
  <c r="N579" i="1"/>
  <c r="G579" i="1"/>
  <c r="O578" i="1"/>
  <c r="P578" i="1" s="1"/>
  <c r="Q578" i="1" s="1"/>
  <c r="N578" i="1"/>
  <c r="G578" i="1"/>
  <c r="O577" i="1"/>
  <c r="P577" i="1" s="1"/>
  <c r="Q577" i="1" s="1"/>
  <c r="N577" i="1"/>
  <c r="G577" i="1"/>
  <c r="O576" i="1"/>
  <c r="P576" i="1" s="1"/>
  <c r="Q576" i="1" s="1"/>
  <c r="N576" i="1"/>
  <c r="G576" i="1"/>
  <c r="O575" i="1"/>
  <c r="P575" i="1" s="1"/>
  <c r="Q575" i="1" s="1"/>
  <c r="N575" i="1"/>
  <c r="G575" i="1"/>
  <c r="O574" i="1"/>
  <c r="P574" i="1" s="1"/>
  <c r="Q574" i="1" s="1"/>
  <c r="N574" i="1"/>
  <c r="G574" i="1"/>
  <c r="O573" i="1"/>
  <c r="P573" i="1" s="1"/>
  <c r="Q573" i="1" s="1"/>
  <c r="N573" i="1"/>
  <c r="G573" i="1"/>
  <c r="O572" i="1"/>
  <c r="P572" i="1" s="1"/>
  <c r="Q572" i="1" s="1"/>
  <c r="N572" i="1"/>
  <c r="G572" i="1"/>
  <c r="O571" i="1"/>
  <c r="P571" i="1" s="1"/>
  <c r="Q571" i="1" s="1"/>
  <c r="N571" i="1"/>
  <c r="G571" i="1"/>
  <c r="O570" i="1"/>
  <c r="P570" i="1" s="1"/>
  <c r="Q570" i="1" s="1"/>
  <c r="N570" i="1"/>
  <c r="G570" i="1"/>
  <c r="O569" i="1"/>
  <c r="P569" i="1" s="1"/>
  <c r="Q569" i="1" s="1"/>
  <c r="N569" i="1"/>
  <c r="G569" i="1"/>
  <c r="O568" i="1"/>
  <c r="P568" i="1" s="1"/>
  <c r="Q568" i="1" s="1"/>
  <c r="N568" i="1"/>
  <c r="G568" i="1"/>
  <c r="P567" i="1"/>
  <c r="Q567" i="1" s="1"/>
  <c r="O567" i="1"/>
  <c r="N567" i="1"/>
  <c r="G567" i="1"/>
  <c r="O566" i="1"/>
  <c r="P566" i="1" s="1"/>
  <c r="Q566" i="1" s="1"/>
  <c r="N566" i="1"/>
  <c r="G566" i="1"/>
  <c r="O565" i="1"/>
  <c r="P565" i="1" s="1"/>
  <c r="Q565" i="1" s="1"/>
  <c r="N565" i="1"/>
  <c r="G565" i="1"/>
  <c r="O564" i="1"/>
  <c r="P564" i="1" s="1"/>
  <c r="Q564" i="1" s="1"/>
  <c r="N564" i="1"/>
  <c r="G564" i="1"/>
  <c r="O563" i="1"/>
  <c r="P563" i="1" s="1"/>
  <c r="Q563" i="1" s="1"/>
  <c r="N563" i="1"/>
  <c r="G563" i="1"/>
  <c r="O562" i="1"/>
  <c r="P562" i="1" s="1"/>
  <c r="Q562" i="1" s="1"/>
  <c r="N562" i="1"/>
  <c r="G562" i="1"/>
  <c r="O561" i="1"/>
  <c r="P561" i="1" s="1"/>
  <c r="Q561" i="1" s="1"/>
  <c r="N561" i="1"/>
  <c r="G561" i="1"/>
  <c r="O560" i="1"/>
  <c r="P560" i="1" s="1"/>
  <c r="Q560" i="1" s="1"/>
  <c r="N560" i="1"/>
  <c r="G560" i="1"/>
  <c r="O559" i="1"/>
  <c r="P559" i="1" s="1"/>
  <c r="Q559" i="1" s="1"/>
  <c r="N559" i="1"/>
  <c r="G559" i="1"/>
  <c r="O558" i="1"/>
  <c r="P558" i="1" s="1"/>
  <c r="Q558" i="1" s="1"/>
  <c r="N558" i="1"/>
  <c r="G558" i="1"/>
  <c r="O557" i="1"/>
  <c r="P557" i="1" s="1"/>
  <c r="Q557" i="1" s="1"/>
  <c r="N557" i="1"/>
  <c r="G557" i="1"/>
  <c r="P556" i="1"/>
  <c r="Q556" i="1" s="1"/>
  <c r="O556" i="1"/>
  <c r="N556" i="1"/>
  <c r="G556" i="1"/>
  <c r="Q555" i="1"/>
  <c r="P555" i="1"/>
  <c r="O555" i="1"/>
  <c r="N555" i="1"/>
  <c r="G555" i="1"/>
  <c r="O554" i="1"/>
  <c r="P554" i="1" s="1"/>
  <c r="Q554" i="1" s="1"/>
  <c r="N554" i="1"/>
  <c r="G554" i="1"/>
  <c r="O553" i="1"/>
  <c r="P553" i="1" s="1"/>
  <c r="Q553" i="1" s="1"/>
  <c r="N553" i="1"/>
  <c r="G553" i="1"/>
  <c r="O552" i="1"/>
  <c r="P552" i="1" s="1"/>
  <c r="Q552" i="1" s="1"/>
  <c r="N552" i="1"/>
  <c r="G552" i="1"/>
  <c r="O551" i="1"/>
  <c r="P551" i="1" s="1"/>
  <c r="Q551" i="1" s="1"/>
  <c r="N551" i="1"/>
  <c r="G551" i="1"/>
  <c r="O550" i="1"/>
  <c r="P550" i="1" s="1"/>
  <c r="Q550" i="1" s="1"/>
  <c r="N550" i="1"/>
  <c r="G550" i="1"/>
  <c r="O549" i="1"/>
  <c r="P549" i="1" s="1"/>
  <c r="Q549" i="1" s="1"/>
  <c r="N549" i="1"/>
  <c r="G549" i="1"/>
  <c r="O548" i="1"/>
  <c r="P548" i="1" s="1"/>
  <c r="Q548" i="1" s="1"/>
  <c r="N548" i="1"/>
  <c r="G548" i="1"/>
  <c r="O547" i="1"/>
  <c r="P547" i="1" s="1"/>
  <c r="Q547" i="1" s="1"/>
  <c r="N547" i="1"/>
  <c r="G547" i="1"/>
  <c r="O546" i="1"/>
  <c r="P546" i="1" s="1"/>
  <c r="Q546" i="1" s="1"/>
  <c r="N546" i="1"/>
  <c r="G546" i="1"/>
  <c r="O545" i="1"/>
  <c r="P545" i="1" s="1"/>
  <c r="Q545" i="1" s="1"/>
  <c r="N545" i="1"/>
  <c r="G545" i="1"/>
  <c r="P544" i="1"/>
  <c r="Q544" i="1" s="1"/>
  <c r="O544" i="1"/>
  <c r="N544" i="1"/>
  <c r="G544" i="1"/>
  <c r="O543" i="1"/>
  <c r="P543" i="1" s="1"/>
  <c r="Q543" i="1" s="1"/>
  <c r="N543" i="1"/>
  <c r="G543" i="1"/>
  <c r="O542" i="1"/>
  <c r="P542" i="1" s="1"/>
  <c r="Q542" i="1" s="1"/>
  <c r="N542" i="1"/>
  <c r="G542" i="1"/>
  <c r="O541" i="1"/>
  <c r="P541" i="1" s="1"/>
  <c r="Q541" i="1" s="1"/>
  <c r="N541" i="1"/>
  <c r="G541" i="1"/>
  <c r="O540" i="1"/>
  <c r="P540" i="1" s="1"/>
  <c r="Q540" i="1" s="1"/>
  <c r="N540" i="1"/>
  <c r="G540" i="1"/>
  <c r="O539" i="1"/>
  <c r="P539" i="1" s="1"/>
  <c r="Q539" i="1" s="1"/>
  <c r="N539" i="1"/>
  <c r="G539" i="1"/>
  <c r="O538" i="1"/>
  <c r="P538" i="1" s="1"/>
  <c r="Q538" i="1" s="1"/>
  <c r="N538" i="1"/>
  <c r="G538" i="1"/>
  <c r="O537" i="1"/>
  <c r="P537" i="1" s="1"/>
  <c r="Q537" i="1" s="1"/>
  <c r="N537" i="1"/>
  <c r="G537" i="1"/>
  <c r="O536" i="1"/>
  <c r="P536" i="1" s="1"/>
  <c r="Q536" i="1" s="1"/>
  <c r="N536" i="1"/>
  <c r="G536" i="1"/>
  <c r="O535" i="1"/>
  <c r="P535" i="1" s="1"/>
  <c r="Q535" i="1" s="1"/>
  <c r="N535" i="1"/>
  <c r="G535" i="1"/>
  <c r="O534" i="1"/>
  <c r="P534" i="1" s="1"/>
  <c r="Q534" i="1" s="1"/>
  <c r="N534" i="1"/>
  <c r="G534" i="1"/>
  <c r="O533" i="1"/>
  <c r="P533" i="1" s="1"/>
  <c r="Q533" i="1" s="1"/>
  <c r="N533" i="1"/>
  <c r="G533" i="1"/>
  <c r="O532" i="1"/>
  <c r="P532" i="1" s="1"/>
  <c r="Q532" i="1" s="1"/>
  <c r="N532" i="1"/>
  <c r="G532" i="1"/>
  <c r="O531" i="1"/>
  <c r="P531" i="1" s="1"/>
  <c r="Q531" i="1" s="1"/>
  <c r="N531" i="1"/>
  <c r="G531" i="1"/>
  <c r="O530" i="1"/>
  <c r="P530" i="1" s="1"/>
  <c r="Q530" i="1" s="1"/>
  <c r="N530" i="1"/>
  <c r="G530" i="1"/>
  <c r="O529" i="1"/>
  <c r="P529" i="1" s="1"/>
  <c r="Q529" i="1" s="1"/>
  <c r="N529" i="1"/>
  <c r="G529" i="1"/>
  <c r="O528" i="1"/>
  <c r="P528" i="1" s="1"/>
  <c r="Q528" i="1" s="1"/>
  <c r="N528" i="1"/>
  <c r="G528" i="1"/>
  <c r="O527" i="1"/>
  <c r="P527" i="1" s="1"/>
  <c r="Q527" i="1" s="1"/>
  <c r="N527" i="1"/>
  <c r="G527" i="1"/>
  <c r="O526" i="1"/>
  <c r="P526" i="1" s="1"/>
  <c r="Q526" i="1" s="1"/>
  <c r="N526" i="1"/>
  <c r="G526" i="1"/>
  <c r="O525" i="1"/>
  <c r="P525" i="1" s="1"/>
  <c r="Q525" i="1" s="1"/>
  <c r="N525" i="1"/>
  <c r="G525" i="1"/>
  <c r="O524" i="1"/>
  <c r="P524" i="1" s="1"/>
  <c r="Q524" i="1" s="1"/>
  <c r="N524" i="1"/>
  <c r="G524" i="1"/>
  <c r="P523" i="1"/>
  <c r="Q523" i="1" s="1"/>
  <c r="O523" i="1"/>
  <c r="N523" i="1"/>
  <c r="G523" i="1"/>
  <c r="O522" i="1"/>
  <c r="P522" i="1" s="1"/>
  <c r="Q522" i="1" s="1"/>
  <c r="N522" i="1"/>
  <c r="G522" i="1"/>
  <c r="O521" i="1"/>
  <c r="P521" i="1" s="1"/>
  <c r="Q521" i="1" s="1"/>
  <c r="N521" i="1"/>
  <c r="G521" i="1"/>
  <c r="O520" i="1"/>
  <c r="P520" i="1" s="1"/>
  <c r="Q520" i="1" s="1"/>
  <c r="N520" i="1"/>
  <c r="G520" i="1"/>
  <c r="P519" i="1"/>
  <c r="Q519" i="1" s="1"/>
  <c r="O519" i="1"/>
  <c r="N519" i="1"/>
  <c r="G519" i="1"/>
  <c r="O518" i="1"/>
  <c r="P518" i="1" s="1"/>
  <c r="Q518" i="1" s="1"/>
  <c r="N518" i="1"/>
  <c r="G518" i="1"/>
  <c r="O517" i="1"/>
  <c r="P517" i="1" s="1"/>
  <c r="Q517" i="1" s="1"/>
  <c r="N517" i="1"/>
  <c r="G517" i="1"/>
  <c r="O516" i="1"/>
  <c r="P516" i="1" s="1"/>
  <c r="Q516" i="1" s="1"/>
  <c r="N516" i="1"/>
  <c r="G516" i="1"/>
  <c r="O515" i="1"/>
  <c r="P515" i="1" s="1"/>
  <c r="Q515" i="1" s="1"/>
  <c r="N515" i="1"/>
  <c r="G515" i="1"/>
  <c r="O514" i="1"/>
  <c r="P514" i="1" s="1"/>
  <c r="Q514" i="1" s="1"/>
  <c r="N514" i="1"/>
  <c r="G514" i="1"/>
  <c r="O513" i="1"/>
  <c r="P513" i="1" s="1"/>
  <c r="Q513" i="1" s="1"/>
  <c r="N513" i="1"/>
  <c r="G513" i="1"/>
  <c r="O512" i="1"/>
  <c r="P512" i="1" s="1"/>
  <c r="Q512" i="1" s="1"/>
  <c r="N512" i="1"/>
  <c r="G512" i="1"/>
  <c r="O511" i="1"/>
  <c r="P511" i="1" s="1"/>
  <c r="Q511" i="1" s="1"/>
  <c r="N511" i="1"/>
  <c r="G511" i="1"/>
  <c r="O510" i="1"/>
  <c r="P510" i="1" s="1"/>
  <c r="Q510" i="1" s="1"/>
  <c r="N510" i="1"/>
  <c r="G510" i="1"/>
  <c r="O509" i="1"/>
  <c r="P509" i="1" s="1"/>
  <c r="Q509" i="1" s="1"/>
  <c r="N509" i="1"/>
  <c r="G509" i="1"/>
  <c r="O508" i="1"/>
  <c r="P508" i="1" s="1"/>
  <c r="Q508" i="1" s="1"/>
  <c r="N508" i="1"/>
  <c r="G508" i="1"/>
  <c r="O507" i="1"/>
  <c r="P507" i="1" s="1"/>
  <c r="Q507" i="1" s="1"/>
  <c r="N507" i="1"/>
  <c r="G507" i="1"/>
  <c r="O506" i="1"/>
  <c r="P506" i="1" s="1"/>
  <c r="Q506" i="1" s="1"/>
  <c r="N506" i="1"/>
  <c r="G506" i="1"/>
  <c r="O505" i="1"/>
  <c r="P505" i="1" s="1"/>
  <c r="Q505" i="1" s="1"/>
  <c r="N505" i="1"/>
  <c r="G505" i="1"/>
  <c r="O504" i="1"/>
  <c r="P504" i="1" s="1"/>
  <c r="Q504" i="1" s="1"/>
  <c r="N504" i="1"/>
  <c r="G504" i="1"/>
  <c r="P503" i="1"/>
  <c r="Q503" i="1" s="1"/>
  <c r="O503" i="1"/>
  <c r="N503" i="1"/>
  <c r="G503" i="1"/>
  <c r="O502" i="1"/>
  <c r="P502" i="1" s="1"/>
  <c r="Q502" i="1" s="1"/>
  <c r="N502" i="1"/>
  <c r="G502" i="1"/>
  <c r="O501" i="1"/>
  <c r="P501" i="1" s="1"/>
  <c r="Q501" i="1" s="1"/>
  <c r="N501" i="1"/>
  <c r="G501" i="1"/>
  <c r="O500" i="1"/>
  <c r="P500" i="1" s="1"/>
  <c r="Q500" i="1" s="1"/>
  <c r="N500" i="1"/>
  <c r="G500" i="1"/>
  <c r="O499" i="1"/>
  <c r="P499" i="1" s="1"/>
  <c r="Q499" i="1" s="1"/>
  <c r="N499" i="1"/>
  <c r="G499" i="1"/>
  <c r="O498" i="1"/>
  <c r="P498" i="1" s="1"/>
  <c r="Q498" i="1" s="1"/>
  <c r="N498" i="1"/>
  <c r="G498" i="1"/>
  <c r="O497" i="1"/>
  <c r="P497" i="1" s="1"/>
  <c r="Q497" i="1" s="1"/>
  <c r="N497" i="1"/>
  <c r="G497" i="1"/>
  <c r="O496" i="1"/>
  <c r="P496" i="1" s="1"/>
  <c r="Q496" i="1" s="1"/>
  <c r="N496" i="1"/>
  <c r="G496" i="1"/>
  <c r="O495" i="1"/>
  <c r="P495" i="1" s="1"/>
  <c r="Q495" i="1" s="1"/>
  <c r="N495" i="1"/>
  <c r="G495" i="1"/>
  <c r="O494" i="1"/>
  <c r="P494" i="1" s="1"/>
  <c r="Q494" i="1" s="1"/>
  <c r="N494" i="1"/>
  <c r="G494" i="1"/>
  <c r="O493" i="1"/>
  <c r="P493" i="1" s="1"/>
  <c r="Q493" i="1" s="1"/>
  <c r="N493" i="1"/>
  <c r="G493" i="1"/>
  <c r="O492" i="1"/>
  <c r="P492" i="1" s="1"/>
  <c r="Q492" i="1" s="1"/>
  <c r="N492" i="1"/>
  <c r="G492" i="1"/>
  <c r="O491" i="1"/>
  <c r="P491" i="1" s="1"/>
  <c r="Q491" i="1" s="1"/>
  <c r="N491" i="1"/>
  <c r="G491" i="1"/>
  <c r="O490" i="1"/>
  <c r="P490" i="1" s="1"/>
  <c r="Q490" i="1" s="1"/>
  <c r="N490" i="1"/>
  <c r="G490" i="1"/>
  <c r="P489" i="1"/>
  <c r="Q489" i="1" s="1"/>
  <c r="O489" i="1"/>
  <c r="N489" i="1"/>
  <c r="G489" i="1"/>
  <c r="O488" i="1"/>
  <c r="P488" i="1" s="1"/>
  <c r="Q488" i="1" s="1"/>
  <c r="N488" i="1"/>
  <c r="G488" i="1"/>
  <c r="O487" i="1"/>
  <c r="P487" i="1" s="1"/>
  <c r="Q487" i="1" s="1"/>
  <c r="N487" i="1"/>
  <c r="G487" i="1"/>
  <c r="O486" i="1"/>
  <c r="P486" i="1" s="1"/>
  <c r="Q486" i="1" s="1"/>
  <c r="N486" i="1"/>
  <c r="G486" i="1"/>
  <c r="O485" i="1"/>
  <c r="P485" i="1" s="1"/>
  <c r="Q485" i="1" s="1"/>
  <c r="N485" i="1"/>
  <c r="G485" i="1"/>
  <c r="O484" i="1"/>
  <c r="P484" i="1" s="1"/>
  <c r="Q484" i="1" s="1"/>
  <c r="N484" i="1"/>
  <c r="G484" i="1"/>
  <c r="P483" i="1"/>
  <c r="Q483" i="1" s="1"/>
  <c r="O483" i="1"/>
  <c r="N483" i="1"/>
  <c r="G483" i="1"/>
  <c r="O482" i="1"/>
  <c r="P482" i="1" s="1"/>
  <c r="Q482" i="1" s="1"/>
  <c r="N482" i="1"/>
  <c r="G482" i="1"/>
  <c r="O481" i="1"/>
  <c r="P481" i="1" s="1"/>
  <c r="Q481" i="1" s="1"/>
  <c r="N481" i="1"/>
  <c r="G481" i="1"/>
  <c r="O480" i="1"/>
  <c r="P480" i="1" s="1"/>
  <c r="Q480" i="1" s="1"/>
  <c r="N480" i="1"/>
  <c r="G480" i="1"/>
  <c r="O479" i="1"/>
  <c r="P479" i="1" s="1"/>
  <c r="Q479" i="1" s="1"/>
  <c r="N479" i="1"/>
  <c r="G479" i="1"/>
  <c r="O478" i="1"/>
  <c r="P478" i="1" s="1"/>
  <c r="Q478" i="1" s="1"/>
  <c r="N478" i="1"/>
  <c r="G478" i="1"/>
  <c r="O477" i="1"/>
  <c r="P477" i="1" s="1"/>
  <c r="Q477" i="1" s="1"/>
  <c r="N477" i="1"/>
  <c r="G477" i="1"/>
  <c r="O476" i="1"/>
  <c r="P476" i="1" s="1"/>
  <c r="Q476" i="1" s="1"/>
  <c r="N476" i="1"/>
  <c r="G476" i="1"/>
  <c r="O475" i="1"/>
  <c r="P475" i="1" s="1"/>
  <c r="Q475" i="1" s="1"/>
  <c r="N475" i="1"/>
  <c r="G475" i="1"/>
  <c r="O474" i="1"/>
  <c r="P474" i="1" s="1"/>
  <c r="Q474" i="1" s="1"/>
  <c r="N474" i="1"/>
  <c r="G474" i="1"/>
  <c r="P473" i="1"/>
  <c r="Q473" i="1" s="1"/>
  <c r="O473" i="1"/>
  <c r="N473" i="1"/>
  <c r="G473" i="1"/>
  <c r="O472" i="1"/>
  <c r="P472" i="1" s="1"/>
  <c r="Q472" i="1" s="1"/>
  <c r="N472" i="1"/>
  <c r="G472" i="1"/>
  <c r="O471" i="1"/>
  <c r="P471" i="1" s="1"/>
  <c r="Q471" i="1" s="1"/>
  <c r="N471" i="1"/>
  <c r="G471" i="1"/>
  <c r="O470" i="1"/>
  <c r="P470" i="1" s="1"/>
  <c r="Q470" i="1" s="1"/>
  <c r="N470" i="1"/>
  <c r="G470" i="1"/>
  <c r="O469" i="1"/>
  <c r="P469" i="1" s="1"/>
  <c r="Q469" i="1" s="1"/>
  <c r="N469" i="1"/>
  <c r="G469" i="1"/>
  <c r="O468" i="1"/>
  <c r="P468" i="1" s="1"/>
  <c r="Q468" i="1" s="1"/>
  <c r="N468" i="1"/>
  <c r="G468" i="1"/>
  <c r="O467" i="1"/>
  <c r="P467" i="1" s="1"/>
  <c r="Q467" i="1" s="1"/>
  <c r="N467" i="1"/>
  <c r="G467" i="1"/>
  <c r="O466" i="1"/>
  <c r="P466" i="1" s="1"/>
  <c r="Q466" i="1" s="1"/>
  <c r="N466" i="1"/>
  <c r="G466" i="1"/>
  <c r="O465" i="1"/>
  <c r="P465" i="1" s="1"/>
  <c r="Q465" i="1" s="1"/>
  <c r="N465" i="1"/>
  <c r="G465" i="1"/>
  <c r="O464" i="1"/>
  <c r="P464" i="1" s="1"/>
  <c r="Q464" i="1" s="1"/>
  <c r="N464" i="1"/>
  <c r="G464" i="1"/>
  <c r="O463" i="1"/>
  <c r="P463" i="1" s="1"/>
  <c r="Q463" i="1" s="1"/>
  <c r="N463" i="1"/>
  <c r="G463" i="1"/>
  <c r="O462" i="1"/>
  <c r="P462" i="1" s="1"/>
  <c r="Q462" i="1" s="1"/>
  <c r="N462" i="1"/>
  <c r="G462" i="1"/>
  <c r="O461" i="1"/>
  <c r="P461" i="1" s="1"/>
  <c r="Q461" i="1" s="1"/>
  <c r="N461" i="1"/>
  <c r="G461" i="1"/>
  <c r="O460" i="1"/>
  <c r="P460" i="1" s="1"/>
  <c r="Q460" i="1" s="1"/>
  <c r="N460" i="1"/>
  <c r="G460" i="1"/>
  <c r="O459" i="1"/>
  <c r="P459" i="1" s="1"/>
  <c r="Q459" i="1" s="1"/>
  <c r="N459" i="1"/>
  <c r="G459" i="1"/>
  <c r="O458" i="1"/>
  <c r="P458" i="1" s="1"/>
  <c r="Q458" i="1" s="1"/>
  <c r="N458" i="1"/>
  <c r="G458" i="1"/>
  <c r="O457" i="1"/>
  <c r="P457" i="1" s="1"/>
  <c r="Q457" i="1" s="1"/>
  <c r="N457" i="1"/>
  <c r="G457" i="1"/>
  <c r="O456" i="1"/>
  <c r="P456" i="1" s="1"/>
  <c r="Q456" i="1" s="1"/>
  <c r="N456" i="1"/>
  <c r="G456" i="1"/>
  <c r="O455" i="1"/>
  <c r="P455" i="1" s="1"/>
  <c r="Q455" i="1" s="1"/>
  <c r="N455" i="1"/>
  <c r="G455" i="1"/>
  <c r="O454" i="1"/>
  <c r="P454" i="1" s="1"/>
  <c r="Q454" i="1" s="1"/>
  <c r="N454" i="1"/>
  <c r="G454" i="1"/>
  <c r="P453" i="1"/>
  <c r="Q453" i="1" s="1"/>
  <c r="O453" i="1"/>
  <c r="N453" i="1"/>
  <c r="G453" i="1"/>
  <c r="O452" i="1"/>
  <c r="P452" i="1" s="1"/>
  <c r="Q452" i="1" s="1"/>
  <c r="N452" i="1"/>
  <c r="G452" i="1"/>
  <c r="O451" i="1"/>
  <c r="P451" i="1" s="1"/>
  <c r="Q451" i="1" s="1"/>
  <c r="N451" i="1"/>
  <c r="G451" i="1"/>
  <c r="O450" i="1"/>
  <c r="P450" i="1" s="1"/>
  <c r="Q450" i="1" s="1"/>
  <c r="N450" i="1"/>
  <c r="G450" i="1"/>
  <c r="O449" i="1"/>
  <c r="P449" i="1" s="1"/>
  <c r="Q449" i="1" s="1"/>
  <c r="N449" i="1"/>
  <c r="G449" i="1"/>
  <c r="O448" i="1"/>
  <c r="P448" i="1" s="1"/>
  <c r="Q448" i="1" s="1"/>
  <c r="N448" i="1"/>
  <c r="G448" i="1"/>
  <c r="O447" i="1"/>
  <c r="P447" i="1" s="1"/>
  <c r="Q447" i="1" s="1"/>
  <c r="N447" i="1"/>
  <c r="G447" i="1"/>
  <c r="O446" i="1"/>
  <c r="P446" i="1" s="1"/>
  <c r="Q446" i="1" s="1"/>
  <c r="N446" i="1"/>
  <c r="G446" i="1"/>
  <c r="O445" i="1"/>
  <c r="P445" i="1" s="1"/>
  <c r="Q445" i="1" s="1"/>
  <c r="N445" i="1"/>
  <c r="G445" i="1"/>
  <c r="O444" i="1"/>
  <c r="P444" i="1" s="1"/>
  <c r="Q444" i="1" s="1"/>
  <c r="N444" i="1"/>
  <c r="G444" i="1"/>
  <c r="O443" i="1"/>
  <c r="P443" i="1" s="1"/>
  <c r="Q443" i="1" s="1"/>
  <c r="N443" i="1"/>
  <c r="G443" i="1"/>
  <c r="O442" i="1"/>
  <c r="P442" i="1" s="1"/>
  <c r="Q442" i="1" s="1"/>
  <c r="N442" i="1"/>
  <c r="G442" i="1"/>
  <c r="O441" i="1"/>
  <c r="P441" i="1" s="1"/>
  <c r="Q441" i="1" s="1"/>
  <c r="N441" i="1"/>
  <c r="G441" i="1"/>
  <c r="O440" i="1"/>
  <c r="P440" i="1" s="1"/>
  <c r="Q440" i="1" s="1"/>
  <c r="N440" i="1"/>
  <c r="G440" i="1"/>
  <c r="P439" i="1"/>
  <c r="Q439" i="1" s="1"/>
  <c r="O439" i="1"/>
  <c r="N439" i="1"/>
  <c r="G439" i="1"/>
  <c r="O438" i="1"/>
  <c r="P438" i="1" s="1"/>
  <c r="Q438" i="1" s="1"/>
  <c r="N438" i="1"/>
  <c r="G438" i="1"/>
  <c r="O437" i="1"/>
  <c r="P437" i="1" s="1"/>
  <c r="Q437" i="1" s="1"/>
  <c r="N437" i="1"/>
  <c r="G437" i="1"/>
  <c r="O436" i="1"/>
  <c r="P436" i="1" s="1"/>
  <c r="Q436" i="1" s="1"/>
  <c r="N436" i="1"/>
  <c r="G436" i="1"/>
  <c r="O435" i="1"/>
  <c r="P435" i="1" s="1"/>
  <c r="Q435" i="1" s="1"/>
  <c r="N435" i="1"/>
  <c r="G435" i="1"/>
  <c r="O434" i="1"/>
  <c r="P434" i="1" s="1"/>
  <c r="Q434" i="1" s="1"/>
  <c r="N434" i="1"/>
  <c r="G434" i="1"/>
  <c r="O433" i="1"/>
  <c r="P433" i="1" s="1"/>
  <c r="Q433" i="1" s="1"/>
  <c r="N433" i="1"/>
  <c r="G433" i="1"/>
  <c r="O432" i="1"/>
  <c r="P432" i="1" s="1"/>
  <c r="Q432" i="1" s="1"/>
  <c r="N432" i="1"/>
  <c r="G432" i="1"/>
  <c r="O431" i="1"/>
  <c r="P431" i="1" s="1"/>
  <c r="Q431" i="1" s="1"/>
  <c r="N431" i="1"/>
  <c r="G431" i="1"/>
  <c r="O430" i="1"/>
  <c r="P430" i="1" s="1"/>
  <c r="Q430" i="1" s="1"/>
  <c r="N430" i="1"/>
  <c r="G430" i="1"/>
  <c r="O429" i="1"/>
  <c r="P429" i="1" s="1"/>
  <c r="Q429" i="1" s="1"/>
  <c r="N429" i="1"/>
  <c r="G429" i="1"/>
  <c r="O428" i="1"/>
  <c r="P428" i="1" s="1"/>
  <c r="Q428" i="1" s="1"/>
  <c r="N428" i="1"/>
  <c r="G428" i="1"/>
  <c r="O427" i="1"/>
  <c r="P427" i="1" s="1"/>
  <c r="Q427" i="1" s="1"/>
  <c r="N427" i="1"/>
  <c r="G427" i="1"/>
  <c r="O426" i="1"/>
  <c r="P426" i="1" s="1"/>
  <c r="Q426" i="1" s="1"/>
  <c r="N426" i="1"/>
  <c r="G426" i="1"/>
  <c r="O425" i="1"/>
  <c r="P425" i="1" s="1"/>
  <c r="Q425" i="1" s="1"/>
  <c r="N425" i="1"/>
  <c r="G425" i="1"/>
  <c r="O424" i="1"/>
  <c r="P424" i="1" s="1"/>
  <c r="Q424" i="1" s="1"/>
  <c r="N424" i="1"/>
  <c r="G424" i="1"/>
  <c r="O423" i="1"/>
  <c r="P423" i="1" s="1"/>
  <c r="Q423" i="1" s="1"/>
  <c r="N423" i="1"/>
  <c r="G423" i="1"/>
  <c r="O422" i="1"/>
  <c r="P422" i="1" s="1"/>
  <c r="Q422" i="1" s="1"/>
  <c r="N422" i="1"/>
  <c r="G422" i="1"/>
  <c r="O421" i="1"/>
  <c r="P421" i="1" s="1"/>
  <c r="Q421" i="1" s="1"/>
  <c r="N421" i="1"/>
  <c r="G421" i="1"/>
  <c r="O420" i="1"/>
  <c r="P420" i="1" s="1"/>
  <c r="Q420" i="1" s="1"/>
  <c r="N420" i="1"/>
  <c r="G420" i="1"/>
  <c r="O419" i="1"/>
  <c r="P419" i="1" s="1"/>
  <c r="Q419" i="1" s="1"/>
  <c r="N419" i="1"/>
  <c r="G419" i="1"/>
  <c r="O418" i="1"/>
  <c r="P418" i="1" s="1"/>
  <c r="Q418" i="1" s="1"/>
  <c r="N418" i="1"/>
  <c r="G418" i="1"/>
  <c r="O417" i="1"/>
  <c r="P417" i="1" s="1"/>
  <c r="Q417" i="1" s="1"/>
  <c r="N417" i="1"/>
  <c r="G417" i="1"/>
  <c r="O416" i="1"/>
  <c r="P416" i="1" s="1"/>
  <c r="Q416" i="1" s="1"/>
  <c r="N416" i="1"/>
  <c r="G416" i="1"/>
  <c r="O415" i="1"/>
  <c r="P415" i="1" s="1"/>
  <c r="Q415" i="1" s="1"/>
  <c r="N415" i="1"/>
  <c r="G415" i="1"/>
  <c r="O414" i="1"/>
  <c r="P414" i="1" s="1"/>
  <c r="Q414" i="1" s="1"/>
  <c r="N414" i="1"/>
  <c r="G414" i="1"/>
  <c r="O413" i="1"/>
  <c r="P413" i="1" s="1"/>
  <c r="Q413" i="1" s="1"/>
  <c r="N413" i="1"/>
  <c r="G413" i="1"/>
  <c r="O412" i="1"/>
  <c r="P412" i="1" s="1"/>
  <c r="Q412" i="1" s="1"/>
  <c r="N412" i="1"/>
  <c r="G412" i="1"/>
  <c r="P411" i="1"/>
  <c r="Q411" i="1" s="1"/>
  <c r="O411" i="1"/>
  <c r="N411" i="1"/>
  <c r="G411" i="1"/>
  <c r="O410" i="1"/>
  <c r="P410" i="1" s="1"/>
  <c r="Q410" i="1" s="1"/>
  <c r="N410" i="1"/>
  <c r="G410" i="1"/>
  <c r="O409" i="1"/>
  <c r="P409" i="1" s="1"/>
  <c r="Q409" i="1" s="1"/>
  <c r="N409" i="1"/>
  <c r="G409" i="1"/>
  <c r="O408" i="1"/>
  <c r="P408" i="1" s="1"/>
  <c r="Q408" i="1" s="1"/>
  <c r="N408" i="1"/>
  <c r="G408" i="1"/>
  <c r="O407" i="1"/>
  <c r="P407" i="1" s="1"/>
  <c r="Q407" i="1" s="1"/>
  <c r="N407" i="1"/>
  <c r="G407" i="1"/>
  <c r="O406" i="1"/>
  <c r="P406" i="1" s="1"/>
  <c r="Q406" i="1" s="1"/>
  <c r="N406" i="1"/>
  <c r="G406" i="1"/>
  <c r="O405" i="1"/>
  <c r="P405" i="1" s="1"/>
  <c r="Q405" i="1" s="1"/>
  <c r="N405" i="1"/>
  <c r="G405" i="1"/>
  <c r="O404" i="1"/>
  <c r="P404" i="1" s="1"/>
  <c r="Q404" i="1" s="1"/>
  <c r="N404" i="1"/>
  <c r="G404" i="1"/>
  <c r="O403" i="1"/>
  <c r="P403" i="1" s="1"/>
  <c r="Q403" i="1" s="1"/>
  <c r="N403" i="1"/>
  <c r="G403" i="1"/>
  <c r="O402" i="1"/>
  <c r="P402" i="1" s="1"/>
  <c r="Q402" i="1" s="1"/>
  <c r="N402" i="1"/>
  <c r="G402" i="1"/>
  <c r="O401" i="1"/>
  <c r="P401" i="1" s="1"/>
  <c r="Q401" i="1" s="1"/>
  <c r="N401" i="1"/>
  <c r="G401" i="1"/>
  <c r="O400" i="1"/>
  <c r="P400" i="1" s="1"/>
  <c r="Q400" i="1" s="1"/>
  <c r="N400" i="1"/>
  <c r="G400" i="1"/>
  <c r="O399" i="1"/>
  <c r="P399" i="1" s="1"/>
  <c r="Q399" i="1" s="1"/>
  <c r="N399" i="1"/>
  <c r="G399" i="1"/>
  <c r="O398" i="1"/>
  <c r="P398" i="1" s="1"/>
  <c r="Q398" i="1" s="1"/>
  <c r="N398" i="1"/>
  <c r="G398" i="1"/>
  <c r="O397" i="1"/>
  <c r="P397" i="1" s="1"/>
  <c r="Q397" i="1" s="1"/>
  <c r="N397" i="1"/>
  <c r="G397" i="1"/>
  <c r="O396" i="1"/>
  <c r="P396" i="1" s="1"/>
  <c r="Q396" i="1" s="1"/>
  <c r="N396" i="1"/>
  <c r="G396" i="1"/>
  <c r="O395" i="1"/>
  <c r="P395" i="1" s="1"/>
  <c r="Q395" i="1" s="1"/>
  <c r="N395" i="1"/>
  <c r="G395" i="1"/>
  <c r="O394" i="1"/>
  <c r="P394" i="1" s="1"/>
  <c r="Q394" i="1" s="1"/>
  <c r="N394" i="1"/>
  <c r="G394" i="1"/>
  <c r="O393" i="1"/>
  <c r="P393" i="1" s="1"/>
  <c r="Q393" i="1" s="1"/>
  <c r="N393" i="1"/>
  <c r="G393" i="1"/>
  <c r="O392" i="1"/>
  <c r="P392" i="1" s="1"/>
  <c r="Q392" i="1" s="1"/>
  <c r="N392" i="1"/>
  <c r="G392" i="1"/>
  <c r="O391" i="1"/>
  <c r="P391" i="1" s="1"/>
  <c r="Q391" i="1" s="1"/>
  <c r="N391" i="1"/>
  <c r="G391" i="1"/>
  <c r="O390" i="1"/>
  <c r="P390" i="1" s="1"/>
  <c r="Q390" i="1" s="1"/>
  <c r="N390" i="1"/>
  <c r="G390" i="1"/>
  <c r="O389" i="1"/>
  <c r="P389" i="1" s="1"/>
  <c r="Q389" i="1" s="1"/>
  <c r="N389" i="1"/>
  <c r="G389" i="1"/>
  <c r="O388" i="1"/>
  <c r="P388" i="1" s="1"/>
  <c r="Q388" i="1" s="1"/>
  <c r="N388" i="1"/>
  <c r="G388" i="1"/>
  <c r="P387" i="1"/>
  <c r="Q387" i="1" s="1"/>
  <c r="O387" i="1"/>
  <c r="N387" i="1"/>
  <c r="G387" i="1"/>
  <c r="O386" i="1"/>
  <c r="P386" i="1" s="1"/>
  <c r="Q386" i="1" s="1"/>
  <c r="N386" i="1"/>
  <c r="G386" i="1"/>
  <c r="O385" i="1"/>
  <c r="P385" i="1" s="1"/>
  <c r="Q385" i="1" s="1"/>
  <c r="N385" i="1"/>
  <c r="G385" i="1"/>
  <c r="O384" i="1"/>
  <c r="P384" i="1" s="1"/>
  <c r="Q384" i="1" s="1"/>
  <c r="N384" i="1"/>
  <c r="G384" i="1"/>
  <c r="O383" i="1"/>
  <c r="P383" i="1" s="1"/>
  <c r="Q383" i="1" s="1"/>
  <c r="N383" i="1"/>
  <c r="G383" i="1"/>
  <c r="O382" i="1"/>
  <c r="P382" i="1" s="1"/>
  <c r="Q382" i="1" s="1"/>
  <c r="N382" i="1"/>
  <c r="G382" i="1"/>
  <c r="O381" i="1"/>
  <c r="P381" i="1" s="1"/>
  <c r="Q381" i="1" s="1"/>
  <c r="N381" i="1"/>
  <c r="G381" i="1"/>
  <c r="O380" i="1"/>
  <c r="P380" i="1" s="1"/>
  <c r="Q380" i="1" s="1"/>
  <c r="N380" i="1"/>
  <c r="G380" i="1"/>
  <c r="O379" i="1"/>
  <c r="P379" i="1" s="1"/>
  <c r="Q379" i="1" s="1"/>
  <c r="N379" i="1"/>
  <c r="G379" i="1"/>
  <c r="O378" i="1"/>
  <c r="P378" i="1" s="1"/>
  <c r="Q378" i="1" s="1"/>
  <c r="N378" i="1"/>
  <c r="G378" i="1"/>
  <c r="O377" i="1"/>
  <c r="P377" i="1" s="1"/>
  <c r="Q377" i="1" s="1"/>
  <c r="N377" i="1"/>
  <c r="G377" i="1"/>
  <c r="O376" i="1"/>
  <c r="P376" i="1" s="1"/>
  <c r="Q376" i="1" s="1"/>
  <c r="N376" i="1"/>
  <c r="G376" i="1"/>
  <c r="P375" i="1"/>
  <c r="Q375" i="1" s="1"/>
  <c r="O375" i="1"/>
  <c r="N375" i="1"/>
  <c r="G375" i="1"/>
  <c r="O374" i="1"/>
  <c r="P374" i="1" s="1"/>
  <c r="Q374" i="1" s="1"/>
  <c r="N374" i="1"/>
  <c r="G374" i="1"/>
  <c r="O373" i="1"/>
  <c r="P373" i="1" s="1"/>
  <c r="Q373" i="1" s="1"/>
  <c r="N373" i="1"/>
  <c r="G373" i="1"/>
  <c r="O372" i="1"/>
  <c r="P372" i="1" s="1"/>
  <c r="Q372" i="1" s="1"/>
  <c r="N372" i="1"/>
  <c r="G372" i="1"/>
  <c r="P371" i="1"/>
  <c r="Q371" i="1" s="1"/>
  <c r="O371" i="1"/>
  <c r="N371" i="1"/>
  <c r="G371" i="1"/>
  <c r="Q370" i="1"/>
  <c r="P370" i="1"/>
  <c r="O370" i="1"/>
  <c r="N370" i="1"/>
  <c r="G370" i="1"/>
  <c r="O369" i="1"/>
  <c r="P369" i="1" s="1"/>
  <c r="Q369" i="1" s="1"/>
  <c r="N369" i="1"/>
  <c r="G369" i="1"/>
  <c r="P368" i="1"/>
  <c r="Q368" i="1" s="1"/>
  <c r="O368" i="1"/>
  <c r="N368" i="1"/>
  <c r="G368" i="1"/>
  <c r="Q367" i="1"/>
  <c r="P367" i="1"/>
  <c r="O367" i="1"/>
  <c r="N367" i="1"/>
  <c r="G367" i="1"/>
  <c r="Q366" i="1"/>
  <c r="O366" i="1"/>
  <c r="P366" i="1" s="1"/>
  <c r="N366" i="1"/>
  <c r="G366" i="1"/>
  <c r="O365" i="1"/>
  <c r="P365" i="1" s="1"/>
  <c r="Q365" i="1" s="1"/>
  <c r="N365" i="1"/>
  <c r="G365" i="1"/>
  <c r="P364" i="1"/>
  <c r="Q364" i="1" s="1"/>
  <c r="O364" i="1"/>
  <c r="N364" i="1"/>
  <c r="G364" i="1"/>
  <c r="Q363" i="1"/>
  <c r="O363" i="1"/>
  <c r="P363" i="1" s="1"/>
  <c r="N363" i="1"/>
  <c r="G363" i="1"/>
  <c r="O362" i="1"/>
  <c r="P362" i="1" s="1"/>
  <c r="Q362" i="1" s="1"/>
  <c r="N362" i="1"/>
  <c r="G362" i="1"/>
  <c r="O361" i="1"/>
  <c r="P361" i="1" s="1"/>
  <c r="Q361" i="1" s="1"/>
  <c r="N361" i="1"/>
  <c r="G361" i="1"/>
  <c r="O360" i="1"/>
  <c r="P360" i="1" s="1"/>
  <c r="Q360" i="1" s="1"/>
  <c r="N360" i="1"/>
  <c r="G360" i="1"/>
  <c r="P359" i="1"/>
  <c r="Q359" i="1" s="1"/>
  <c r="O359" i="1"/>
  <c r="N359" i="1"/>
  <c r="G359" i="1"/>
  <c r="O358" i="1"/>
  <c r="P358" i="1" s="1"/>
  <c r="Q358" i="1" s="1"/>
  <c r="N358" i="1"/>
  <c r="G358" i="1"/>
  <c r="O357" i="1"/>
  <c r="P357" i="1" s="1"/>
  <c r="Q357" i="1" s="1"/>
  <c r="N357" i="1"/>
  <c r="G357" i="1"/>
  <c r="O356" i="1"/>
  <c r="P356" i="1" s="1"/>
  <c r="Q356" i="1" s="1"/>
  <c r="N356" i="1"/>
  <c r="G356" i="1"/>
  <c r="O355" i="1"/>
  <c r="P355" i="1" s="1"/>
  <c r="Q355" i="1" s="1"/>
  <c r="N355" i="1"/>
  <c r="G355" i="1"/>
  <c r="O354" i="1"/>
  <c r="P354" i="1" s="1"/>
  <c r="Q354" i="1" s="1"/>
  <c r="N354" i="1"/>
  <c r="G354" i="1"/>
  <c r="O353" i="1"/>
  <c r="P353" i="1" s="1"/>
  <c r="Q353" i="1" s="1"/>
  <c r="N353" i="1"/>
  <c r="G353" i="1"/>
  <c r="O352" i="1"/>
  <c r="P352" i="1" s="1"/>
  <c r="Q352" i="1" s="1"/>
  <c r="N352" i="1"/>
  <c r="G352" i="1"/>
  <c r="O351" i="1"/>
  <c r="P351" i="1" s="1"/>
  <c r="Q351" i="1" s="1"/>
  <c r="N351" i="1"/>
  <c r="G351" i="1"/>
  <c r="O350" i="1"/>
  <c r="P350" i="1" s="1"/>
  <c r="Q350" i="1" s="1"/>
  <c r="N350" i="1"/>
  <c r="G350" i="1"/>
  <c r="O349" i="1"/>
  <c r="P349" i="1" s="1"/>
  <c r="Q349" i="1" s="1"/>
  <c r="N349" i="1"/>
  <c r="G349" i="1"/>
  <c r="O348" i="1"/>
  <c r="P348" i="1" s="1"/>
  <c r="Q348" i="1" s="1"/>
  <c r="N348" i="1"/>
  <c r="G348" i="1"/>
  <c r="P347" i="1"/>
  <c r="Q347" i="1" s="1"/>
  <c r="O347" i="1"/>
  <c r="N347" i="1"/>
  <c r="G347" i="1"/>
  <c r="O346" i="1"/>
  <c r="P346" i="1" s="1"/>
  <c r="Q346" i="1" s="1"/>
  <c r="N346" i="1"/>
  <c r="G346" i="1"/>
  <c r="O345" i="1"/>
  <c r="P345" i="1" s="1"/>
  <c r="Q345" i="1" s="1"/>
  <c r="N345" i="1"/>
  <c r="G345" i="1"/>
  <c r="O344" i="1"/>
  <c r="P344" i="1" s="1"/>
  <c r="Q344" i="1" s="1"/>
  <c r="N344" i="1"/>
  <c r="G344" i="1"/>
  <c r="O343" i="1"/>
  <c r="P343" i="1" s="1"/>
  <c r="Q343" i="1" s="1"/>
  <c r="N343" i="1"/>
  <c r="G343" i="1"/>
  <c r="O342" i="1"/>
  <c r="P342" i="1" s="1"/>
  <c r="Q342" i="1" s="1"/>
  <c r="N342" i="1"/>
  <c r="G342" i="1"/>
  <c r="O341" i="1"/>
  <c r="P341" i="1" s="1"/>
  <c r="Q341" i="1" s="1"/>
  <c r="N341" i="1"/>
  <c r="G341" i="1"/>
  <c r="O340" i="1"/>
  <c r="P340" i="1" s="1"/>
  <c r="Q340" i="1" s="1"/>
  <c r="N340" i="1"/>
  <c r="G340" i="1"/>
  <c r="O339" i="1"/>
  <c r="P339" i="1" s="1"/>
  <c r="Q339" i="1" s="1"/>
  <c r="N339" i="1"/>
  <c r="G339" i="1"/>
  <c r="O338" i="1"/>
  <c r="P338" i="1" s="1"/>
  <c r="Q338" i="1" s="1"/>
  <c r="N338" i="1"/>
  <c r="G338" i="1"/>
  <c r="O337" i="1"/>
  <c r="P337" i="1" s="1"/>
  <c r="Q337" i="1" s="1"/>
  <c r="N337" i="1"/>
  <c r="G337" i="1"/>
  <c r="O336" i="1"/>
  <c r="P336" i="1" s="1"/>
  <c r="Q336" i="1" s="1"/>
  <c r="N336" i="1"/>
  <c r="G336" i="1"/>
  <c r="O335" i="1"/>
  <c r="P335" i="1" s="1"/>
  <c r="Q335" i="1" s="1"/>
  <c r="N335" i="1"/>
  <c r="G335" i="1"/>
  <c r="O334" i="1"/>
  <c r="P334" i="1" s="1"/>
  <c r="Q334" i="1" s="1"/>
  <c r="N334" i="1"/>
  <c r="G334" i="1"/>
  <c r="O333" i="1"/>
  <c r="P333" i="1" s="1"/>
  <c r="Q333" i="1" s="1"/>
  <c r="N333" i="1"/>
  <c r="G333" i="1"/>
  <c r="O332" i="1"/>
  <c r="P332" i="1" s="1"/>
  <c r="Q332" i="1" s="1"/>
  <c r="N332" i="1"/>
  <c r="G332" i="1"/>
  <c r="O331" i="1"/>
  <c r="P331" i="1" s="1"/>
  <c r="Q331" i="1" s="1"/>
  <c r="N331" i="1"/>
  <c r="G331" i="1"/>
  <c r="O330" i="1"/>
  <c r="P330" i="1" s="1"/>
  <c r="Q330" i="1" s="1"/>
  <c r="N330" i="1"/>
  <c r="G330" i="1"/>
  <c r="O329" i="1"/>
  <c r="P329" i="1" s="1"/>
  <c r="Q329" i="1" s="1"/>
  <c r="N329" i="1"/>
  <c r="G329" i="1"/>
  <c r="O328" i="1"/>
  <c r="P328" i="1" s="1"/>
  <c r="Q328" i="1" s="1"/>
  <c r="N328" i="1"/>
  <c r="G328" i="1"/>
  <c r="P327" i="1"/>
  <c r="Q327" i="1" s="1"/>
  <c r="O327" i="1"/>
  <c r="N327" i="1"/>
  <c r="G327" i="1"/>
  <c r="O326" i="1"/>
  <c r="P326" i="1" s="1"/>
  <c r="Q326" i="1" s="1"/>
  <c r="N326" i="1"/>
  <c r="G326" i="1"/>
  <c r="O325" i="1"/>
  <c r="P325" i="1" s="1"/>
  <c r="Q325" i="1" s="1"/>
  <c r="N325" i="1"/>
  <c r="G325" i="1"/>
  <c r="O324" i="1"/>
  <c r="P324" i="1" s="1"/>
  <c r="Q324" i="1" s="1"/>
  <c r="N324" i="1"/>
  <c r="G324" i="1"/>
  <c r="O323" i="1"/>
  <c r="P323" i="1" s="1"/>
  <c r="Q323" i="1" s="1"/>
  <c r="N323" i="1"/>
  <c r="G323" i="1"/>
  <c r="O322" i="1"/>
  <c r="P322" i="1" s="1"/>
  <c r="Q322" i="1" s="1"/>
  <c r="N322" i="1"/>
  <c r="G322" i="1"/>
  <c r="O321" i="1"/>
  <c r="P321" i="1" s="1"/>
  <c r="Q321" i="1" s="1"/>
  <c r="N321" i="1"/>
  <c r="G321" i="1"/>
  <c r="P320" i="1"/>
  <c r="Q320" i="1" s="1"/>
  <c r="O320" i="1"/>
  <c r="N320" i="1"/>
  <c r="G320" i="1"/>
  <c r="Q319" i="1"/>
  <c r="P319" i="1"/>
  <c r="O319" i="1"/>
  <c r="N319" i="1"/>
  <c r="G319" i="1"/>
  <c r="O318" i="1"/>
  <c r="P318" i="1" s="1"/>
  <c r="Q318" i="1" s="1"/>
  <c r="N318" i="1"/>
  <c r="G318" i="1"/>
  <c r="O317" i="1"/>
  <c r="P317" i="1" s="1"/>
  <c r="Q317" i="1" s="1"/>
  <c r="N317" i="1"/>
  <c r="G317" i="1"/>
  <c r="O316" i="1"/>
  <c r="P316" i="1" s="1"/>
  <c r="Q316" i="1" s="1"/>
  <c r="N316" i="1"/>
  <c r="G316" i="1"/>
  <c r="O315" i="1"/>
  <c r="P315" i="1" s="1"/>
  <c r="Q315" i="1" s="1"/>
  <c r="N315" i="1"/>
  <c r="G315" i="1"/>
  <c r="O314" i="1"/>
  <c r="P314" i="1" s="1"/>
  <c r="Q314" i="1" s="1"/>
  <c r="N314" i="1"/>
  <c r="G314" i="1"/>
  <c r="O313" i="1"/>
  <c r="P313" i="1" s="1"/>
  <c r="Q313" i="1" s="1"/>
  <c r="N313" i="1"/>
  <c r="G313" i="1"/>
  <c r="O312" i="1"/>
  <c r="P312" i="1" s="1"/>
  <c r="Q312" i="1" s="1"/>
  <c r="N312" i="1"/>
  <c r="G312" i="1"/>
  <c r="O311" i="1"/>
  <c r="P311" i="1" s="1"/>
  <c r="Q311" i="1" s="1"/>
  <c r="N311" i="1"/>
  <c r="G311" i="1"/>
  <c r="O310" i="1"/>
  <c r="P310" i="1" s="1"/>
  <c r="Q310" i="1" s="1"/>
  <c r="N310" i="1"/>
  <c r="G310" i="1"/>
  <c r="O309" i="1"/>
  <c r="P309" i="1" s="1"/>
  <c r="Q309" i="1" s="1"/>
  <c r="N309" i="1"/>
  <c r="G309" i="1"/>
  <c r="O308" i="1"/>
  <c r="P308" i="1" s="1"/>
  <c r="Q308" i="1" s="1"/>
  <c r="N308" i="1"/>
  <c r="G308" i="1"/>
  <c r="O307" i="1"/>
  <c r="P307" i="1" s="1"/>
  <c r="Q307" i="1" s="1"/>
  <c r="N307" i="1"/>
  <c r="G307" i="1"/>
  <c r="O306" i="1"/>
  <c r="P306" i="1" s="1"/>
  <c r="Q306" i="1" s="1"/>
  <c r="N306" i="1"/>
  <c r="G306" i="1"/>
  <c r="O305" i="1"/>
  <c r="P305" i="1" s="1"/>
  <c r="Q305" i="1" s="1"/>
  <c r="N305" i="1"/>
  <c r="G305" i="1"/>
  <c r="O304" i="1"/>
  <c r="P304" i="1" s="1"/>
  <c r="Q304" i="1" s="1"/>
  <c r="N304" i="1"/>
  <c r="G304" i="1"/>
  <c r="O303" i="1"/>
  <c r="P303" i="1" s="1"/>
  <c r="Q303" i="1" s="1"/>
  <c r="N303" i="1"/>
  <c r="G303" i="1"/>
  <c r="O302" i="1"/>
  <c r="P302" i="1" s="1"/>
  <c r="Q302" i="1" s="1"/>
  <c r="N302" i="1"/>
  <c r="G302" i="1"/>
  <c r="O301" i="1"/>
  <c r="P301" i="1" s="1"/>
  <c r="Q301" i="1" s="1"/>
  <c r="N301" i="1"/>
  <c r="G301" i="1"/>
  <c r="O300" i="1"/>
  <c r="P300" i="1" s="1"/>
  <c r="Q300" i="1" s="1"/>
  <c r="N300" i="1"/>
  <c r="G300" i="1"/>
  <c r="O299" i="1"/>
  <c r="P299" i="1" s="1"/>
  <c r="Q299" i="1" s="1"/>
  <c r="N299" i="1"/>
  <c r="G299" i="1"/>
  <c r="O298" i="1"/>
  <c r="P298" i="1" s="1"/>
  <c r="Q298" i="1" s="1"/>
  <c r="N298" i="1"/>
  <c r="G298" i="1"/>
  <c r="O297" i="1"/>
  <c r="P297" i="1" s="1"/>
  <c r="Q297" i="1" s="1"/>
  <c r="N297" i="1"/>
  <c r="G297" i="1"/>
  <c r="O296" i="1"/>
  <c r="P296" i="1" s="1"/>
  <c r="Q296" i="1" s="1"/>
  <c r="N296" i="1"/>
  <c r="G296" i="1"/>
  <c r="P295" i="1"/>
  <c r="Q295" i="1" s="1"/>
  <c r="O295" i="1"/>
  <c r="N295" i="1"/>
  <c r="G295" i="1"/>
  <c r="Q294" i="1"/>
  <c r="O294" i="1"/>
  <c r="P294" i="1" s="1"/>
  <c r="N294" i="1"/>
  <c r="G294" i="1"/>
  <c r="O293" i="1"/>
  <c r="P293" i="1" s="1"/>
  <c r="Q293" i="1" s="1"/>
  <c r="N293" i="1"/>
  <c r="G293" i="1"/>
  <c r="O292" i="1"/>
  <c r="P292" i="1" s="1"/>
  <c r="Q292" i="1" s="1"/>
  <c r="N292" i="1"/>
  <c r="G292" i="1"/>
  <c r="O291" i="1"/>
  <c r="P291" i="1" s="1"/>
  <c r="Q291" i="1" s="1"/>
  <c r="N291" i="1"/>
  <c r="G291" i="1"/>
  <c r="O290" i="1"/>
  <c r="P290" i="1" s="1"/>
  <c r="Q290" i="1" s="1"/>
  <c r="N290" i="1"/>
  <c r="G290" i="1"/>
  <c r="O289" i="1"/>
  <c r="P289" i="1" s="1"/>
  <c r="Q289" i="1" s="1"/>
  <c r="N289" i="1"/>
  <c r="G289" i="1"/>
  <c r="O288" i="1"/>
  <c r="P288" i="1" s="1"/>
  <c r="Q288" i="1" s="1"/>
  <c r="N288" i="1"/>
  <c r="G288" i="1"/>
  <c r="O287" i="1"/>
  <c r="P287" i="1" s="1"/>
  <c r="Q287" i="1" s="1"/>
  <c r="N287" i="1"/>
  <c r="G287" i="1"/>
  <c r="O286" i="1"/>
  <c r="P286" i="1" s="1"/>
  <c r="Q286" i="1" s="1"/>
  <c r="N286" i="1"/>
  <c r="G286" i="1"/>
  <c r="O285" i="1"/>
  <c r="P285" i="1" s="1"/>
  <c r="Q285" i="1" s="1"/>
  <c r="N285" i="1"/>
  <c r="G285" i="1"/>
  <c r="O284" i="1"/>
  <c r="P284" i="1" s="1"/>
  <c r="Q284" i="1" s="1"/>
  <c r="N284" i="1"/>
  <c r="G284" i="1"/>
  <c r="O283" i="1"/>
  <c r="P283" i="1" s="1"/>
  <c r="Q283" i="1" s="1"/>
  <c r="N283" i="1"/>
  <c r="G283" i="1"/>
  <c r="O282" i="1"/>
  <c r="P282" i="1" s="1"/>
  <c r="Q282" i="1" s="1"/>
  <c r="N282" i="1"/>
  <c r="G282" i="1"/>
  <c r="O281" i="1"/>
  <c r="P281" i="1" s="1"/>
  <c r="Q281" i="1" s="1"/>
  <c r="N281" i="1"/>
  <c r="G281" i="1"/>
  <c r="O280" i="1"/>
  <c r="P280" i="1" s="1"/>
  <c r="Q280" i="1" s="1"/>
  <c r="N280" i="1"/>
  <c r="G280" i="1"/>
  <c r="P279" i="1"/>
  <c r="Q279" i="1" s="1"/>
  <c r="O279" i="1"/>
  <c r="N279" i="1"/>
  <c r="G279" i="1"/>
  <c r="O278" i="1"/>
  <c r="P278" i="1" s="1"/>
  <c r="Q278" i="1" s="1"/>
  <c r="N278" i="1"/>
  <c r="G278" i="1"/>
  <c r="O277" i="1"/>
  <c r="P277" i="1" s="1"/>
  <c r="Q277" i="1" s="1"/>
  <c r="N277" i="1"/>
  <c r="G277" i="1"/>
  <c r="P276" i="1"/>
  <c r="Q276" i="1" s="1"/>
  <c r="O276" i="1"/>
  <c r="N276" i="1"/>
  <c r="G276" i="1"/>
  <c r="Q275" i="1"/>
  <c r="O275" i="1"/>
  <c r="P275" i="1" s="1"/>
  <c r="N275" i="1"/>
  <c r="G275" i="1"/>
  <c r="O274" i="1"/>
  <c r="P274" i="1" s="1"/>
  <c r="Q274" i="1" s="1"/>
  <c r="N274" i="1"/>
  <c r="G274" i="1"/>
  <c r="O273" i="1"/>
  <c r="P273" i="1" s="1"/>
  <c r="Q273" i="1" s="1"/>
  <c r="N273" i="1"/>
  <c r="G273" i="1"/>
  <c r="O272" i="1"/>
  <c r="P272" i="1" s="1"/>
  <c r="Q272" i="1" s="1"/>
  <c r="N272" i="1"/>
  <c r="G272" i="1"/>
  <c r="O271" i="1"/>
  <c r="P271" i="1" s="1"/>
  <c r="Q271" i="1" s="1"/>
  <c r="N271" i="1"/>
  <c r="G271" i="1"/>
  <c r="O270" i="1"/>
  <c r="P270" i="1" s="1"/>
  <c r="Q270" i="1" s="1"/>
  <c r="N270" i="1"/>
  <c r="G270" i="1"/>
  <c r="O269" i="1"/>
  <c r="P269" i="1" s="1"/>
  <c r="Q269" i="1" s="1"/>
  <c r="N269" i="1"/>
  <c r="G269" i="1"/>
  <c r="P268" i="1"/>
  <c r="Q268" i="1" s="1"/>
  <c r="O268" i="1"/>
  <c r="N268" i="1"/>
  <c r="G268" i="1"/>
  <c r="O267" i="1"/>
  <c r="P267" i="1" s="1"/>
  <c r="Q267" i="1" s="1"/>
  <c r="N267" i="1"/>
  <c r="G267" i="1"/>
  <c r="O266" i="1"/>
  <c r="P266" i="1" s="1"/>
  <c r="Q266" i="1" s="1"/>
  <c r="N266" i="1"/>
  <c r="G266" i="1"/>
  <c r="O265" i="1"/>
  <c r="P265" i="1" s="1"/>
  <c r="Q265" i="1" s="1"/>
  <c r="N265" i="1"/>
  <c r="G265" i="1"/>
  <c r="O264" i="1"/>
  <c r="P264" i="1" s="1"/>
  <c r="Q264" i="1" s="1"/>
  <c r="N264" i="1"/>
  <c r="G264" i="1"/>
  <c r="O263" i="1"/>
  <c r="P263" i="1" s="1"/>
  <c r="Q263" i="1" s="1"/>
  <c r="N263" i="1"/>
  <c r="G263" i="1"/>
  <c r="O262" i="1"/>
  <c r="P262" i="1" s="1"/>
  <c r="Q262" i="1" s="1"/>
  <c r="N262" i="1"/>
  <c r="G262" i="1"/>
  <c r="O261" i="1"/>
  <c r="P261" i="1" s="1"/>
  <c r="Q261" i="1" s="1"/>
  <c r="N261" i="1"/>
  <c r="G261" i="1"/>
  <c r="O260" i="1"/>
  <c r="P260" i="1" s="1"/>
  <c r="Q260" i="1" s="1"/>
  <c r="N260" i="1"/>
  <c r="G260" i="1"/>
  <c r="O259" i="1"/>
  <c r="P259" i="1" s="1"/>
  <c r="Q259" i="1" s="1"/>
  <c r="N259" i="1"/>
  <c r="G259" i="1"/>
  <c r="O258" i="1"/>
  <c r="P258" i="1" s="1"/>
  <c r="Q258" i="1" s="1"/>
  <c r="N258" i="1"/>
  <c r="G258" i="1"/>
  <c r="O257" i="1"/>
  <c r="P257" i="1" s="1"/>
  <c r="Q257" i="1" s="1"/>
  <c r="N257" i="1"/>
  <c r="G257" i="1"/>
  <c r="O256" i="1"/>
  <c r="P256" i="1" s="1"/>
  <c r="Q256" i="1" s="1"/>
  <c r="N256" i="1"/>
  <c r="G256" i="1"/>
  <c r="O255" i="1"/>
  <c r="P255" i="1" s="1"/>
  <c r="Q255" i="1" s="1"/>
  <c r="N255" i="1"/>
  <c r="G255" i="1"/>
  <c r="O254" i="1"/>
  <c r="P254" i="1" s="1"/>
  <c r="Q254" i="1" s="1"/>
  <c r="N254" i="1"/>
  <c r="G254" i="1"/>
  <c r="O253" i="1"/>
  <c r="P253" i="1" s="1"/>
  <c r="Q253" i="1" s="1"/>
  <c r="N253" i="1"/>
  <c r="G253" i="1"/>
  <c r="P252" i="1"/>
  <c r="Q252" i="1" s="1"/>
  <c r="O252" i="1"/>
  <c r="N252" i="1"/>
  <c r="G252" i="1"/>
  <c r="O251" i="1"/>
  <c r="P251" i="1" s="1"/>
  <c r="Q251" i="1" s="1"/>
  <c r="N251" i="1"/>
  <c r="G251" i="1"/>
  <c r="O250" i="1"/>
  <c r="P250" i="1" s="1"/>
  <c r="Q250" i="1" s="1"/>
  <c r="N250" i="1"/>
  <c r="G250" i="1"/>
  <c r="O249" i="1"/>
  <c r="P249" i="1" s="1"/>
  <c r="Q249" i="1" s="1"/>
  <c r="N249" i="1"/>
  <c r="G249" i="1"/>
  <c r="O248" i="1"/>
  <c r="P248" i="1" s="1"/>
  <c r="Q248" i="1" s="1"/>
  <c r="N248" i="1"/>
  <c r="G248" i="1"/>
  <c r="O247" i="1"/>
  <c r="P247" i="1" s="1"/>
  <c r="Q247" i="1" s="1"/>
  <c r="N247" i="1"/>
  <c r="G247" i="1"/>
  <c r="O246" i="1"/>
  <c r="P246" i="1" s="1"/>
  <c r="Q246" i="1" s="1"/>
  <c r="N246" i="1"/>
  <c r="G246" i="1"/>
  <c r="O245" i="1"/>
  <c r="P245" i="1" s="1"/>
  <c r="Q245" i="1" s="1"/>
  <c r="N245" i="1"/>
  <c r="G245" i="1"/>
  <c r="O244" i="1"/>
  <c r="P244" i="1" s="1"/>
  <c r="Q244" i="1" s="1"/>
  <c r="N244" i="1"/>
  <c r="G244" i="1"/>
  <c r="O243" i="1"/>
  <c r="P243" i="1" s="1"/>
  <c r="Q243" i="1" s="1"/>
  <c r="N243" i="1"/>
  <c r="G243" i="1"/>
  <c r="O242" i="1"/>
  <c r="P242" i="1" s="1"/>
  <c r="Q242" i="1" s="1"/>
  <c r="N242" i="1"/>
  <c r="G242" i="1"/>
  <c r="O241" i="1"/>
  <c r="P241" i="1" s="1"/>
  <c r="Q241" i="1" s="1"/>
  <c r="N241" i="1"/>
  <c r="G241" i="1"/>
  <c r="O240" i="1"/>
  <c r="P240" i="1" s="1"/>
  <c r="Q240" i="1" s="1"/>
  <c r="N240" i="1"/>
  <c r="G240" i="1"/>
  <c r="O239" i="1"/>
  <c r="P239" i="1" s="1"/>
  <c r="Q239" i="1" s="1"/>
  <c r="N239" i="1"/>
  <c r="G239" i="1"/>
  <c r="O238" i="1"/>
  <c r="P238" i="1" s="1"/>
  <c r="Q238" i="1" s="1"/>
  <c r="N238" i="1"/>
  <c r="G238" i="1"/>
  <c r="O237" i="1"/>
  <c r="P237" i="1" s="1"/>
  <c r="Q237" i="1" s="1"/>
  <c r="N237" i="1"/>
  <c r="G237" i="1"/>
  <c r="O236" i="1"/>
  <c r="P236" i="1" s="1"/>
  <c r="Q236" i="1" s="1"/>
  <c r="N236" i="1"/>
  <c r="G236" i="1"/>
  <c r="O235" i="1"/>
  <c r="P235" i="1" s="1"/>
  <c r="Q235" i="1" s="1"/>
  <c r="N235" i="1"/>
  <c r="G235" i="1"/>
  <c r="O234" i="1"/>
  <c r="P234" i="1" s="1"/>
  <c r="Q234" i="1" s="1"/>
  <c r="N234" i="1"/>
  <c r="G234" i="1"/>
  <c r="O233" i="1"/>
  <c r="P233" i="1" s="1"/>
  <c r="Q233" i="1" s="1"/>
  <c r="N233" i="1"/>
  <c r="G233" i="1"/>
  <c r="O232" i="1"/>
  <c r="P232" i="1" s="1"/>
  <c r="Q232" i="1" s="1"/>
  <c r="N232" i="1"/>
  <c r="G232" i="1"/>
  <c r="O231" i="1"/>
  <c r="P231" i="1" s="1"/>
  <c r="Q231" i="1" s="1"/>
  <c r="N231" i="1"/>
  <c r="G231" i="1"/>
  <c r="O230" i="1"/>
  <c r="P230" i="1" s="1"/>
  <c r="Q230" i="1" s="1"/>
  <c r="N230" i="1"/>
  <c r="G230" i="1"/>
  <c r="O229" i="1"/>
  <c r="P229" i="1" s="1"/>
  <c r="Q229" i="1" s="1"/>
  <c r="N229" i="1"/>
  <c r="G229" i="1"/>
  <c r="O228" i="1"/>
  <c r="P228" i="1" s="1"/>
  <c r="Q228" i="1" s="1"/>
  <c r="N228" i="1"/>
  <c r="G228" i="1"/>
  <c r="O227" i="1"/>
  <c r="P227" i="1" s="1"/>
  <c r="Q227" i="1" s="1"/>
  <c r="N227" i="1"/>
  <c r="G227" i="1"/>
  <c r="O226" i="1"/>
  <c r="P226" i="1" s="1"/>
  <c r="Q226" i="1" s="1"/>
  <c r="N226" i="1"/>
  <c r="G226" i="1"/>
  <c r="O225" i="1"/>
  <c r="P225" i="1" s="1"/>
  <c r="Q225" i="1" s="1"/>
  <c r="N225" i="1"/>
  <c r="G225" i="1"/>
  <c r="O224" i="1"/>
  <c r="P224" i="1" s="1"/>
  <c r="Q224" i="1" s="1"/>
  <c r="N224" i="1"/>
  <c r="G224" i="1"/>
  <c r="O223" i="1"/>
  <c r="P223" i="1" s="1"/>
  <c r="Q223" i="1" s="1"/>
  <c r="N223" i="1"/>
  <c r="G223" i="1"/>
  <c r="O222" i="1"/>
  <c r="P222" i="1" s="1"/>
  <c r="Q222" i="1" s="1"/>
  <c r="N222" i="1"/>
  <c r="G222" i="1"/>
  <c r="O221" i="1"/>
  <c r="P221" i="1" s="1"/>
  <c r="Q221" i="1" s="1"/>
  <c r="N221" i="1"/>
  <c r="G221" i="1"/>
  <c r="O220" i="1"/>
  <c r="P220" i="1" s="1"/>
  <c r="Q220" i="1" s="1"/>
  <c r="N220" i="1"/>
  <c r="G220" i="1"/>
  <c r="O219" i="1"/>
  <c r="P219" i="1" s="1"/>
  <c r="Q219" i="1" s="1"/>
  <c r="N219" i="1"/>
  <c r="G219" i="1"/>
  <c r="O218" i="1"/>
  <c r="P218" i="1" s="1"/>
  <c r="Q218" i="1" s="1"/>
  <c r="N218" i="1"/>
  <c r="G218" i="1"/>
  <c r="O217" i="1"/>
  <c r="P217" i="1" s="1"/>
  <c r="Q217" i="1" s="1"/>
  <c r="N217" i="1"/>
  <c r="G217" i="1"/>
  <c r="P216" i="1"/>
  <c r="Q216" i="1" s="1"/>
  <c r="O216" i="1"/>
  <c r="N216" i="1"/>
  <c r="G216" i="1"/>
  <c r="O215" i="1"/>
  <c r="P215" i="1" s="1"/>
  <c r="Q215" i="1" s="1"/>
  <c r="N215" i="1"/>
  <c r="G215" i="1"/>
  <c r="O214" i="1"/>
  <c r="P214" i="1" s="1"/>
  <c r="Q214" i="1" s="1"/>
  <c r="N214" i="1"/>
  <c r="G214" i="1"/>
  <c r="O213" i="1"/>
  <c r="P213" i="1" s="1"/>
  <c r="Q213" i="1" s="1"/>
  <c r="N213" i="1"/>
  <c r="G213" i="1"/>
  <c r="O212" i="1"/>
  <c r="P212" i="1" s="1"/>
  <c r="Q212" i="1" s="1"/>
  <c r="N212" i="1"/>
  <c r="G212" i="1"/>
  <c r="O211" i="1"/>
  <c r="P211" i="1" s="1"/>
  <c r="Q211" i="1" s="1"/>
  <c r="N211" i="1"/>
  <c r="G211" i="1"/>
  <c r="O210" i="1"/>
  <c r="P210" i="1" s="1"/>
  <c r="Q210" i="1" s="1"/>
  <c r="N210" i="1"/>
  <c r="G210" i="1"/>
  <c r="O209" i="1"/>
  <c r="P209" i="1" s="1"/>
  <c r="Q209" i="1" s="1"/>
  <c r="N209" i="1"/>
  <c r="G209" i="1"/>
  <c r="O208" i="1"/>
  <c r="P208" i="1" s="1"/>
  <c r="Q208" i="1" s="1"/>
  <c r="N208" i="1"/>
  <c r="G208" i="1"/>
  <c r="O207" i="1"/>
  <c r="P207" i="1" s="1"/>
  <c r="Q207" i="1" s="1"/>
  <c r="N207" i="1"/>
  <c r="G207" i="1"/>
  <c r="O206" i="1"/>
  <c r="P206" i="1" s="1"/>
  <c r="Q206" i="1" s="1"/>
  <c r="N206" i="1"/>
  <c r="G206" i="1"/>
  <c r="P205" i="1"/>
  <c r="Q205" i="1" s="1"/>
  <c r="O205" i="1"/>
  <c r="N205" i="1"/>
  <c r="G205" i="1"/>
  <c r="O204" i="1"/>
  <c r="P204" i="1" s="1"/>
  <c r="Q204" i="1" s="1"/>
  <c r="N204" i="1"/>
  <c r="G204" i="1"/>
  <c r="O203" i="1"/>
  <c r="P203" i="1" s="1"/>
  <c r="Q203" i="1" s="1"/>
  <c r="N203" i="1"/>
  <c r="G203" i="1"/>
  <c r="O202" i="1"/>
  <c r="P202" i="1" s="1"/>
  <c r="Q202" i="1" s="1"/>
  <c r="N202" i="1"/>
  <c r="G202" i="1"/>
  <c r="O201" i="1"/>
  <c r="P201" i="1" s="1"/>
  <c r="Q201" i="1" s="1"/>
  <c r="N201" i="1"/>
  <c r="G201" i="1"/>
  <c r="P200" i="1"/>
  <c r="Q200" i="1" s="1"/>
  <c r="O200" i="1"/>
  <c r="N200" i="1"/>
  <c r="G200" i="1"/>
  <c r="O199" i="1"/>
  <c r="P199" i="1" s="1"/>
  <c r="Q199" i="1" s="1"/>
  <c r="N199" i="1"/>
  <c r="G199" i="1"/>
  <c r="O198" i="1"/>
  <c r="P198" i="1" s="1"/>
  <c r="Q198" i="1" s="1"/>
  <c r="N198" i="1"/>
  <c r="G198" i="1"/>
  <c r="O197" i="1"/>
  <c r="P197" i="1" s="1"/>
  <c r="Q197" i="1" s="1"/>
  <c r="N197" i="1"/>
  <c r="G197" i="1"/>
  <c r="O196" i="1"/>
  <c r="P196" i="1" s="1"/>
  <c r="Q196" i="1" s="1"/>
  <c r="N196" i="1"/>
  <c r="G196" i="1"/>
  <c r="O195" i="1"/>
  <c r="P195" i="1" s="1"/>
  <c r="Q195" i="1" s="1"/>
  <c r="N195" i="1"/>
  <c r="G195" i="1"/>
  <c r="O194" i="1"/>
  <c r="P194" i="1" s="1"/>
  <c r="Q194" i="1" s="1"/>
  <c r="N194" i="1"/>
  <c r="G194" i="1"/>
  <c r="O193" i="1"/>
  <c r="P193" i="1" s="1"/>
  <c r="Q193" i="1" s="1"/>
  <c r="N193" i="1"/>
  <c r="G193" i="1"/>
  <c r="O192" i="1"/>
  <c r="P192" i="1" s="1"/>
  <c r="Q192" i="1" s="1"/>
  <c r="N192" i="1"/>
  <c r="G192" i="1"/>
  <c r="O191" i="1"/>
  <c r="P191" i="1" s="1"/>
  <c r="Q191" i="1" s="1"/>
  <c r="N191" i="1"/>
  <c r="G191" i="1"/>
  <c r="O190" i="1"/>
  <c r="P190" i="1" s="1"/>
  <c r="Q190" i="1" s="1"/>
  <c r="N190" i="1"/>
  <c r="G190" i="1"/>
  <c r="O189" i="1"/>
  <c r="P189" i="1" s="1"/>
  <c r="Q189" i="1" s="1"/>
  <c r="N189" i="1"/>
  <c r="G189" i="1"/>
  <c r="O188" i="1"/>
  <c r="P188" i="1" s="1"/>
  <c r="Q188" i="1" s="1"/>
  <c r="N188" i="1"/>
  <c r="G188" i="1"/>
  <c r="O187" i="1"/>
  <c r="P187" i="1" s="1"/>
  <c r="Q187" i="1" s="1"/>
  <c r="N187" i="1"/>
  <c r="G187" i="1"/>
  <c r="O186" i="1"/>
  <c r="P186" i="1" s="1"/>
  <c r="Q186" i="1" s="1"/>
  <c r="N186" i="1"/>
  <c r="G186" i="1"/>
  <c r="O185" i="1"/>
  <c r="P185" i="1" s="1"/>
  <c r="Q185" i="1" s="1"/>
  <c r="N185" i="1"/>
  <c r="G185" i="1"/>
  <c r="O184" i="1"/>
  <c r="P184" i="1" s="1"/>
  <c r="Q184" i="1" s="1"/>
  <c r="N184" i="1"/>
  <c r="G184" i="1"/>
  <c r="O183" i="1"/>
  <c r="P183" i="1" s="1"/>
  <c r="Q183" i="1" s="1"/>
  <c r="N183" i="1"/>
  <c r="G183" i="1"/>
  <c r="O182" i="1"/>
  <c r="P182" i="1" s="1"/>
  <c r="Q182" i="1" s="1"/>
  <c r="N182" i="1"/>
  <c r="G182" i="1"/>
  <c r="O181" i="1"/>
  <c r="P181" i="1" s="1"/>
  <c r="Q181" i="1" s="1"/>
  <c r="N181" i="1"/>
  <c r="G181" i="1"/>
  <c r="O180" i="1"/>
  <c r="P180" i="1" s="1"/>
  <c r="Q180" i="1" s="1"/>
  <c r="N180" i="1"/>
  <c r="G180" i="1"/>
  <c r="O179" i="1"/>
  <c r="P179" i="1" s="1"/>
  <c r="Q179" i="1" s="1"/>
  <c r="N179" i="1"/>
  <c r="G179" i="1"/>
  <c r="O178" i="1"/>
  <c r="P178" i="1" s="1"/>
  <c r="Q178" i="1" s="1"/>
  <c r="N178" i="1"/>
  <c r="G178" i="1"/>
  <c r="O177" i="1"/>
  <c r="P177" i="1" s="1"/>
  <c r="Q177" i="1" s="1"/>
  <c r="N177" i="1"/>
  <c r="G177" i="1"/>
  <c r="O176" i="1"/>
  <c r="P176" i="1" s="1"/>
  <c r="Q176" i="1" s="1"/>
  <c r="N176" i="1"/>
  <c r="G176" i="1"/>
  <c r="O175" i="1"/>
  <c r="P175" i="1" s="1"/>
  <c r="Q175" i="1" s="1"/>
  <c r="N175" i="1"/>
  <c r="G175" i="1"/>
  <c r="O174" i="1"/>
  <c r="P174" i="1" s="1"/>
  <c r="Q174" i="1" s="1"/>
  <c r="N174" i="1"/>
  <c r="G174" i="1"/>
  <c r="O173" i="1"/>
  <c r="P173" i="1" s="1"/>
  <c r="Q173" i="1" s="1"/>
  <c r="N173" i="1"/>
  <c r="G173" i="1"/>
  <c r="P172" i="1"/>
  <c r="Q172" i="1" s="1"/>
  <c r="O172" i="1"/>
  <c r="N172" i="1"/>
  <c r="G172" i="1"/>
  <c r="O171" i="1"/>
  <c r="P171" i="1" s="1"/>
  <c r="Q171" i="1" s="1"/>
  <c r="N171" i="1"/>
  <c r="G171" i="1"/>
  <c r="O170" i="1"/>
  <c r="P170" i="1" s="1"/>
  <c r="Q170" i="1" s="1"/>
  <c r="N170" i="1"/>
  <c r="G170" i="1"/>
  <c r="O169" i="1"/>
  <c r="P169" i="1" s="1"/>
  <c r="Q169" i="1" s="1"/>
  <c r="N169" i="1"/>
  <c r="G169" i="1"/>
  <c r="O168" i="1"/>
  <c r="P168" i="1" s="1"/>
  <c r="Q168" i="1" s="1"/>
  <c r="N168" i="1"/>
  <c r="G168" i="1"/>
  <c r="O167" i="1"/>
  <c r="P167" i="1" s="1"/>
  <c r="Q167" i="1" s="1"/>
  <c r="N167" i="1"/>
  <c r="G167" i="1"/>
  <c r="O166" i="1"/>
  <c r="P166" i="1" s="1"/>
  <c r="Q166" i="1" s="1"/>
  <c r="N166" i="1"/>
  <c r="G166" i="1"/>
  <c r="P165" i="1"/>
  <c r="Q165" i="1" s="1"/>
  <c r="O165" i="1"/>
  <c r="N165" i="1"/>
  <c r="G165" i="1"/>
  <c r="O164" i="1"/>
  <c r="P164" i="1" s="1"/>
  <c r="Q164" i="1" s="1"/>
  <c r="N164" i="1"/>
  <c r="G164" i="1"/>
  <c r="O163" i="1"/>
  <c r="P163" i="1" s="1"/>
  <c r="Q163" i="1" s="1"/>
  <c r="N163" i="1"/>
  <c r="G163" i="1"/>
  <c r="O162" i="1"/>
  <c r="P162" i="1" s="1"/>
  <c r="Q162" i="1" s="1"/>
  <c r="N162" i="1"/>
  <c r="G162" i="1"/>
  <c r="O161" i="1"/>
  <c r="P161" i="1" s="1"/>
  <c r="Q161" i="1" s="1"/>
  <c r="N161" i="1"/>
  <c r="G161" i="1"/>
  <c r="O160" i="1"/>
  <c r="P160" i="1" s="1"/>
  <c r="Q160" i="1" s="1"/>
  <c r="N160" i="1"/>
  <c r="G160" i="1"/>
  <c r="O159" i="1"/>
  <c r="P159" i="1" s="1"/>
  <c r="Q159" i="1" s="1"/>
  <c r="N159" i="1"/>
  <c r="G159" i="1"/>
  <c r="O158" i="1"/>
  <c r="P158" i="1" s="1"/>
  <c r="Q158" i="1" s="1"/>
  <c r="N158" i="1"/>
  <c r="G158" i="1"/>
  <c r="O157" i="1"/>
  <c r="P157" i="1" s="1"/>
  <c r="Q157" i="1" s="1"/>
  <c r="N157" i="1"/>
  <c r="G157" i="1"/>
  <c r="P156" i="1"/>
  <c r="Q156" i="1" s="1"/>
  <c r="O156" i="1"/>
  <c r="N156" i="1"/>
  <c r="G156" i="1"/>
  <c r="O155" i="1"/>
  <c r="P155" i="1" s="1"/>
  <c r="Q155" i="1" s="1"/>
  <c r="N155" i="1"/>
  <c r="G155" i="1"/>
  <c r="O154" i="1"/>
  <c r="P154" i="1" s="1"/>
  <c r="Q154" i="1" s="1"/>
  <c r="N154" i="1"/>
  <c r="G154" i="1"/>
  <c r="O153" i="1"/>
  <c r="P153" i="1" s="1"/>
  <c r="Q153" i="1" s="1"/>
  <c r="N153" i="1"/>
  <c r="G153" i="1"/>
  <c r="O152" i="1"/>
  <c r="P152" i="1" s="1"/>
  <c r="Q152" i="1" s="1"/>
  <c r="N152" i="1"/>
  <c r="G152" i="1"/>
  <c r="O151" i="1"/>
  <c r="P151" i="1" s="1"/>
  <c r="Q151" i="1" s="1"/>
  <c r="N151" i="1"/>
  <c r="G151" i="1"/>
  <c r="O150" i="1"/>
  <c r="P150" i="1" s="1"/>
  <c r="Q150" i="1" s="1"/>
  <c r="N150" i="1"/>
  <c r="G150" i="1"/>
  <c r="O149" i="1"/>
  <c r="P149" i="1" s="1"/>
  <c r="Q149" i="1" s="1"/>
  <c r="N149" i="1"/>
  <c r="G149" i="1"/>
  <c r="O148" i="1"/>
  <c r="P148" i="1" s="1"/>
  <c r="Q148" i="1" s="1"/>
  <c r="N148" i="1"/>
  <c r="G148" i="1"/>
  <c r="O147" i="1"/>
  <c r="P147" i="1" s="1"/>
  <c r="Q147" i="1" s="1"/>
  <c r="N147" i="1"/>
  <c r="G147" i="1"/>
  <c r="O146" i="1"/>
  <c r="P146" i="1" s="1"/>
  <c r="Q146" i="1" s="1"/>
  <c r="N146" i="1"/>
  <c r="G146" i="1"/>
  <c r="O145" i="1"/>
  <c r="P145" i="1" s="1"/>
  <c r="Q145" i="1" s="1"/>
  <c r="N145" i="1"/>
  <c r="G145" i="1"/>
  <c r="P144" i="1"/>
  <c r="Q144" i="1" s="1"/>
  <c r="O144" i="1"/>
  <c r="N144" i="1"/>
  <c r="G144" i="1"/>
  <c r="O143" i="1"/>
  <c r="P143" i="1" s="1"/>
  <c r="Q143" i="1" s="1"/>
  <c r="N143" i="1"/>
  <c r="G143" i="1"/>
  <c r="O142" i="1"/>
  <c r="P142" i="1" s="1"/>
  <c r="Q142" i="1" s="1"/>
  <c r="N142" i="1"/>
  <c r="G142" i="1"/>
  <c r="O141" i="1"/>
  <c r="P141" i="1" s="1"/>
  <c r="Q141" i="1" s="1"/>
  <c r="N141" i="1"/>
  <c r="G141" i="1"/>
  <c r="P140" i="1"/>
  <c r="Q140" i="1" s="1"/>
  <c r="O140" i="1"/>
  <c r="N140" i="1"/>
  <c r="G140" i="1"/>
  <c r="O139" i="1"/>
  <c r="P139" i="1" s="1"/>
  <c r="Q139" i="1" s="1"/>
  <c r="N139" i="1"/>
  <c r="G139" i="1"/>
  <c r="O138" i="1"/>
  <c r="P138" i="1" s="1"/>
  <c r="Q138" i="1" s="1"/>
  <c r="N138" i="1"/>
  <c r="G138" i="1"/>
  <c r="O137" i="1"/>
  <c r="P137" i="1" s="1"/>
  <c r="Q137" i="1" s="1"/>
  <c r="N137" i="1"/>
  <c r="G137" i="1"/>
  <c r="O136" i="1"/>
  <c r="P136" i="1" s="1"/>
  <c r="Q136" i="1" s="1"/>
  <c r="N136" i="1"/>
  <c r="G136" i="1"/>
  <c r="O135" i="1"/>
  <c r="P135" i="1" s="1"/>
  <c r="Q135" i="1" s="1"/>
  <c r="N135" i="1"/>
  <c r="G135" i="1"/>
  <c r="O134" i="1"/>
  <c r="P134" i="1" s="1"/>
  <c r="Q134" i="1" s="1"/>
  <c r="N134" i="1"/>
  <c r="G134" i="1"/>
  <c r="O133" i="1"/>
  <c r="P133" i="1" s="1"/>
  <c r="Q133" i="1" s="1"/>
  <c r="N133" i="1"/>
  <c r="G133" i="1"/>
  <c r="O132" i="1"/>
  <c r="P132" i="1" s="1"/>
  <c r="Q132" i="1" s="1"/>
  <c r="N132" i="1"/>
  <c r="G132" i="1"/>
  <c r="O131" i="1"/>
  <c r="P131" i="1" s="1"/>
  <c r="Q131" i="1" s="1"/>
  <c r="N131" i="1"/>
  <c r="G131" i="1"/>
  <c r="O130" i="1"/>
  <c r="P130" i="1" s="1"/>
  <c r="Q130" i="1" s="1"/>
  <c r="N130" i="1"/>
  <c r="G130" i="1"/>
  <c r="P129" i="1"/>
  <c r="Q129" i="1" s="1"/>
  <c r="O129" i="1"/>
  <c r="N129" i="1"/>
  <c r="G129" i="1"/>
  <c r="Q128" i="1"/>
  <c r="P128" i="1"/>
  <c r="O128" i="1"/>
  <c r="N128" i="1"/>
  <c r="G128" i="1"/>
  <c r="O127" i="1"/>
  <c r="P127" i="1" s="1"/>
  <c r="Q127" i="1" s="1"/>
  <c r="N127" i="1"/>
  <c r="G127" i="1"/>
  <c r="O126" i="1"/>
  <c r="P126" i="1" s="1"/>
  <c r="Q126" i="1" s="1"/>
  <c r="N126" i="1"/>
  <c r="G126" i="1"/>
  <c r="O125" i="1"/>
  <c r="P125" i="1" s="1"/>
  <c r="Q125" i="1" s="1"/>
  <c r="N125" i="1"/>
  <c r="G125" i="1"/>
  <c r="O124" i="1"/>
  <c r="P124" i="1" s="1"/>
  <c r="Q124" i="1" s="1"/>
  <c r="N124" i="1"/>
  <c r="G124" i="1"/>
  <c r="O123" i="1"/>
  <c r="P123" i="1" s="1"/>
  <c r="Q123" i="1" s="1"/>
  <c r="N123" i="1"/>
  <c r="G123" i="1"/>
  <c r="O122" i="1"/>
  <c r="P122" i="1" s="1"/>
  <c r="Q122" i="1" s="1"/>
  <c r="N122" i="1"/>
  <c r="G122" i="1"/>
  <c r="O121" i="1"/>
  <c r="P121" i="1" s="1"/>
  <c r="Q121" i="1" s="1"/>
  <c r="N121" i="1"/>
  <c r="G121" i="1"/>
  <c r="O120" i="1"/>
  <c r="P120" i="1" s="1"/>
  <c r="Q120" i="1" s="1"/>
  <c r="N120" i="1"/>
  <c r="G120" i="1"/>
  <c r="O119" i="1"/>
  <c r="P119" i="1" s="1"/>
  <c r="Q119" i="1" s="1"/>
  <c r="N119" i="1"/>
  <c r="G119" i="1"/>
  <c r="O118" i="1"/>
  <c r="P118" i="1" s="1"/>
  <c r="Q118" i="1" s="1"/>
  <c r="N118" i="1"/>
  <c r="G118" i="1"/>
  <c r="P117" i="1"/>
  <c r="Q117" i="1" s="1"/>
  <c r="O117" i="1"/>
  <c r="N117" i="1"/>
  <c r="G117" i="1"/>
  <c r="O116" i="1"/>
  <c r="P116" i="1" s="1"/>
  <c r="Q116" i="1" s="1"/>
  <c r="N116" i="1"/>
  <c r="G116" i="1"/>
  <c r="O115" i="1"/>
  <c r="P115" i="1" s="1"/>
  <c r="Q115" i="1" s="1"/>
  <c r="N115" i="1"/>
  <c r="G115" i="1"/>
  <c r="O114" i="1"/>
  <c r="P114" i="1" s="1"/>
  <c r="Q114" i="1" s="1"/>
  <c r="N114" i="1"/>
  <c r="G114" i="1"/>
  <c r="O113" i="1"/>
  <c r="P113" i="1" s="1"/>
  <c r="Q113" i="1" s="1"/>
  <c r="N113" i="1"/>
  <c r="G113" i="1"/>
  <c r="O112" i="1"/>
  <c r="P112" i="1" s="1"/>
  <c r="Q112" i="1" s="1"/>
  <c r="N112" i="1"/>
  <c r="G112" i="1"/>
  <c r="O111" i="1"/>
  <c r="P111" i="1" s="1"/>
  <c r="Q111" i="1" s="1"/>
  <c r="N111" i="1"/>
  <c r="G111" i="1"/>
  <c r="O110" i="1"/>
  <c r="P110" i="1" s="1"/>
  <c r="Q110" i="1" s="1"/>
  <c r="N110" i="1"/>
  <c r="G110" i="1"/>
  <c r="O109" i="1"/>
  <c r="P109" i="1" s="1"/>
  <c r="Q109" i="1" s="1"/>
  <c r="N109" i="1"/>
  <c r="G109" i="1"/>
  <c r="O108" i="1"/>
  <c r="P108" i="1" s="1"/>
  <c r="Q108" i="1" s="1"/>
  <c r="N108" i="1"/>
  <c r="G108" i="1"/>
  <c r="O107" i="1"/>
  <c r="P107" i="1" s="1"/>
  <c r="Q107" i="1" s="1"/>
  <c r="N107" i="1"/>
  <c r="G107" i="1"/>
  <c r="O106" i="1"/>
  <c r="P106" i="1" s="1"/>
  <c r="Q106" i="1" s="1"/>
  <c r="N106" i="1"/>
  <c r="G106" i="1"/>
  <c r="P105" i="1"/>
  <c r="Q105" i="1" s="1"/>
  <c r="O105" i="1"/>
  <c r="N105" i="1"/>
  <c r="G105" i="1"/>
  <c r="O104" i="1"/>
  <c r="P104" i="1" s="1"/>
  <c r="Q104" i="1" s="1"/>
  <c r="N104" i="1"/>
  <c r="G104" i="1"/>
  <c r="O103" i="1"/>
  <c r="P103" i="1" s="1"/>
  <c r="Q103" i="1" s="1"/>
  <c r="N103" i="1"/>
  <c r="G103" i="1"/>
  <c r="O102" i="1"/>
  <c r="P102" i="1" s="1"/>
  <c r="Q102" i="1" s="1"/>
  <c r="N102" i="1"/>
  <c r="G102" i="1"/>
  <c r="O101" i="1"/>
  <c r="P101" i="1" s="1"/>
  <c r="Q101" i="1" s="1"/>
  <c r="N101" i="1"/>
  <c r="G101" i="1"/>
  <c r="P100" i="1"/>
  <c r="Q100" i="1" s="1"/>
  <c r="O100" i="1"/>
  <c r="N100" i="1"/>
  <c r="G100" i="1"/>
  <c r="O99" i="1"/>
  <c r="P99" i="1" s="1"/>
  <c r="Q99" i="1" s="1"/>
  <c r="N99" i="1"/>
  <c r="G99" i="1"/>
  <c r="O98" i="1"/>
  <c r="P98" i="1" s="1"/>
  <c r="Q98" i="1" s="1"/>
  <c r="N98" i="1"/>
  <c r="G98" i="1"/>
  <c r="O97" i="1"/>
  <c r="P97" i="1" s="1"/>
  <c r="Q97" i="1" s="1"/>
  <c r="N97" i="1"/>
  <c r="G97" i="1"/>
  <c r="O96" i="1"/>
  <c r="P96" i="1" s="1"/>
  <c r="Q96" i="1" s="1"/>
  <c r="N96" i="1"/>
  <c r="G96" i="1"/>
  <c r="O95" i="1"/>
  <c r="P95" i="1" s="1"/>
  <c r="Q95" i="1" s="1"/>
  <c r="N95" i="1"/>
  <c r="G95" i="1"/>
  <c r="O94" i="1"/>
  <c r="P94" i="1" s="1"/>
  <c r="Q94" i="1" s="1"/>
  <c r="N94" i="1"/>
  <c r="G94" i="1"/>
  <c r="P93" i="1"/>
  <c r="Q93" i="1" s="1"/>
  <c r="O93" i="1"/>
  <c r="N93" i="1"/>
  <c r="G93" i="1"/>
  <c r="O92" i="1"/>
  <c r="P92" i="1" s="1"/>
  <c r="Q92" i="1" s="1"/>
  <c r="N92" i="1"/>
  <c r="G92" i="1"/>
  <c r="O91" i="1"/>
  <c r="P91" i="1" s="1"/>
  <c r="Q91" i="1" s="1"/>
  <c r="N91" i="1"/>
  <c r="G91" i="1"/>
  <c r="O90" i="1"/>
  <c r="P90" i="1" s="1"/>
  <c r="Q90" i="1" s="1"/>
  <c r="N90" i="1"/>
  <c r="G90" i="1"/>
  <c r="O89" i="1"/>
  <c r="P89" i="1" s="1"/>
  <c r="Q89" i="1" s="1"/>
  <c r="N89" i="1"/>
  <c r="G89" i="1"/>
  <c r="O88" i="1"/>
  <c r="P88" i="1" s="1"/>
  <c r="Q88" i="1" s="1"/>
  <c r="N88" i="1"/>
  <c r="G88" i="1"/>
  <c r="O87" i="1"/>
  <c r="P87" i="1" s="1"/>
  <c r="Q87" i="1" s="1"/>
  <c r="N87" i="1"/>
  <c r="G87" i="1"/>
  <c r="O86" i="1"/>
  <c r="P86" i="1" s="1"/>
  <c r="Q86" i="1" s="1"/>
  <c r="N86" i="1"/>
  <c r="G86" i="1"/>
  <c r="O85" i="1"/>
  <c r="P85" i="1" s="1"/>
  <c r="Q85" i="1" s="1"/>
  <c r="N85" i="1"/>
  <c r="G85" i="1"/>
  <c r="P84" i="1"/>
  <c r="Q84" i="1" s="1"/>
  <c r="O84" i="1"/>
  <c r="N84" i="1"/>
  <c r="G84" i="1"/>
  <c r="Q83" i="1"/>
  <c r="P83" i="1"/>
  <c r="O83" i="1"/>
  <c r="N83" i="1"/>
  <c r="G83" i="1"/>
  <c r="O82" i="1"/>
  <c r="P82" i="1" s="1"/>
  <c r="Q82" i="1" s="1"/>
  <c r="N82" i="1"/>
  <c r="G82" i="1"/>
  <c r="P81" i="1"/>
  <c r="Q81" i="1" s="1"/>
  <c r="O81" i="1"/>
  <c r="N81" i="1"/>
  <c r="G81" i="1"/>
  <c r="Q80" i="1"/>
  <c r="P80" i="1"/>
  <c r="O80" i="1"/>
  <c r="N80" i="1"/>
  <c r="G80" i="1"/>
  <c r="O79" i="1"/>
  <c r="P79" i="1" s="1"/>
  <c r="Q79" i="1" s="1"/>
  <c r="N79" i="1"/>
  <c r="G79" i="1"/>
  <c r="O78" i="1"/>
  <c r="P78" i="1" s="1"/>
  <c r="Q78" i="1" s="1"/>
  <c r="N78" i="1"/>
  <c r="G78" i="1"/>
  <c r="O77" i="1"/>
  <c r="P77" i="1" s="1"/>
  <c r="Q77" i="1" s="1"/>
  <c r="N77" i="1"/>
  <c r="G77" i="1"/>
  <c r="O76" i="1"/>
  <c r="P76" i="1" s="1"/>
  <c r="Q76" i="1" s="1"/>
  <c r="N76" i="1"/>
  <c r="G76" i="1"/>
  <c r="O75" i="1"/>
  <c r="P75" i="1" s="1"/>
  <c r="Q75" i="1" s="1"/>
  <c r="N75" i="1"/>
  <c r="G75" i="1"/>
  <c r="O74" i="1"/>
  <c r="P74" i="1" s="1"/>
  <c r="Q74" i="1" s="1"/>
  <c r="N74" i="1"/>
  <c r="G74" i="1"/>
  <c r="O73" i="1"/>
  <c r="P73" i="1" s="1"/>
  <c r="Q73" i="1" s="1"/>
  <c r="N73" i="1"/>
  <c r="G73" i="1"/>
  <c r="O72" i="1"/>
  <c r="P72" i="1" s="1"/>
  <c r="Q72" i="1" s="1"/>
  <c r="N72" i="1"/>
  <c r="G72" i="1"/>
  <c r="O71" i="1"/>
  <c r="P71" i="1" s="1"/>
  <c r="Q71" i="1" s="1"/>
  <c r="N71" i="1"/>
  <c r="G71" i="1"/>
  <c r="O70" i="1"/>
  <c r="P70" i="1" s="1"/>
  <c r="Q70" i="1" s="1"/>
  <c r="N70" i="1"/>
  <c r="G70" i="1"/>
  <c r="O69" i="1"/>
  <c r="P69" i="1" s="1"/>
  <c r="Q69" i="1" s="1"/>
  <c r="N69" i="1"/>
  <c r="G69" i="1"/>
  <c r="P68" i="1"/>
  <c r="Q68" i="1" s="1"/>
  <c r="O68" i="1"/>
  <c r="N68" i="1"/>
  <c r="G68" i="1"/>
  <c r="O67" i="1"/>
  <c r="P67" i="1" s="1"/>
  <c r="Q67" i="1" s="1"/>
  <c r="N67" i="1"/>
  <c r="G67" i="1"/>
  <c r="O66" i="1"/>
  <c r="P66" i="1" s="1"/>
  <c r="Q66" i="1" s="1"/>
  <c r="N66" i="1"/>
  <c r="G66" i="1"/>
  <c r="O65" i="1"/>
  <c r="P65" i="1" s="1"/>
  <c r="Q65" i="1" s="1"/>
  <c r="N65" i="1"/>
  <c r="G65" i="1"/>
  <c r="O64" i="1"/>
  <c r="P64" i="1" s="1"/>
  <c r="Q64" i="1" s="1"/>
  <c r="N64" i="1"/>
  <c r="G64" i="1"/>
  <c r="O63" i="1"/>
  <c r="P63" i="1" s="1"/>
  <c r="Q63" i="1" s="1"/>
  <c r="N63" i="1"/>
  <c r="G63" i="1"/>
  <c r="O62" i="1"/>
  <c r="P62" i="1" s="1"/>
  <c r="Q62" i="1" s="1"/>
  <c r="N62" i="1"/>
  <c r="G62" i="1"/>
  <c r="O61" i="1"/>
  <c r="P61" i="1" s="1"/>
  <c r="Q61" i="1" s="1"/>
  <c r="N61" i="1"/>
  <c r="G61" i="1"/>
  <c r="O60" i="1"/>
  <c r="P60" i="1" s="1"/>
  <c r="Q60" i="1" s="1"/>
  <c r="N60" i="1"/>
  <c r="G60" i="1"/>
  <c r="O59" i="1"/>
  <c r="P59" i="1" s="1"/>
  <c r="Q59" i="1" s="1"/>
  <c r="N59" i="1"/>
  <c r="G59" i="1"/>
  <c r="O58" i="1"/>
  <c r="P58" i="1" s="1"/>
  <c r="Q58" i="1" s="1"/>
  <c r="N58" i="1"/>
  <c r="G58" i="1"/>
  <c r="O57" i="1"/>
  <c r="P57" i="1" s="1"/>
  <c r="Q57" i="1" s="1"/>
  <c r="N57" i="1"/>
  <c r="G57" i="1"/>
  <c r="O56" i="1"/>
  <c r="P56" i="1" s="1"/>
  <c r="Q56" i="1" s="1"/>
  <c r="N56" i="1"/>
  <c r="G56" i="1"/>
  <c r="O55" i="1"/>
  <c r="P55" i="1" s="1"/>
  <c r="Q55" i="1" s="1"/>
  <c r="N55" i="1"/>
  <c r="G55" i="1"/>
  <c r="O54" i="1"/>
  <c r="P54" i="1" s="1"/>
  <c r="Q54" i="1" s="1"/>
  <c r="N54" i="1"/>
  <c r="G54" i="1"/>
  <c r="O53" i="1"/>
  <c r="P53" i="1" s="1"/>
  <c r="Q53" i="1" s="1"/>
  <c r="N53" i="1"/>
  <c r="G53" i="1"/>
  <c r="P52" i="1"/>
  <c r="Q52" i="1" s="1"/>
  <c r="O52" i="1"/>
  <c r="N52" i="1"/>
  <c r="G52" i="1"/>
  <c r="O51" i="1"/>
  <c r="P51" i="1" s="1"/>
  <c r="Q51" i="1" s="1"/>
  <c r="N51" i="1"/>
  <c r="G51" i="1"/>
  <c r="O50" i="1"/>
  <c r="P50" i="1" s="1"/>
  <c r="Q50" i="1" s="1"/>
  <c r="N50" i="1"/>
  <c r="G50" i="1"/>
  <c r="O49" i="1"/>
  <c r="P49" i="1" s="1"/>
  <c r="Q49" i="1" s="1"/>
  <c r="N49" i="1"/>
  <c r="G49" i="1"/>
  <c r="O48" i="1"/>
  <c r="P48" i="1" s="1"/>
  <c r="Q48" i="1" s="1"/>
  <c r="N48" i="1"/>
  <c r="G48" i="1"/>
  <c r="O47" i="1"/>
  <c r="P47" i="1" s="1"/>
  <c r="Q47" i="1" s="1"/>
  <c r="N47" i="1"/>
  <c r="G47" i="1"/>
  <c r="O46" i="1"/>
  <c r="P46" i="1" s="1"/>
  <c r="Q46" i="1" s="1"/>
  <c r="N46" i="1"/>
  <c r="G46" i="1"/>
  <c r="O45" i="1"/>
  <c r="P45" i="1" s="1"/>
  <c r="Q45" i="1" s="1"/>
  <c r="N45" i="1"/>
  <c r="G45" i="1"/>
  <c r="O44" i="1"/>
  <c r="P44" i="1" s="1"/>
  <c r="Q44" i="1" s="1"/>
  <c r="N44" i="1"/>
  <c r="G44" i="1"/>
  <c r="O43" i="1"/>
  <c r="P43" i="1" s="1"/>
  <c r="Q43" i="1" s="1"/>
  <c r="N43" i="1"/>
  <c r="G43" i="1"/>
  <c r="O42" i="1"/>
  <c r="P42" i="1" s="1"/>
  <c r="Q42" i="1" s="1"/>
  <c r="N42" i="1"/>
  <c r="G42" i="1"/>
  <c r="O41" i="1"/>
  <c r="P41" i="1" s="1"/>
  <c r="Q41" i="1" s="1"/>
  <c r="N41" i="1"/>
  <c r="G41" i="1"/>
  <c r="P40" i="1"/>
  <c r="Q40" i="1" s="1"/>
  <c r="O40" i="1"/>
  <c r="N40" i="1"/>
  <c r="G40" i="1"/>
  <c r="O39" i="1"/>
  <c r="P39" i="1" s="1"/>
  <c r="Q39" i="1" s="1"/>
  <c r="N39" i="1"/>
  <c r="G39" i="1"/>
  <c r="O38" i="1"/>
  <c r="P38" i="1" s="1"/>
  <c r="Q38" i="1" s="1"/>
  <c r="N38" i="1"/>
  <c r="G38" i="1"/>
  <c r="O37" i="1"/>
  <c r="P37" i="1" s="1"/>
  <c r="Q37" i="1" s="1"/>
  <c r="N37" i="1"/>
  <c r="G37" i="1"/>
  <c r="O36" i="1"/>
  <c r="P36" i="1" s="1"/>
  <c r="Q36" i="1" s="1"/>
  <c r="N36" i="1"/>
  <c r="G36" i="1"/>
  <c r="O35" i="1"/>
  <c r="P35" i="1" s="1"/>
  <c r="Q35" i="1" s="1"/>
  <c r="N35" i="1"/>
  <c r="G35" i="1"/>
  <c r="O34" i="1"/>
  <c r="P34" i="1" s="1"/>
  <c r="Q34" i="1" s="1"/>
  <c r="N34" i="1"/>
  <c r="G34" i="1"/>
  <c r="O33" i="1"/>
  <c r="P33" i="1" s="1"/>
  <c r="Q33" i="1" s="1"/>
  <c r="N33" i="1"/>
  <c r="G33" i="1"/>
  <c r="O32" i="1"/>
  <c r="P32" i="1" s="1"/>
  <c r="Q32" i="1" s="1"/>
  <c r="N32" i="1"/>
  <c r="G32" i="1"/>
  <c r="O31" i="1"/>
  <c r="P31" i="1" s="1"/>
  <c r="Q31" i="1" s="1"/>
  <c r="N31" i="1"/>
  <c r="G31" i="1"/>
  <c r="O30" i="1"/>
  <c r="P30" i="1" s="1"/>
  <c r="Q30" i="1" s="1"/>
  <c r="N30" i="1"/>
  <c r="G30" i="1"/>
  <c r="O29" i="1"/>
  <c r="P29" i="1" s="1"/>
  <c r="Q29" i="1" s="1"/>
  <c r="N29" i="1"/>
  <c r="G29" i="1"/>
  <c r="O28" i="1"/>
  <c r="P28" i="1" s="1"/>
  <c r="Q28" i="1" s="1"/>
  <c r="N28" i="1"/>
  <c r="G28" i="1"/>
  <c r="O27" i="1"/>
  <c r="P27" i="1" s="1"/>
  <c r="Q27" i="1" s="1"/>
  <c r="N27" i="1"/>
  <c r="G27" i="1"/>
  <c r="O26" i="1"/>
  <c r="P26" i="1" s="1"/>
  <c r="Q26" i="1" s="1"/>
  <c r="N26" i="1"/>
  <c r="G26" i="1"/>
  <c r="P25" i="1"/>
  <c r="Q25" i="1" s="1"/>
  <c r="O25" i="1"/>
  <c r="N25" i="1"/>
  <c r="G25" i="1"/>
  <c r="O24" i="1"/>
  <c r="P24" i="1" s="1"/>
  <c r="Q24" i="1" s="1"/>
  <c r="N24" i="1"/>
  <c r="G24" i="1"/>
  <c r="O23" i="1"/>
  <c r="P23" i="1" s="1"/>
  <c r="Q23" i="1" s="1"/>
  <c r="N23" i="1"/>
  <c r="G23" i="1"/>
  <c r="O22" i="1"/>
  <c r="P22" i="1" s="1"/>
  <c r="Q22" i="1" s="1"/>
  <c r="N22" i="1"/>
  <c r="G22" i="1"/>
  <c r="O21" i="1"/>
  <c r="P21" i="1" s="1"/>
  <c r="Q21" i="1" s="1"/>
  <c r="N21" i="1"/>
  <c r="G21" i="1"/>
  <c r="O20" i="1"/>
  <c r="P20" i="1" s="1"/>
  <c r="Q20" i="1" s="1"/>
  <c r="N20" i="1"/>
  <c r="G20" i="1"/>
  <c r="O19" i="1"/>
  <c r="P19" i="1" s="1"/>
  <c r="Q19" i="1" s="1"/>
  <c r="N19" i="1"/>
  <c r="G19" i="1"/>
  <c r="O18" i="1"/>
  <c r="P18" i="1" s="1"/>
  <c r="Q18" i="1" s="1"/>
  <c r="N18" i="1"/>
  <c r="G18" i="1"/>
  <c r="P17" i="1"/>
  <c r="Q17" i="1" s="1"/>
  <c r="O17" i="1"/>
  <c r="N17" i="1"/>
  <c r="G17" i="1"/>
  <c r="O16" i="1"/>
  <c r="P16" i="1" s="1"/>
  <c r="Q16" i="1" s="1"/>
  <c r="N16" i="1"/>
  <c r="G16" i="1"/>
  <c r="O15" i="1"/>
  <c r="P15" i="1" s="1"/>
  <c r="Q15" i="1" s="1"/>
  <c r="N15" i="1"/>
  <c r="G15" i="1"/>
  <c r="O14" i="1"/>
  <c r="P14" i="1" s="1"/>
  <c r="Q14" i="1" s="1"/>
  <c r="N14" i="1"/>
  <c r="G14" i="1"/>
  <c r="O13" i="1"/>
  <c r="P13" i="1" s="1"/>
  <c r="Q13" i="1" s="1"/>
  <c r="N13" i="1"/>
  <c r="G13" i="1"/>
  <c r="O12" i="1"/>
  <c r="P12" i="1" s="1"/>
  <c r="Q12" i="1" s="1"/>
  <c r="N12" i="1"/>
  <c r="G12" i="1"/>
  <c r="P11" i="1"/>
  <c r="Q11" i="1" s="1"/>
  <c r="O11" i="1"/>
  <c r="N11" i="1"/>
  <c r="G11" i="1"/>
  <c r="O10" i="1"/>
  <c r="P10" i="1" s="1"/>
  <c r="Q10" i="1" s="1"/>
  <c r="N10" i="1"/>
  <c r="G10" i="1"/>
  <c r="O9" i="1"/>
  <c r="P9" i="1" s="1"/>
  <c r="Q9" i="1" s="1"/>
  <c r="N9" i="1"/>
  <c r="G9" i="1"/>
  <c r="P8" i="1"/>
  <c r="Q8" i="1" s="1"/>
  <c r="O8" i="1"/>
  <c r="N8" i="1"/>
  <c r="G8" i="1"/>
  <c r="O7" i="1"/>
  <c r="P7" i="1" s="1"/>
  <c r="Q7" i="1" s="1"/>
  <c r="N7" i="1"/>
  <c r="G7" i="1"/>
  <c r="O6" i="1"/>
  <c r="P6" i="1" s="1"/>
  <c r="Q6" i="1" s="1"/>
  <c r="N6" i="1"/>
  <c r="G6" i="1"/>
  <c r="O5" i="1"/>
  <c r="P5" i="1" s="1"/>
  <c r="Q5" i="1" s="1"/>
  <c r="N5" i="1"/>
  <c r="G5" i="1"/>
  <c r="P4" i="1"/>
  <c r="Q4" i="1" s="1"/>
  <c r="O4" i="1"/>
  <c r="N4" i="1"/>
  <c r="G4" i="1"/>
  <c r="O3" i="1"/>
  <c r="P3" i="1" s="1"/>
  <c r="Q3" i="1" s="1"/>
  <c r="O2" i="1"/>
  <c r="P2" i="1" s="1"/>
  <c r="Q2" i="1" s="1"/>
  <c r="N2" i="1"/>
</calcChain>
</file>

<file path=xl/sharedStrings.xml><?xml version="1.0" encoding="utf-8"?>
<sst xmlns="http://schemas.openxmlformats.org/spreadsheetml/2006/main" count="9159" uniqueCount="1370">
  <si>
    <t>Country</t>
  </si>
  <si>
    <t>City</t>
  </si>
  <si>
    <t>University</t>
  </si>
  <si>
    <t>Program</t>
  </si>
  <si>
    <t>Level</t>
  </si>
  <si>
    <t>Duration_Years</t>
  </si>
  <si>
    <t>Tuition_USD</t>
  </si>
  <si>
    <t>Living_Cost_Index</t>
  </si>
  <si>
    <t>Rent_USD</t>
  </si>
  <si>
    <t>Visa_Fee_USD</t>
  </si>
  <si>
    <t>Insurance_USD</t>
  </si>
  <si>
    <t>Exchange_Rate</t>
  </si>
  <si>
    <t>USA</t>
  </si>
  <si>
    <t>Cambridge</t>
  </si>
  <si>
    <t>Harvard University</t>
  </si>
  <si>
    <t>Computer Science</t>
  </si>
  <si>
    <t>Master</t>
  </si>
  <si>
    <t>UK</t>
  </si>
  <si>
    <t>London</t>
  </si>
  <si>
    <t>Imperial College London</t>
  </si>
  <si>
    <t>Data Science</t>
  </si>
  <si>
    <t>Canada</t>
  </si>
  <si>
    <t>Toronto</t>
  </si>
  <si>
    <t>University of Toronto</t>
  </si>
  <si>
    <t>Business Analytics</t>
  </si>
  <si>
    <t>Australia</t>
  </si>
  <si>
    <t>Melbourne</t>
  </si>
  <si>
    <t>University of Melbourne</t>
  </si>
  <si>
    <t>Engineering</t>
  </si>
  <si>
    <t>Germany</t>
  </si>
  <si>
    <t>Munich</t>
  </si>
  <si>
    <t>Technical University of Munich</t>
  </si>
  <si>
    <t>Mechanical Engineering</t>
  </si>
  <si>
    <t>Japan</t>
  </si>
  <si>
    <t>Tokyo</t>
  </si>
  <si>
    <t>University of Tokyo</t>
  </si>
  <si>
    <t>Information Science</t>
  </si>
  <si>
    <t>Netherlands</t>
  </si>
  <si>
    <t>Amsterdam</t>
  </si>
  <si>
    <t>University of Amsterdam</t>
  </si>
  <si>
    <t>Artificial Intelligence</t>
  </si>
  <si>
    <t>Singapore</t>
  </si>
  <si>
    <t>National University of Singapore</t>
  </si>
  <si>
    <t>Finance</t>
  </si>
  <si>
    <t>France</t>
  </si>
  <si>
    <t>Paris</t>
  </si>
  <si>
    <t>Sorbonne University</t>
  </si>
  <si>
    <t>International Relations</t>
  </si>
  <si>
    <t>Switzerland</t>
  </si>
  <si>
    <t>Zurich</t>
  </si>
  <si>
    <t>ETH Zurich</t>
  </si>
  <si>
    <t>Physics</t>
  </si>
  <si>
    <t>Sweden</t>
  </si>
  <si>
    <t>Stockholm</t>
  </si>
  <si>
    <t>KTH Royal Institute</t>
  </si>
  <si>
    <t>Sustainable Technology</t>
  </si>
  <si>
    <t>Denmark</t>
  </si>
  <si>
    <t>Copenhagen</t>
  </si>
  <si>
    <t>University of Copenhagen</t>
  </si>
  <si>
    <t>Bioinformatics</t>
  </si>
  <si>
    <t>China</t>
  </si>
  <si>
    <t>Beijing</t>
  </si>
  <si>
    <t>Tsinghua University</t>
  </si>
  <si>
    <t>Computer Engineering</t>
  </si>
  <si>
    <t>South Korea</t>
  </si>
  <si>
    <t>Seoul</t>
  </si>
  <si>
    <t>Seoul National University</t>
  </si>
  <si>
    <t>Digital Media</t>
  </si>
  <si>
    <t>Ireland</t>
  </si>
  <si>
    <t>Dublin</t>
  </si>
  <si>
    <t>Trinity College Dublin</t>
  </si>
  <si>
    <t>Data Analytics</t>
  </si>
  <si>
    <t>Busan</t>
  </si>
  <si>
    <t>Pusan National University</t>
  </si>
  <si>
    <t>Business</t>
  </si>
  <si>
    <t>Bachelor</t>
  </si>
  <si>
    <t>New Zealand</t>
  </si>
  <si>
    <t>Auckland</t>
  </si>
  <si>
    <t>University of Auckland</t>
  </si>
  <si>
    <t>Marine Biology</t>
  </si>
  <si>
    <t>Austria</t>
  </si>
  <si>
    <t>Vienna</t>
  </si>
  <si>
    <t>University of Vienna</t>
  </si>
  <si>
    <t>Social Sciences</t>
  </si>
  <si>
    <t>Belgium</t>
  </si>
  <si>
    <t>Brussels</t>
  </si>
  <si>
    <t>KU Leuven</t>
  </si>
  <si>
    <t>Biomedical Sciences</t>
  </si>
  <si>
    <t>Ann Arbor</t>
  </si>
  <si>
    <t>University of Michigan</t>
  </si>
  <si>
    <t>Aerospace Engineering</t>
  </si>
  <si>
    <t>Atlanta</t>
  </si>
  <si>
    <t>Georgia Tech</t>
  </si>
  <si>
    <t>Industrial Engineering</t>
  </si>
  <si>
    <t>Austin</t>
  </si>
  <si>
    <t>UT Austin</t>
  </si>
  <si>
    <t>Chemical Engineering</t>
  </si>
  <si>
    <t>Bristol</t>
  </si>
  <si>
    <t>University of Bristol</t>
  </si>
  <si>
    <t>Mathematics</t>
  </si>
  <si>
    <t>Ottawa</t>
  </si>
  <si>
    <t>University of Ottawa</t>
  </si>
  <si>
    <t>Political Science</t>
  </si>
  <si>
    <t>Hong Kong</t>
  </si>
  <si>
    <t>HKUST</t>
  </si>
  <si>
    <t>Portugal</t>
  </si>
  <si>
    <t>Lisbon</t>
  </si>
  <si>
    <t>University of Lisbon</t>
  </si>
  <si>
    <t>Architecture</t>
  </si>
  <si>
    <t>Israel</t>
  </si>
  <si>
    <t>Tel Aviv</t>
  </si>
  <si>
    <t>Tel Aviv University</t>
  </si>
  <si>
    <t>Taiwan</t>
  </si>
  <si>
    <t>Taipei</t>
  </si>
  <si>
    <t>National Taiwan University</t>
  </si>
  <si>
    <t>Electronics Engineering</t>
  </si>
  <si>
    <t>Czech Republic</t>
  </si>
  <si>
    <t>Prague</t>
  </si>
  <si>
    <t>Charles University</t>
  </si>
  <si>
    <t>Medicine</t>
  </si>
  <si>
    <t>Stanford</t>
  </si>
  <si>
    <t>Stanford University</t>
  </si>
  <si>
    <t>Boston</t>
  </si>
  <si>
    <t>MIT</t>
  </si>
  <si>
    <t>Electrical Engineering</t>
  </si>
  <si>
    <t>Oxford</t>
  </si>
  <si>
    <t>University of Oxford</t>
  </si>
  <si>
    <t>University of Cambridge</t>
  </si>
  <si>
    <t>Heidelberg</t>
  </si>
  <si>
    <t>Heidelberg University</t>
  </si>
  <si>
    <t>Molecular Biology</t>
  </si>
  <si>
    <t>Basel</t>
  </si>
  <si>
    <t>ETH Basel</t>
  </si>
  <si>
    <t>Pharmaceutical Sciences</t>
  </si>
  <si>
    <t>Delft</t>
  </si>
  <si>
    <t>TU Delft</t>
  </si>
  <si>
    <t>Robotics</t>
  </si>
  <si>
    <t>NTU Singapore</t>
  </si>
  <si>
    <t>Waterloo</t>
  </si>
  <si>
    <t>University of Waterloo</t>
  </si>
  <si>
    <t>Quantum Computing</t>
  </si>
  <si>
    <t>Canberra</t>
  </si>
  <si>
    <t>Australian National University</t>
  </si>
  <si>
    <t>Climate Science</t>
  </si>
  <si>
    <t>Lund</t>
  </si>
  <si>
    <t>Lund University</t>
  </si>
  <si>
    <t>Neuroscience</t>
  </si>
  <si>
    <t>San Diego</t>
  </si>
  <si>
    <t>UC San Diego</t>
  </si>
  <si>
    <t>Seattle</t>
  </si>
  <si>
    <t>University of Washington</t>
  </si>
  <si>
    <t>Edmonton</t>
  </si>
  <si>
    <t>University of Alberta</t>
  </si>
  <si>
    <t>Glasgow</t>
  </si>
  <si>
    <t>University of Glasgow</t>
  </si>
  <si>
    <t>India</t>
  </si>
  <si>
    <t>Bangalore</t>
  </si>
  <si>
    <t>Indian Institute of Science</t>
  </si>
  <si>
    <t>Aalborg</t>
  </si>
  <si>
    <t>Aalborg University</t>
  </si>
  <si>
    <t>Poland</t>
  </si>
  <si>
    <t>Warsaw</t>
  </si>
  <si>
    <t>University of Warsaw</t>
  </si>
  <si>
    <t>Galway</t>
  </si>
  <si>
    <t>NUI Galway</t>
  </si>
  <si>
    <t>Daejeon</t>
  </si>
  <si>
    <t>KAIST</t>
  </si>
  <si>
    <t>Malaysia</t>
  </si>
  <si>
    <t>Kuala Lumpur</t>
  </si>
  <si>
    <t>University of Malaya</t>
  </si>
  <si>
    <t>Berkeley</t>
  </si>
  <si>
    <t>UC Berkeley</t>
  </si>
  <si>
    <t>Manchester</t>
  </si>
  <si>
    <t>University of Manchester</t>
  </si>
  <si>
    <t>Economics</t>
  </si>
  <si>
    <t>Vancouver</t>
  </si>
  <si>
    <t>University of British Columbia</t>
  </si>
  <si>
    <t>Psychology</t>
  </si>
  <si>
    <t>Sydney</t>
  </si>
  <si>
    <t>University of Sydney</t>
  </si>
  <si>
    <t>Berlin</t>
  </si>
  <si>
    <t>Free University of Berlin</t>
  </si>
  <si>
    <t>International Business</t>
  </si>
  <si>
    <t>Spain</t>
  </si>
  <si>
    <t>Barcelona</t>
  </si>
  <si>
    <t>University of Barcelona</t>
  </si>
  <si>
    <t>Italy</t>
  </si>
  <si>
    <t>Milan</t>
  </si>
  <si>
    <t>Politecnico di Milano</t>
  </si>
  <si>
    <t>Design</t>
  </si>
  <si>
    <t>Rotterdam</t>
  </si>
  <si>
    <t>Erasmus University</t>
  </si>
  <si>
    <t>Finland</t>
  </si>
  <si>
    <t>Helsinki</t>
  </si>
  <si>
    <t>University of Helsinki</t>
  </si>
  <si>
    <t>Norway</t>
  </si>
  <si>
    <t>Oslo</t>
  </si>
  <si>
    <t>University of Oslo</t>
  </si>
  <si>
    <t>Environmental Science</t>
  </si>
  <si>
    <t>Osaka</t>
  </si>
  <si>
    <t>Osaka University</t>
  </si>
  <si>
    <t>Kyoto</t>
  </si>
  <si>
    <t>Kyoto University</t>
  </si>
  <si>
    <t>Nagoya</t>
  </si>
  <si>
    <t>Nagoya University</t>
  </si>
  <si>
    <t>Sendai</t>
  </si>
  <si>
    <t>Tohoku University</t>
  </si>
  <si>
    <t>Software Engineering</t>
  </si>
  <si>
    <t>Fukuoka</t>
  </si>
  <si>
    <t>Kyushu University</t>
  </si>
  <si>
    <t>Sapporo</t>
  </si>
  <si>
    <t>Hokkaido University</t>
  </si>
  <si>
    <t>Tokyo Institute of Technology</t>
  </si>
  <si>
    <t>Tsukuba</t>
  </si>
  <si>
    <t>University of Tsukuba</t>
  </si>
  <si>
    <t>Information Systems</t>
  </si>
  <si>
    <t>Kobe</t>
  </si>
  <si>
    <t>Kobe University</t>
  </si>
  <si>
    <t>Kanazawa</t>
  </si>
  <si>
    <t>Kanazawa University</t>
  </si>
  <si>
    <t>Hiroshima</t>
  </si>
  <si>
    <t>Hiroshima University</t>
  </si>
  <si>
    <t>Information Technology</t>
  </si>
  <si>
    <t>Adelaide</t>
  </si>
  <si>
    <t>University of Adelaide</t>
  </si>
  <si>
    <t>Perth</t>
  </si>
  <si>
    <t>University of Western Australia</t>
  </si>
  <si>
    <t>Gold Coast</t>
  </si>
  <si>
    <t>Griffith University</t>
  </si>
  <si>
    <t>Hobart</t>
  </si>
  <si>
    <t>University of Tasmania</t>
  </si>
  <si>
    <t>Newcastle</t>
  </si>
  <si>
    <t>University of Newcastle</t>
  </si>
  <si>
    <t>Wollongong</t>
  </si>
  <si>
    <t>University of Wollongong</t>
  </si>
  <si>
    <t>Darwin</t>
  </si>
  <si>
    <t>Charles Darwin University</t>
  </si>
  <si>
    <t>Townsville</t>
  </si>
  <si>
    <t>James Cook University</t>
  </si>
  <si>
    <t>Sunshine Coast</t>
  </si>
  <si>
    <t>USC</t>
  </si>
  <si>
    <t>Software Development</t>
  </si>
  <si>
    <t>Armidale</t>
  </si>
  <si>
    <t>University of New England</t>
  </si>
  <si>
    <t>Computing Science</t>
  </si>
  <si>
    <t>Dresden</t>
  </si>
  <si>
    <t>TU Dresden</t>
  </si>
  <si>
    <t>Stuttgart</t>
  </si>
  <si>
    <t>University of Stuttgart</t>
  </si>
  <si>
    <t>Hamburg</t>
  </si>
  <si>
    <t>TU Hamburg</t>
  </si>
  <si>
    <t>Data Engineering</t>
  </si>
  <si>
    <t>Aachen</t>
  </si>
  <si>
    <t>RWTH Aachen</t>
  </si>
  <si>
    <t>Karlsruhe</t>
  </si>
  <si>
    <t>KIT</t>
  </si>
  <si>
    <t>Darmstadt</t>
  </si>
  <si>
    <t>TU Darmstadt</t>
  </si>
  <si>
    <t>Braunschweig</t>
  </si>
  <si>
    <t>TU Braunschweig</t>
  </si>
  <si>
    <t>Software Systems</t>
  </si>
  <si>
    <t>Jena</t>
  </si>
  <si>
    <t>University of Jena</t>
  </si>
  <si>
    <t>Hannover</t>
  </si>
  <si>
    <t>Leibniz University</t>
  </si>
  <si>
    <t>Digital Engineering</t>
  </si>
  <si>
    <t>Freiburg</t>
  </si>
  <si>
    <t>University of Freiburg</t>
  </si>
  <si>
    <t>Robotics &amp; AI</t>
  </si>
  <si>
    <t>Philadelphia</t>
  </si>
  <si>
    <t>University of Pennsylvania</t>
  </si>
  <si>
    <t>Chicago</t>
  </si>
  <si>
    <t>University of Chicago</t>
  </si>
  <si>
    <t>Baltimore</t>
  </si>
  <si>
    <t>Johns Hopkins</t>
  </si>
  <si>
    <t>Nashville</t>
  </si>
  <si>
    <t>Vanderbilt University</t>
  </si>
  <si>
    <t>Durham</t>
  </si>
  <si>
    <t>Duke University</t>
  </si>
  <si>
    <t>Madison</t>
  </si>
  <si>
    <t>University of Wisconsin</t>
  </si>
  <si>
    <t>Tempe</t>
  </si>
  <si>
    <t>Arizona State University</t>
  </si>
  <si>
    <t>Boulder</t>
  </si>
  <si>
    <t>University of Colorado</t>
  </si>
  <si>
    <t>Minneapolis</t>
  </si>
  <si>
    <t>University of Minnesota</t>
  </si>
  <si>
    <t>Davis</t>
  </si>
  <si>
    <t>UC Davis</t>
  </si>
  <si>
    <t>University College London</t>
  </si>
  <si>
    <t>Leeds</t>
  </si>
  <si>
    <t>University of Leeds</t>
  </si>
  <si>
    <t>Warwick</t>
  </si>
  <si>
    <t>University of Warwick</t>
  </si>
  <si>
    <t>Sheffield</t>
  </si>
  <si>
    <t>University of Sheffield</t>
  </si>
  <si>
    <t>Birmingham</t>
  </si>
  <si>
    <t>University of Birmingham</t>
  </si>
  <si>
    <t>Southampton</t>
  </si>
  <si>
    <t>University of Southampton</t>
  </si>
  <si>
    <t>Cybersecurity</t>
  </si>
  <si>
    <t>Nottingham</t>
  </si>
  <si>
    <t>University of Nottingham</t>
  </si>
  <si>
    <t>Cardiff</t>
  </si>
  <si>
    <t>Cardiff University</t>
  </si>
  <si>
    <t>Belfast</t>
  </si>
  <si>
    <t>Queen's University Belfast</t>
  </si>
  <si>
    <t>Computing Systems</t>
  </si>
  <si>
    <t>Newcastle University</t>
  </si>
  <si>
    <t>Hamilton</t>
  </si>
  <si>
    <t>McMaster University</t>
  </si>
  <si>
    <t>London ON</t>
  </si>
  <si>
    <t>Western University</t>
  </si>
  <si>
    <t>Halifax</t>
  </si>
  <si>
    <t>Dalhousie University</t>
  </si>
  <si>
    <t>Victoria</t>
  </si>
  <si>
    <t>University of Victoria</t>
  </si>
  <si>
    <t>Quebec City</t>
  </si>
  <si>
    <t>Laval University</t>
  </si>
  <si>
    <t>Winnipeg</t>
  </si>
  <si>
    <t>University of Manitoba</t>
  </si>
  <si>
    <t>Regina</t>
  </si>
  <si>
    <t>University of Regina</t>
  </si>
  <si>
    <t>St. John's</t>
  </si>
  <si>
    <t>Memorial University</t>
  </si>
  <si>
    <t>Saskatoon</t>
  </si>
  <si>
    <t>University of Saskatchewan</t>
  </si>
  <si>
    <t>Sherbrooke</t>
  </si>
  <si>
    <t>UniversitÃ© de Sherbrooke</t>
  </si>
  <si>
    <t>Pittsburgh</t>
  </si>
  <si>
    <t>Carnegie Mellon</t>
  </si>
  <si>
    <t>Urbana-Champaign</t>
  </si>
  <si>
    <t>UIUC</t>
  </si>
  <si>
    <t>Calgary</t>
  </si>
  <si>
    <t>University of Calgary</t>
  </si>
  <si>
    <t>Brazil</t>
  </si>
  <si>
    <t>Sao Paulo</t>
  </si>
  <si>
    <t>University of Sao Paulo</t>
  </si>
  <si>
    <t>Turkey</t>
  </si>
  <si>
    <t>Istanbul</t>
  </si>
  <si>
    <t>Bogazici University</t>
  </si>
  <si>
    <t>Russia</t>
  </si>
  <si>
    <t>Moscow</t>
  </si>
  <si>
    <t>Moscow State University</t>
  </si>
  <si>
    <t>Applied Mathematics</t>
  </si>
  <si>
    <t>Mexico</t>
  </si>
  <si>
    <t>Mexico City</t>
  </si>
  <si>
    <t>UNAM</t>
  </si>
  <si>
    <t>Greece</t>
  </si>
  <si>
    <t>Athens</t>
  </si>
  <si>
    <t>National Technical University</t>
  </si>
  <si>
    <t>Thailand</t>
  </si>
  <si>
    <t>Bangkok</t>
  </si>
  <si>
    <t>Chulalongkorn University</t>
  </si>
  <si>
    <t>UAE</t>
  </si>
  <si>
    <t>Dubai</t>
  </si>
  <si>
    <t>American University in Dubai</t>
  </si>
  <si>
    <t>New York</t>
  </si>
  <si>
    <t>Columbia University</t>
  </si>
  <si>
    <t>Ithaca</t>
  </si>
  <si>
    <t>Cornell University</t>
  </si>
  <si>
    <t>Shenzhen</t>
  </si>
  <si>
    <t>SUSTech</t>
  </si>
  <si>
    <t>South Africa</t>
  </si>
  <si>
    <t>Cape Town</t>
  </si>
  <si>
    <t>University of Cape Town</t>
  </si>
  <si>
    <t>Egypt</t>
  </si>
  <si>
    <t>Cairo</t>
  </si>
  <si>
    <t>American University in Cairo</t>
  </si>
  <si>
    <t>Argentina</t>
  </si>
  <si>
    <t>Buenos Aires</t>
  </si>
  <si>
    <t>University of Buenos Aires</t>
  </si>
  <si>
    <t>Indonesia</t>
  </si>
  <si>
    <t>Jakarta</t>
  </si>
  <si>
    <t>University of Indonesia</t>
  </si>
  <si>
    <t>Saudi Arabia</t>
  </si>
  <si>
    <t>Riyadh</t>
  </si>
  <si>
    <t>King Saud University</t>
  </si>
  <si>
    <t>Nigeria</t>
  </si>
  <si>
    <t>Lagos</t>
  </si>
  <si>
    <t>University of Lagos</t>
  </si>
  <si>
    <t>Vietnam</t>
  </si>
  <si>
    <t>Ho Chi Minh City</t>
  </si>
  <si>
    <t>HCMUT</t>
  </si>
  <si>
    <t>Eindhoven</t>
  </si>
  <si>
    <t>TU Eindhoven</t>
  </si>
  <si>
    <t>Enschede</t>
  </si>
  <si>
    <t>University of Twente</t>
  </si>
  <si>
    <t>Groningen</t>
  </si>
  <si>
    <t>University of Groningen</t>
  </si>
  <si>
    <t>Maastricht</t>
  </si>
  <si>
    <t>Maastricht University</t>
  </si>
  <si>
    <t>Nijmegen</t>
  </si>
  <si>
    <t>Radboud University</t>
  </si>
  <si>
    <t>Software Science</t>
  </si>
  <si>
    <t>Tilburg</t>
  </si>
  <si>
    <t>Tilburg University</t>
  </si>
  <si>
    <t>Utrecht</t>
  </si>
  <si>
    <t>Utrecht University</t>
  </si>
  <si>
    <t>Game Technology</t>
  </si>
  <si>
    <t>Leiden</t>
  </si>
  <si>
    <t>Leiden University</t>
  </si>
  <si>
    <t>Wageningen</t>
  </si>
  <si>
    <t>Wageningen University</t>
  </si>
  <si>
    <t>VU Amsterdam</t>
  </si>
  <si>
    <t>Nanyang Technological University</t>
  </si>
  <si>
    <t>Singapore Management University</t>
  </si>
  <si>
    <t>SUTD</t>
  </si>
  <si>
    <t>Computer Science &amp; Design</t>
  </si>
  <si>
    <t>SIT</t>
  </si>
  <si>
    <t>NUS</t>
  </si>
  <si>
    <t>NTU</t>
  </si>
  <si>
    <t>Data Science &amp; AI</t>
  </si>
  <si>
    <t>Technology &amp; Innovation</t>
  </si>
  <si>
    <t>SMU</t>
  </si>
  <si>
    <t>Computing &amp; Innovation</t>
  </si>
  <si>
    <t>Digital Systems &amp; AI</t>
  </si>
  <si>
    <t>Ã‰cole Polytechnique</t>
  </si>
  <si>
    <t>Toulouse</t>
  </si>
  <si>
    <t>INSA Toulouse</t>
  </si>
  <si>
    <t>Lyon</t>
  </si>
  <si>
    <t>Ã‰cole Normale SupÃ©rieure Lyon</t>
  </si>
  <si>
    <t>Grenoble</t>
  </si>
  <si>
    <t>Grenoble INP</t>
  </si>
  <si>
    <t>Nice</t>
  </si>
  <si>
    <t>UniversitÃ© Nice Sophia Antipolis</t>
  </si>
  <si>
    <t>Bordeaux</t>
  </si>
  <si>
    <t>University of Bordeaux</t>
  </si>
  <si>
    <t>Lille</t>
  </si>
  <si>
    <t>UniversitÃ© de Lille</t>
  </si>
  <si>
    <t>Rennes</t>
  </si>
  <si>
    <t>INSA Rennes</t>
  </si>
  <si>
    <t>Strasbourg</t>
  </si>
  <si>
    <t>University of Strasbourg</t>
  </si>
  <si>
    <t>Digital Systems</t>
  </si>
  <si>
    <t>Montpellier</t>
  </si>
  <si>
    <t>University of Montpellier</t>
  </si>
  <si>
    <t>Lausanne</t>
  </si>
  <si>
    <t>EPFL</t>
  </si>
  <si>
    <t>Geneva</t>
  </si>
  <si>
    <t>University of Geneva</t>
  </si>
  <si>
    <t>Bern</t>
  </si>
  <si>
    <t>University of Bern</t>
  </si>
  <si>
    <t>St. Gallen</t>
  </si>
  <si>
    <t>University of St. Gallen</t>
  </si>
  <si>
    <t>Business Informatics</t>
  </si>
  <si>
    <t>Lugano</t>
  </si>
  <si>
    <t>USI</t>
  </si>
  <si>
    <t>Fribourg</t>
  </si>
  <si>
    <t>University of Fribourg</t>
  </si>
  <si>
    <t>Neuchatel</t>
  </si>
  <si>
    <t>University of Neuchatel</t>
  </si>
  <si>
    <t>University of Basel</t>
  </si>
  <si>
    <t>Computational Science</t>
  </si>
  <si>
    <t>Lucerne</t>
  </si>
  <si>
    <t>University of Lucerne</t>
  </si>
  <si>
    <t>Digital Innovation</t>
  </si>
  <si>
    <t>Winterthur</t>
  </si>
  <si>
    <t>ZHAW</t>
  </si>
  <si>
    <t>Aarhus</t>
  </si>
  <si>
    <t>Aarhus University</t>
  </si>
  <si>
    <t>Peking University</t>
  </si>
  <si>
    <t>Shanghai</t>
  </si>
  <si>
    <t>Fudan University</t>
  </si>
  <si>
    <t>Shanghai Jiao Tong University</t>
  </si>
  <si>
    <t>Hangzhou</t>
  </si>
  <si>
    <t>Zhejiang University</t>
  </si>
  <si>
    <t>Nanjing</t>
  </si>
  <si>
    <t>Nanjing University</t>
  </si>
  <si>
    <t>Guangzhou</t>
  </si>
  <si>
    <t>Sun Yat-sen University</t>
  </si>
  <si>
    <t>Wuhan</t>
  </si>
  <si>
    <t>Wuhan University</t>
  </si>
  <si>
    <t>Xi'an</t>
  </si>
  <si>
    <t>Xi'an Jiaotong University</t>
  </si>
  <si>
    <t>Chengdu</t>
  </si>
  <si>
    <t>Sichuan University</t>
  </si>
  <si>
    <t>Korea University</t>
  </si>
  <si>
    <t>Yonsei University</t>
  </si>
  <si>
    <t>Hanyang University</t>
  </si>
  <si>
    <t>Sungkyunkwan University</t>
  </si>
  <si>
    <t>Robotics Engineering</t>
  </si>
  <si>
    <t>Chungnam National University</t>
  </si>
  <si>
    <t>Dong-A University</t>
  </si>
  <si>
    <t>Daegu</t>
  </si>
  <si>
    <t>Kyungpook National University</t>
  </si>
  <si>
    <t>Yeungnam University</t>
  </si>
  <si>
    <t>Gwangju</t>
  </si>
  <si>
    <t>Chonnam National University</t>
  </si>
  <si>
    <t>Chosun University</t>
  </si>
  <si>
    <t>Ulsan</t>
  </si>
  <si>
    <t>Ulsan National Institute of Science and Technology</t>
  </si>
  <si>
    <t>AI Engineering</t>
  </si>
  <si>
    <t>University of Ulsan</t>
  </si>
  <si>
    <t>Pohang</t>
  </si>
  <si>
    <t>POSTECH</t>
  </si>
  <si>
    <t>Incheon</t>
  </si>
  <si>
    <t>Incheon National University</t>
  </si>
  <si>
    <t>Suwon</t>
  </si>
  <si>
    <t>Sungkyunkwan University (Suwon)</t>
  </si>
  <si>
    <t>Computer Systems</t>
  </si>
  <si>
    <t>Hanbat National University</t>
  </si>
  <si>
    <t>Information Security</t>
  </si>
  <si>
    <t>Cheongju</t>
  </si>
  <si>
    <t>Chungbuk National University</t>
  </si>
  <si>
    <t>Computer Networks</t>
  </si>
  <si>
    <t>New Haven</t>
  </si>
  <si>
    <t>Yale University</t>
  </si>
  <si>
    <t>Princeton</t>
  </si>
  <si>
    <t>Princeton University</t>
  </si>
  <si>
    <t>Los Angeles</t>
  </si>
  <si>
    <t>UCLA</t>
  </si>
  <si>
    <t>University of Texas Austin</t>
  </si>
  <si>
    <t>University of Wisconsin-Madison</t>
  </si>
  <si>
    <t>Urbana</t>
  </si>
  <si>
    <t>University of Illinois Urbana-Champaign</t>
  </si>
  <si>
    <t>Columbus</t>
  </si>
  <si>
    <t>Ohio State University</t>
  </si>
  <si>
    <t>West Lafayette</t>
  </si>
  <si>
    <t>Purdue University</t>
  </si>
  <si>
    <t>Gainesville</t>
  </si>
  <si>
    <t>University of Florida</t>
  </si>
  <si>
    <t>Raleigh</t>
  </si>
  <si>
    <t>NC State University</t>
  </si>
  <si>
    <t>College Station</t>
  </si>
  <si>
    <t>Texas A&amp;M University</t>
  </si>
  <si>
    <t>Corvallis</t>
  </si>
  <si>
    <t>Oregon State University</t>
  </si>
  <si>
    <t>King's College London</t>
  </si>
  <si>
    <t>Edinburgh</t>
  </si>
  <si>
    <t>University of Edinburgh</t>
  </si>
  <si>
    <t>Durham University</t>
  </si>
  <si>
    <t>Liverpool</t>
  </si>
  <si>
    <t>University of Liverpool</t>
  </si>
  <si>
    <t>Aberdeen</t>
  </si>
  <si>
    <t>University of Aberdeen</t>
  </si>
  <si>
    <t>Leicester</t>
  </si>
  <si>
    <t>University of Leicester</t>
  </si>
  <si>
    <t>Reading</t>
  </si>
  <si>
    <t>University of Reading</t>
  </si>
  <si>
    <t>Sussex</t>
  </si>
  <si>
    <t>University of Sussex</t>
  </si>
  <si>
    <t>Essex</t>
  </si>
  <si>
    <t>University of Essex</t>
  </si>
  <si>
    <t>Bath</t>
  </si>
  <si>
    <t>University of Bath</t>
  </si>
  <si>
    <t>Surrey</t>
  </si>
  <si>
    <t>University of Surrey</t>
  </si>
  <si>
    <t>Exeter</t>
  </si>
  <si>
    <t>University of Exeter</t>
  </si>
  <si>
    <t>Kent</t>
  </si>
  <si>
    <t>University of Kent</t>
  </si>
  <si>
    <t>Dundee</t>
  </si>
  <si>
    <t>University of Dundee</t>
  </si>
  <si>
    <t>Strathclyde</t>
  </si>
  <si>
    <t>University of Strathclyde</t>
  </si>
  <si>
    <t>Heriot-Watt</t>
  </si>
  <si>
    <t>Heriot-Watt University</t>
  </si>
  <si>
    <t>Loughborough</t>
  </si>
  <si>
    <t>Loughborough University</t>
  </si>
  <si>
    <t>Brunel</t>
  </si>
  <si>
    <t>Brunel University London</t>
  </si>
  <si>
    <t>Queen Mary</t>
  </si>
  <si>
    <t>Queen Mary University of London</t>
  </si>
  <si>
    <t>Royal Holloway</t>
  </si>
  <si>
    <t>Royal Holloway University</t>
  </si>
  <si>
    <t>Lancaster</t>
  </si>
  <si>
    <t>Lancaster University</t>
  </si>
  <si>
    <t>Swansea</t>
  </si>
  <si>
    <t>Swansea University</t>
  </si>
  <si>
    <t>Aston</t>
  </si>
  <si>
    <t>Aston University</t>
  </si>
  <si>
    <t>Hull</t>
  </si>
  <si>
    <t>University of Hull</t>
  </si>
  <si>
    <t>Keele</t>
  </si>
  <si>
    <t>Keele University</t>
  </si>
  <si>
    <t>Plymouth</t>
  </si>
  <si>
    <t>University of Plymouth</t>
  </si>
  <si>
    <t>Portsmouth</t>
  </si>
  <si>
    <t>University of Portsmouth</t>
  </si>
  <si>
    <t>Ulster</t>
  </si>
  <si>
    <t>Ulster University</t>
  </si>
  <si>
    <t>Northumbria</t>
  </si>
  <si>
    <t>Northumbria University</t>
  </si>
  <si>
    <t>Coventry</t>
  </si>
  <si>
    <t>Coventry University</t>
  </si>
  <si>
    <t>Oxford Brookes</t>
  </si>
  <si>
    <t>Oxford Brookes University</t>
  </si>
  <si>
    <t>De Montfort</t>
  </si>
  <si>
    <t>De Montfort University</t>
  </si>
  <si>
    <t>Westminster</t>
  </si>
  <si>
    <t>University of Westminster</t>
  </si>
  <si>
    <t>Greenwich</t>
  </si>
  <si>
    <t>University of Greenwich</t>
  </si>
  <si>
    <t>Kingston</t>
  </si>
  <si>
    <t>Kingston University</t>
  </si>
  <si>
    <t>Montreal</t>
  </si>
  <si>
    <t>McGill University</t>
  </si>
  <si>
    <t>University of Montreal</t>
  </si>
  <si>
    <t>Queen's University</t>
  </si>
  <si>
    <t>University of Sherbrooke</t>
  </si>
  <si>
    <t>Windsor</t>
  </si>
  <si>
    <t>University of Windsor</t>
  </si>
  <si>
    <t>Moncton</t>
  </si>
  <si>
    <t>University of New Brunswick</t>
  </si>
  <si>
    <t>Trois-Rivieres</t>
  </si>
  <si>
    <t>UQTR</t>
  </si>
  <si>
    <t>Thunder Bay</t>
  </si>
  <si>
    <t>Lakehead University</t>
  </si>
  <si>
    <t>Sudbury</t>
  </si>
  <si>
    <t>Laurentian University</t>
  </si>
  <si>
    <t>Prince George</t>
  </si>
  <si>
    <t>UNBC</t>
  </si>
  <si>
    <t>Brisbane</t>
  </si>
  <si>
    <t>University of Queensland</t>
  </si>
  <si>
    <t>University of New South Wales</t>
  </si>
  <si>
    <t>Monash University</t>
  </si>
  <si>
    <t>Queensland University of Technology</t>
  </si>
  <si>
    <t>University of Technology Sydney</t>
  </si>
  <si>
    <t>RMIT University</t>
  </si>
  <si>
    <t>University of Canberra</t>
  </si>
  <si>
    <t>Toowoomba</t>
  </si>
  <si>
    <t>University of Southern Queensland</t>
  </si>
  <si>
    <t>Ballarat</t>
  </si>
  <si>
    <t>Federation University</t>
  </si>
  <si>
    <t>Lismore</t>
  </si>
  <si>
    <t>Southern Cross University</t>
  </si>
  <si>
    <t>TU Munich</t>
  </si>
  <si>
    <t>Chemistry</t>
  </si>
  <si>
    <t>Humboldt University</t>
  </si>
  <si>
    <t>Biotechnology</t>
  </si>
  <si>
    <t>University of Hamburg</t>
  </si>
  <si>
    <t>Frankfurt</t>
  </si>
  <si>
    <t>Goethe University</t>
  </si>
  <si>
    <t>Cologne</t>
  </si>
  <si>
    <t>University of Cologne</t>
  </si>
  <si>
    <t>Bonn</t>
  </si>
  <si>
    <t>University of Bonn</t>
  </si>
  <si>
    <t>San Francisco</t>
  </si>
  <si>
    <t>UC Berkeley Extension</t>
  </si>
  <si>
    <t>Anglia Ruskin University</t>
  </si>
  <si>
    <t>University of Lyon</t>
  </si>
  <si>
    <t>Cork</t>
  </si>
  <si>
    <t>University College Cork</t>
  </si>
  <si>
    <t>Northeastern University</t>
  </si>
  <si>
    <t>University of Toulouse</t>
  </si>
  <si>
    <t>Limerick</t>
  </si>
  <si>
    <t>University of Limerick</t>
  </si>
  <si>
    <t>University of Salford</t>
  </si>
  <si>
    <t>University of Nice</t>
  </si>
  <si>
    <t>Maynooth</t>
  </si>
  <si>
    <t>Maynooth University</t>
  </si>
  <si>
    <t>Denver</t>
  </si>
  <si>
    <t>University of Denver</t>
  </si>
  <si>
    <t>Leeds Beckett University</t>
  </si>
  <si>
    <t>University of Lille</t>
  </si>
  <si>
    <t>Waterford</t>
  </si>
  <si>
    <t>Waterford IT</t>
  </si>
  <si>
    <t>Portland</t>
  </si>
  <si>
    <t>Portland State University</t>
  </si>
  <si>
    <t>UWE Bristol</t>
  </si>
  <si>
    <t>USI Lugano</t>
  </si>
  <si>
    <t>Sligo</t>
  </si>
  <si>
    <t>IT Sligo</t>
  </si>
  <si>
    <t>Athlone</t>
  </si>
  <si>
    <t>Athlone IT</t>
  </si>
  <si>
    <t>Technical University Berlin</t>
  </si>
  <si>
    <t>Trondheim</t>
  </si>
  <si>
    <t>NTNU</t>
  </si>
  <si>
    <t>Espoo</t>
  </si>
  <si>
    <t>Aalto University</t>
  </si>
  <si>
    <t>LMU Munich</t>
  </si>
  <si>
    <t>Bergen</t>
  </si>
  <si>
    <t>University of Bergen</t>
  </si>
  <si>
    <t>Tampere</t>
  </si>
  <si>
    <t>Tampere University</t>
  </si>
  <si>
    <t>Odense</t>
  </si>
  <si>
    <t>University of Southern Denmark</t>
  </si>
  <si>
    <t>TromsÃ¸</t>
  </si>
  <si>
    <t>UiT Arctic University</t>
  </si>
  <si>
    <t>Marine Technology</t>
  </si>
  <si>
    <t>Turku</t>
  </si>
  <si>
    <t>University of Turku</t>
  </si>
  <si>
    <t>Energy Engineering</t>
  </si>
  <si>
    <t>Stavanger</t>
  </si>
  <si>
    <t>University of Stavanger</t>
  </si>
  <si>
    <t>Petroleum Engineering</t>
  </si>
  <si>
    <t>Oulu</t>
  </si>
  <si>
    <t>University of Oulu</t>
  </si>
  <si>
    <t>Roskilde</t>
  </si>
  <si>
    <t>Roskilde University</t>
  </si>
  <si>
    <t>Ã…s</t>
  </si>
  <si>
    <t>Norwegian University of Life Sciences</t>
  </si>
  <si>
    <t>Vaasa</t>
  </si>
  <si>
    <t>University of Vaasa</t>
  </si>
  <si>
    <t>Industrial Management</t>
  </si>
  <si>
    <t>Mechatronics</t>
  </si>
  <si>
    <t>Lyngby</t>
  </si>
  <si>
    <t>Technical University of Denmark</t>
  </si>
  <si>
    <t>Quantum Engineering</t>
  </si>
  <si>
    <t>BodÃ¸</t>
  </si>
  <si>
    <t>Nord University</t>
  </si>
  <si>
    <t>JyvÃ¤skylÃ¤</t>
  </si>
  <si>
    <t>University of JyvÃ¤skylÃ¤</t>
  </si>
  <si>
    <t>Kolding</t>
  </si>
  <si>
    <t>GjÃ¸vik</t>
  </si>
  <si>
    <t>NTNU GjÃ¸vik</t>
  </si>
  <si>
    <t>Lappeenranta</t>
  </si>
  <si>
    <t>LUT University</t>
  </si>
  <si>
    <t>Bremen</t>
  </si>
  <si>
    <t>University of Bremen</t>
  </si>
  <si>
    <t>Esbjerg</t>
  </si>
  <si>
    <t>Environmental Engineering</t>
  </si>
  <si>
    <t>Kristiansand</t>
  </si>
  <si>
    <t>University of Agder</t>
  </si>
  <si>
    <t>Renewable Energy</t>
  </si>
  <si>
    <t>Kuopio</t>
  </si>
  <si>
    <t>University of Eastern Finland</t>
  </si>
  <si>
    <t>Materials Science</t>
  </si>
  <si>
    <t>Slagelse</t>
  </si>
  <si>
    <t>Horten</t>
  </si>
  <si>
    <t>University of South-Eastern Norway</t>
  </si>
  <si>
    <t>Systems Engineering</t>
  </si>
  <si>
    <t>Joensuu</t>
  </si>
  <si>
    <t>Forestry Sciences</t>
  </si>
  <si>
    <t>Photonics</t>
  </si>
  <si>
    <t>Herning</t>
  </si>
  <si>
    <t>Engineering Management</t>
  </si>
  <si>
    <t>Engineering Physics</t>
  </si>
  <si>
    <t>Wellington</t>
  </si>
  <si>
    <t>Victoria University</t>
  </si>
  <si>
    <t>Uppsala</t>
  </si>
  <si>
    <t>Uppsala University</t>
  </si>
  <si>
    <t>Porto</t>
  </si>
  <si>
    <t>University of Porto</t>
  </si>
  <si>
    <t>Christchurch</t>
  </si>
  <si>
    <t>University of Canterbury</t>
  </si>
  <si>
    <t>Gothenburg</t>
  </si>
  <si>
    <t>Chalmers University</t>
  </si>
  <si>
    <t>Sustainable Energy</t>
  </si>
  <si>
    <t>Coimbra</t>
  </si>
  <si>
    <t>University of Coimbra</t>
  </si>
  <si>
    <t>Dunedin</t>
  </si>
  <si>
    <t>University of Otago</t>
  </si>
  <si>
    <t>Braga</t>
  </si>
  <si>
    <t>University of Minho</t>
  </si>
  <si>
    <t>University of Waikato</t>
  </si>
  <si>
    <t>Machine Learning</t>
  </si>
  <si>
    <t>LinkÃ¶ping</t>
  </si>
  <si>
    <t>LinkÃ¶ping University</t>
  </si>
  <si>
    <t>Aveiro</t>
  </si>
  <si>
    <t>University of Aveiro</t>
  </si>
  <si>
    <t>Palmerston North</t>
  </si>
  <si>
    <t>Massey University</t>
  </si>
  <si>
    <t>UmeÃ¥</t>
  </si>
  <si>
    <t>UmeÃ¥ University</t>
  </si>
  <si>
    <t>Faro</t>
  </si>
  <si>
    <t>University of Algarve</t>
  </si>
  <si>
    <t>AUT University</t>
  </si>
  <si>
    <t>Karlstad</t>
  </si>
  <si>
    <t>Karlstad University</t>
  </si>
  <si>
    <t>Vila Real</t>
  </si>
  <si>
    <t>UTAD</t>
  </si>
  <si>
    <t>Lincoln University</t>
  </si>
  <si>
    <t>Environmental Computing</t>
  </si>
  <si>
    <t>VÃ¤xjÃ¶</t>
  </si>
  <si>
    <t>Linnaeus University</t>
  </si>
  <si>
    <t>Funchal</t>
  </si>
  <si>
    <t>University of Madeira</t>
  </si>
  <si>
    <t>Computing</t>
  </si>
  <si>
    <t>Madrid</t>
  </si>
  <si>
    <t>Universidad PolitÃ©cnica de Madrid</t>
  </si>
  <si>
    <t>TU Wien</t>
  </si>
  <si>
    <t>Universitat PolitÃ¨cnica Catalunya</t>
  </si>
  <si>
    <t>Rome</t>
  </si>
  <si>
    <t>Sapienza University</t>
  </si>
  <si>
    <t>Thessaloniki</t>
  </si>
  <si>
    <t>Aristotle University</t>
  </si>
  <si>
    <t>Graz</t>
  </si>
  <si>
    <t>TU Graz</t>
  </si>
  <si>
    <t>Monterrey</t>
  </si>
  <si>
    <t>TecnolÃ³gico de Monterrey</t>
  </si>
  <si>
    <t>Valencia</t>
  </si>
  <si>
    <t>Universitat de ValÃ¨ncia</t>
  </si>
  <si>
    <t>Turin</t>
  </si>
  <si>
    <t>Politecnico di Torino</t>
  </si>
  <si>
    <t>Patras</t>
  </si>
  <si>
    <t>University of Patras</t>
  </si>
  <si>
    <t>Electronics</t>
  </si>
  <si>
    <t>Linz</t>
  </si>
  <si>
    <t>Johannes Kepler University</t>
  </si>
  <si>
    <t>Guadalajara</t>
  </si>
  <si>
    <t>Universidad de Guadalajara</t>
  </si>
  <si>
    <t>Seville</t>
  </si>
  <si>
    <t>Universidad de Sevilla</t>
  </si>
  <si>
    <t>Bologna</t>
  </si>
  <si>
    <t>University of Bologna</t>
  </si>
  <si>
    <t>Heraklion</t>
  </si>
  <si>
    <t>University of Crete</t>
  </si>
  <si>
    <t>Salzburg</t>
  </si>
  <si>
    <t>University of Salzburg</t>
  </si>
  <si>
    <t>Puebla</t>
  </si>
  <si>
    <t>UDLAP</t>
  </si>
  <si>
    <t>Bilbao</t>
  </si>
  <si>
    <t>University of the Basque Country</t>
  </si>
  <si>
    <t>Florence</t>
  </si>
  <si>
    <t>University of Florence</t>
  </si>
  <si>
    <t>Volos</t>
  </si>
  <si>
    <t>University of Thessaly</t>
  </si>
  <si>
    <t>Innsbruck</t>
  </si>
  <si>
    <t>University of Innsbruck</t>
  </si>
  <si>
    <t>Queretaro</t>
  </si>
  <si>
    <t>Tecnologico de Monterrey</t>
  </si>
  <si>
    <t>Granada</t>
  </si>
  <si>
    <t>University of Granada</t>
  </si>
  <si>
    <t>Naples</t>
  </si>
  <si>
    <t>University of Naples</t>
  </si>
  <si>
    <t>Ioannina</t>
  </si>
  <si>
    <t>University of Ioannina</t>
  </si>
  <si>
    <t>Klagenfurt</t>
  </si>
  <si>
    <t>University of Klagenfurt</t>
  </si>
  <si>
    <t>Merida</t>
  </si>
  <si>
    <t>Universidad Autonoma de Yucatan</t>
  </si>
  <si>
    <t>Zaragoza</t>
  </si>
  <si>
    <t>University of Zaragoza</t>
  </si>
  <si>
    <t>Pisa</t>
  </si>
  <si>
    <t>University of Pisa</t>
  </si>
  <si>
    <t>Rhodes</t>
  </si>
  <si>
    <t>University of the Aegean</t>
  </si>
  <si>
    <t>Leoben</t>
  </si>
  <si>
    <t>MontanuniversitÃ¤t Leoben</t>
  </si>
  <si>
    <t>Tijuana</t>
  </si>
  <si>
    <t>CETYS Universidad</t>
  </si>
  <si>
    <t>Salamanca</t>
  </si>
  <si>
    <t>University of Salamanca</t>
  </si>
  <si>
    <t>Padua</t>
  </si>
  <si>
    <t>University of Padua</t>
  </si>
  <si>
    <t>Chania</t>
  </si>
  <si>
    <t>Technical University of Crete</t>
  </si>
  <si>
    <t>Electronic Engineering</t>
  </si>
  <si>
    <t>Dornbirn</t>
  </si>
  <si>
    <t>FH Vorarlberg</t>
  </si>
  <si>
    <t>San Luis Potosi</t>
  </si>
  <si>
    <t>UASLP</t>
  </si>
  <si>
    <t>Athens University of Economics</t>
  </si>
  <si>
    <t>Leuven</t>
  </si>
  <si>
    <t>Hungary</t>
  </si>
  <si>
    <t>Budapest</t>
  </si>
  <si>
    <t>Budapest University of Technology</t>
  </si>
  <si>
    <t>Ankara</t>
  </si>
  <si>
    <t>Middle East Technical University</t>
  </si>
  <si>
    <t>University of Macedonia</t>
  </si>
  <si>
    <t>Ghent</t>
  </si>
  <si>
    <t>Ghent University</t>
  </si>
  <si>
    <t>Debrecen</t>
  </si>
  <si>
    <t>University of Debrecen</t>
  </si>
  <si>
    <t>Saint Petersburg</t>
  </si>
  <si>
    <t>ITMO University</t>
  </si>
  <si>
    <t>Izmir</t>
  </si>
  <si>
    <t>Ege University</t>
  </si>
  <si>
    <t>Vrije Universiteit Brussel</t>
  </si>
  <si>
    <t>Szeged</t>
  </si>
  <si>
    <t>University of Szeged</t>
  </si>
  <si>
    <t>Novosibirsk</t>
  </si>
  <si>
    <t>Novosibirsk State University</t>
  </si>
  <si>
    <t>Eskisehir</t>
  </si>
  <si>
    <t>Anadolu University</t>
  </si>
  <si>
    <t>Antwerp</t>
  </si>
  <si>
    <t>University of Antwerp</t>
  </si>
  <si>
    <t>Pecs</t>
  </si>
  <si>
    <t>University of Pecs</t>
  </si>
  <si>
    <t>Kazan</t>
  </si>
  <si>
    <t>Kazan Federal University</t>
  </si>
  <si>
    <t>Bursa</t>
  </si>
  <si>
    <t>Uludag University</t>
  </si>
  <si>
    <t>Louvain</t>
  </si>
  <si>
    <t>UCLouvain</t>
  </si>
  <si>
    <t>Gyor</t>
  </si>
  <si>
    <t>Szechenyi Istvan University</t>
  </si>
  <si>
    <t>Tomsk</t>
  </si>
  <si>
    <t>Tomsk State University</t>
  </si>
  <si>
    <t>Antalya</t>
  </si>
  <si>
    <t>Akdeniz University</t>
  </si>
  <si>
    <t>Piraeus</t>
  </si>
  <si>
    <t>University of Piraeus</t>
  </si>
  <si>
    <t>Hasselt</t>
  </si>
  <si>
    <t>Hasselt University</t>
  </si>
  <si>
    <t>Miskolc</t>
  </si>
  <si>
    <t>University of Miskolc</t>
  </si>
  <si>
    <t>Yekaterinburg</t>
  </si>
  <si>
    <t>Ural Federal University</t>
  </si>
  <si>
    <t>Kayseri</t>
  </si>
  <si>
    <t>Erciyes University</t>
  </si>
  <si>
    <t>Xanthi</t>
  </si>
  <si>
    <t>Democritus University</t>
  </si>
  <si>
    <t>Liege</t>
  </si>
  <si>
    <t>University of Liege</t>
  </si>
  <si>
    <t>Veszprem</t>
  </si>
  <si>
    <t>University of Pannonia</t>
  </si>
  <si>
    <t>Samara</t>
  </si>
  <si>
    <t>Samara State University</t>
  </si>
  <si>
    <t>Konya</t>
  </si>
  <si>
    <t>Selcuk University</t>
  </si>
  <si>
    <t>Chios</t>
  </si>
  <si>
    <t>Mons</t>
  </si>
  <si>
    <t>University of Mons</t>
  </si>
  <si>
    <t>Kecskemet</t>
  </si>
  <si>
    <t>John von Neumann University</t>
  </si>
  <si>
    <t>Rostov-on-Don</t>
  </si>
  <si>
    <t>Southern Federal University</t>
  </si>
  <si>
    <t>Cairo University</t>
  </si>
  <si>
    <t>University of Dubai</t>
  </si>
  <si>
    <t>Rio de Janeiro</t>
  </si>
  <si>
    <t>PUC-Rio</t>
  </si>
  <si>
    <t>Mumbai</t>
  </si>
  <si>
    <t>IIT Bombay</t>
  </si>
  <si>
    <t>Chiang Mai</t>
  </si>
  <si>
    <t>Chiang Mai University</t>
  </si>
  <si>
    <t>Abu Dhabi</t>
  </si>
  <si>
    <t>Khalifa University</t>
  </si>
  <si>
    <t>Campinas</t>
  </si>
  <si>
    <t>UNICAMP</t>
  </si>
  <si>
    <t>Delhi</t>
  </si>
  <si>
    <t>IIT Delhi</t>
  </si>
  <si>
    <t>Khon Kaen</t>
  </si>
  <si>
    <t>Khon Kaen University</t>
  </si>
  <si>
    <t>Alexandria</t>
  </si>
  <si>
    <t>Alexandria University</t>
  </si>
  <si>
    <t>Sharjah</t>
  </si>
  <si>
    <t>American University of Sharjah</t>
  </si>
  <si>
    <t>Porto Alegre</t>
  </si>
  <si>
    <t>UFRGS</t>
  </si>
  <si>
    <t>Chennai</t>
  </si>
  <si>
    <t>IIT Madras</t>
  </si>
  <si>
    <t>Phuket</t>
  </si>
  <si>
    <t>Prince of Songkla University</t>
  </si>
  <si>
    <t>Giza</t>
  </si>
  <si>
    <t>Ain Shams University</t>
  </si>
  <si>
    <t>Singapore University of Technology</t>
  </si>
  <si>
    <t>Ajman</t>
  </si>
  <si>
    <t>Ajman University</t>
  </si>
  <si>
    <t>Recife</t>
  </si>
  <si>
    <t>UFPE</t>
  </si>
  <si>
    <t>Hyderabad</t>
  </si>
  <si>
    <t>IIT Hyderabad</t>
  </si>
  <si>
    <t>Hat Yai</t>
  </si>
  <si>
    <t>Port Said</t>
  </si>
  <si>
    <t>Port Said University</t>
  </si>
  <si>
    <t>Al Ain</t>
  </si>
  <si>
    <t>UAE University</t>
  </si>
  <si>
    <t>Florianopolis</t>
  </si>
  <si>
    <t>UFSC</t>
  </si>
  <si>
    <t>Pune</t>
  </si>
  <si>
    <t>IIT Pune</t>
  </si>
  <si>
    <t>Nakhon Ratchasima</t>
  </si>
  <si>
    <t>Suranaree University</t>
  </si>
  <si>
    <t>Mansoura</t>
  </si>
  <si>
    <t>Mansoura University</t>
  </si>
  <si>
    <t>SIM Global Education</t>
  </si>
  <si>
    <t>Ras Al Khaimah</t>
  </si>
  <si>
    <t>RAK University</t>
  </si>
  <si>
    <t>Salvador</t>
  </si>
  <si>
    <t>UFBA</t>
  </si>
  <si>
    <t>Kanpur</t>
  </si>
  <si>
    <t>IIT Kanpur</t>
  </si>
  <si>
    <t>Songkhla</t>
  </si>
  <si>
    <t>Thaksin University</t>
  </si>
  <si>
    <t>Aswan</t>
  </si>
  <si>
    <t>Aswan University</t>
  </si>
  <si>
    <t>Fujairah</t>
  </si>
  <si>
    <t>Fujairah University</t>
  </si>
  <si>
    <t>Iceland</t>
  </si>
  <si>
    <t>Reykjavik</t>
  </si>
  <si>
    <t>University of Iceland</t>
  </si>
  <si>
    <t>Colombia</t>
  </si>
  <si>
    <t>Bogota</t>
  </si>
  <si>
    <t>Universidad Nacional</t>
  </si>
  <si>
    <t>Romania</t>
  </si>
  <si>
    <t>Bucharest</t>
  </si>
  <si>
    <t>University Politehnica</t>
  </si>
  <si>
    <t>Luxembourg</t>
  </si>
  <si>
    <t>Luxembourg City</t>
  </si>
  <si>
    <t>University of Luxembourg</t>
  </si>
  <si>
    <t>Akureyri</t>
  </si>
  <si>
    <t>University of Akureyri</t>
  </si>
  <si>
    <t>Medellin</t>
  </si>
  <si>
    <t>Universidad de Antioquia</t>
  </si>
  <si>
    <t>Krakow</t>
  </si>
  <si>
    <t>Jagiellonian University</t>
  </si>
  <si>
    <t>Cluj-Napoca</t>
  </si>
  <si>
    <t>Babes-Bolyai University</t>
  </si>
  <si>
    <t>Esch-sur-Alzette</t>
  </si>
  <si>
    <t>Luxembourg School of Business</t>
  </si>
  <si>
    <t>Bandung</t>
  </si>
  <si>
    <t>Institut Teknologi Bandung</t>
  </si>
  <si>
    <t>Reykjavik University</t>
  </si>
  <si>
    <t>Cali</t>
  </si>
  <si>
    <t>Universidad del Valle</t>
  </si>
  <si>
    <t>Wroclaw</t>
  </si>
  <si>
    <t>Wroclaw University of Technology</t>
  </si>
  <si>
    <t>Timisoara</t>
  </si>
  <si>
    <t>Politehnica University</t>
  </si>
  <si>
    <t>Belval</t>
  </si>
  <si>
    <t>Luxembourg Institute of Science</t>
  </si>
  <si>
    <t>Yogyakarta</t>
  </si>
  <si>
    <t>Gadjah Mada University</t>
  </si>
  <si>
    <t>Hafnarfjordur</t>
  </si>
  <si>
    <t>Iceland University of Arts</t>
  </si>
  <si>
    <t>Digital Design</t>
  </si>
  <si>
    <t>Barranquilla</t>
  </si>
  <si>
    <t>Universidad del Norte</t>
  </si>
  <si>
    <t>Poznan</t>
  </si>
  <si>
    <t>Adam Mickiewicz University</t>
  </si>
  <si>
    <t>Iasi</t>
  </si>
  <si>
    <t>Alexandru Ioan Cuza University</t>
  </si>
  <si>
    <t>Kirchberg</t>
  </si>
  <si>
    <t>Sacred Heart University</t>
  </si>
  <si>
    <t>Surabaya</t>
  </si>
  <si>
    <t>Institut Teknologi Sepuluh</t>
  </si>
  <si>
    <t>Kopavogur</t>
  </si>
  <si>
    <t>Bifrost University</t>
  </si>
  <si>
    <t>Digital Business</t>
  </si>
  <si>
    <t>Bucaramanga</t>
  </si>
  <si>
    <t>UIS</t>
  </si>
  <si>
    <t>Gdansk</t>
  </si>
  <si>
    <t>Gdansk University of Technology</t>
  </si>
  <si>
    <t>Brasov</t>
  </si>
  <si>
    <t>Transilvania University</t>
  </si>
  <si>
    <t>Differdange</t>
  </si>
  <si>
    <t>Miami University Dolibois</t>
  </si>
  <si>
    <t>Malang</t>
  </si>
  <si>
    <t>Brawijaya University</t>
  </si>
  <si>
    <t>Lodz</t>
  </si>
  <si>
    <t>Lodz University of Technology</t>
  </si>
  <si>
    <t>Constanta</t>
  </si>
  <si>
    <t>Ovidius University</t>
  </si>
  <si>
    <t>Walferdange</t>
  </si>
  <si>
    <t>European Business University</t>
  </si>
  <si>
    <t>Semarang</t>
  </si>
  <si>
    <t>Diponegoro University</t>
  </si>
  <si>
    <t>Borgarnes</t>
  </si>
  <si>
    <t>Agricultural University</t>
  </si>
  <si>
    <t>Data Systems</t>
  </si>
  <si>
    <t>Cartagena</t>
  </si>
  <si>
    <t>Universidad de Cartagena</t>
  </si>
  <si>
    <t>Katowice</t>
  </si>
  <si>
    <t>University of Silesia</t>
  </si>
  <si>
    <t>Craiova</t>
  </si>
  <si>
    <t>University of Craiova</t>
  </si>
  <si>
    <t>Bertrange</t>
  </si>
  <si>
    <t>Chamber of Commerce School</t>
  </si>
  <si>
    <t>Denpasar</t>
  </si>
  <si>
    <t>Udayana University</t>
  </si>
  <si>
    <t>Tunisia</t>
  </si>
  <si>
    <t>Tunis</t>
  </si>
  <si>
    <t>University of Tunis</t>
  </si>
  <si>
    <t>Cyprus</t>
  </si>
  <si>
    <t>Nicosia</t>
  </si>
  <si>
    <t>University of Cyprus</t>
  </si>
  <si>
    <t>Croatia</t>
  </si>
  <si>
    <t>Zagreb</t>
  </si>
  <si>
    <t>University of Zagreb</t>
  </si>
  <si>
    <t>Dominican Republic</t>
  </si>
  <si>
    <t>Santo Domingo</t>
  </si>
  <si>
    <t>INTEC</t>
  </si>
  <si>
    <t>Morocco</t>
  </si>
  <si>
    <t>Rabat</t>
  </si>
  <si>
    <t>Mohammed V University</t>
  </si>
  <si>
    <t>Peru</t>
  </si>
  <si>
    <t>Lima</t>
  </si>
  <si>
    <t>PUCP</t>
  </si>
  <si>
    <t>Sfax</t>
  </si>
  <si>
    <t>University of Sfax</t>
  </si>
  <si>
    <t>Limassol</t>
  </si>
  <si>
    <t>Cyprus University of Technology</t>
  </si>
  <si>
    <t>Split</t>
  </si>
  <si>
    <t>University of Split</t>
  </si>
  <si>
    <t>Santiago</t>
  </si>
  <si>
    <t>PUCMM</t>
  </si>
  <si>
    <t>Casablanca</t>
  </si>
  <si>
    <t>Hassan II University</t>
  </si>
  <si>
    <t>Arequipa</t>
  </si>
  <si>
    <t>Universidad San Agustin</t>
  </si>
  <si>
    <t>Cordoba</t>
  </si>
  <si>
    <t>National University of Cordoba</t>
  </si>
  <si>
    <t>Sousse</t>
  </si>
  <si>
    <t>University of Sousse</t>
  </si>
  <si>
    <t>Larnaca</t>
  </si>
  <si>
    <t>American University Cyprus</t>
  </si>
  <si>
    <t>Rijeka</t>
  </si>
  <si>
    <t>University of Rijeka</t>
  </si>
  <si>
    <t>La Romana</t>
  </si>
  <si>
    <t>Universidad Central Este</t>
  </si>
  <si>
    <t>Fez</t>
  </si>
  <si>
    <t>University of Al Quaraouiyine</t>
  </si>
  <si>
    <t>Trujillo</t>
  </si>
  <si>
    <t>Universidad Nacional de Trujillo</t>
  </si>
  <si>
    <t>Rosario</t>
  </si>
  <si>
    <t>National University of Rosario</t>
  </si>
  <si>
    <t>Monastir</t>
  </si>
  <si>
    <t>University of Monastir</t>
  </si>
  <si>
    <t>Famagusta</t>
  </si>
  <si>
    <t>Eastern Mediterranean University</t>
  </si>
  <si>
    <t>Osijek</t>
  </si>
  <si>
    <t>University of Osijek</t>
  </si>
  <si>
    <t>San Pedro</t>
  </si>
  <si>
    <t>UCNE</t>
  </si>
  <si>
    <t>Marrakech</t>
  </si>
  <si>
    <t>Cadi Ayyad University</t>
  </si>
  <si>
    <t>Cusco</t>
  </si>
  <si>
    <t>Universidad San Antonio Abad</t>
  </si>
  <si>
    <t>La Plata</t>
  </si>
  <si>
    <t>National University of La Plata</t>
  </si>
  <si>
    <t>Gabes</t>
  </si>
  <si>
    <t>University of Gabes</t>
  </si>
  <si>
    <t>Zadar</t>
  </si>
  <si>
    <t>University of Zadar</t>
  </si>
  <si>
    <t>Paphos</t>
  </si>
  <si>
    <t>Neapolis University</t>
  </si>
  <si>
    <t>Puerto Plata</t>
  </si>
  <si>
    <t>UTESA</t>
  </si>
  <si>
    <t>Tangier</t>
  </si>
  <si>
    <t>Abdelmalek Essaadi University</t>
  </si>
  <si>
    <t>Piura</t>
  </si>
  <si>
    <t>Universidad de Piura</t>
  </si>
  <si>
    <t>Mendoza</t>
  </si>
  <si>
    <t>National University of Cuyo</t>
  </si>
  <si>
    <t>Bizerte</t>
  </si>
  <si>
    <t>University of Carthage</t>
  </si>
  <si>
    <t>Girne</t>
  </si>
  <si>
    <t>Girne American University</t>
  </si>
  <si>
    <t>Dubrovnik</t>
  </si>
  <si>
    <t>University of Dubrovnik</t>
  </si>
  <si>
    <t>Oujda</t>
  </si>
  <si>
    <t>Mohammed I University</t>
  </si>
  <si>
    <t>Chiclayo</t>
  </si>
  <si>
    <t>Universidad San Martin</t>
  </si>
  <si>
    <t>Ecuador</t>
  </si>
  <si>
    <t>Quito</t>
  </si>
  <si>
    <t>Universidad San Francisco</t>
  </si>
  <si>
    <t>Lebanon</t>
  </si>
  <si>
    <t>Beirut</t>
  </si>
  <si>
    <t>American University of Beirut</t>
  </si>
  <si>
    <t>Bahrain</t>
  </si>
  <si>
    <t>Manama</t>
  </si>
  <si>
    <t>University of Bahrain</t>
  </si>
  <si>
    <t>Uruguay</t>
  </si>
  <si>
    <t>Montevideo</t>
  </si>
  <si>
    <t>Universidad de la Republica</t>
  </si>
  <si>
    <t>Bulgaria</t>
  </si>
  <si>
    <t>Sofia</t>
  </si>
  <si>
    <t>Sofia University</t>
  </si>
  <si>
    <t>Ghana</t>
  </si>
  <si>
    <t>Accra</t>
  </si>
  <si>
    <t>University of Ghana</t>
  </si>
  <si>
    <t>Algeria</t>
  </si>
  <si>
    <t>Algiers</t>
  </si>
  <si>
    <t>University of Science and Technology</t>
  </si>
  <si>
    <t>Panama</t>
  </si>
  <si>
    <t>Panama City</t>
  </si>
  <si>
    <t>Universidad Tecnologica</t>
  </si>
  <si>
    <t>Guayaquil</t>
  </si>
  <si>
    <t>ESPOL</t>
  </si>
  <si>
    <t>Byblos</t>
  </si>
  <si>
    <t>Lebanese American University</t>
  </si>
  <si>
    <t>Riffa</t>
  </si>
  <si>
    <t>Royal University for Women</t>
  </si>
  <si>
    <t>Salto</t>
  </si>
  <si>
    <t>Universidad ORT Uruguay</t>
  </si>
  <si>
    <t>Plovdiv</t>
  </si>
  <si>
    <t>Plovdiv University</t>
  </si>
  <si>
    <t>Kumasi</t>
  </si>
  <si>
    <t>Kwame Nkrumah University</t>
  </si>
  <si>
    <t>Oran</t>
  </si>
  <si>
    <t>University of Oran</t>
  </si>
  <si>
    <t>David</t>
  </si>
  <si>
    <t>ISAE University</t>
  </si>
  <si>
    <t>Cuenca</t>
  </si>
  <si>
    <t>Universidad de Cuenca</t>
  </si>
  <si>
    <t>Tripoli</t>
  </si>
  <si>
    <t>Lebanese University</t>
  </si>
  <si>
    <t>Isa Town</t>
  </si>
  <si>
    <t>Bahrain Polytechnic</t>
  </si>
  <si>
    <t>Maldonado</t>
  </si>
  <si>
    <t>Universidad Catolica</t>
  </si>
  <si>
    <t>Varna</t>
  </si>
  <si>
    <t>Technical University Varna</t>
  </si>
  <si>
    <t>Cape Coast</t>
  </si>
  <si>
    <t>University of Cape Coast</t>
  </si>
  <si>
    <t>Constantine</t>
  </si>
  <si>
    <t>University of Constantine</t>
  </si>
  <si>
    <t>Universidad Latina</t>
  </si>
  <si>
    <t>Loja</t>
  </si>
  <si>
    <t>UTPL</t>
  </si>
  <si>
    <t>Jounieh</t>
  </si>
  <si>
    <t>Holy Spirit University</t>
  </si>
  <si>
    <t>Sakhir</t>
  </si>
  <si>
    <t>Arabian Gulf University</t>
  </si>
  <si>
    <t>Rivera</t>
  </si>
  <si>
    <t>UTEC</t>
  </si>
  <si>
    <t>Burgas</t>
  </si>
  <si>
    <t>Burgas Free University</t>
  </si>
  <si>
    <t>Tamale</t>
  </si>
  <si>
    <t>University for Development</t>
  </si>
  <si>
    <t>Annaba</t>
  </si>
  <si>
    <t>Badji Mokhtar University</t>
  </si>
  <si>
    <t>ChitrÃ©</t>
  </si>
  <si>
    <t>Quality Leadership University</t>
  </si>
  <si>
    <t>Ambato</t>
  </si>
  <si>
    <t>Universidad Tecnica</t>
  </si>
  <si>
    <t>Sidon</t>
  </si>
  <si>
    <t>Lebanese International</t>
  </si>
  <si>
    <t>Muharraq</t>
  </si>
  <si>
    <t>Applied Science University</t>
  </si>
  <si>
    <t>Paysandu</t>
  </si>
  <si>
    <t>Universidad de Paysandu</t>
  </si>
  <si>
    <t>Ruse</t>
  </si>
  <si>
    <t>University of Ruse</t>
  </si>
  <si>
    <t>Ho</t>
  </si>
  <si>
    <t>University of Health Sciences</t>
  </si>
  <si>
    <t>Tlemcen</t>
  </si>
  <si>
    <t>University of Tlemcen</t>
  </si>
  <si>
    <t>La Chorrera</t>
  </si>
  <si>
    <t>Universidad Metropolitana</t>
  </si>
  <si>
    <t>Bangladesh</t>
  </si>
  <si>
    <t>Dhaka</t>
  </si>
  <si>
    <t>Bangladesh University of Engineering</t>
  </si>
  <si>
    <t>Kuwait</t>
  </si>
  <si>
    <t>Kuwait City</t>
  </si>
  <si>
    <t>Kuwait University</t>
  </si>
  <si>
    <t>Ukraine</t>
  </si>
  <si>
    <t>Kyiv</t>
  </si>
  <si>
    <t>Igor Sikorsky Kyiv Polytechnic</t>
  </si>
  <si>
    <t>Slovenia</t>
  </si>
  <si>
    <t>Ljubljana</t>
  </si>
  <si>
    <t>University of Ljubljana</t>
  </si>
  <si>
    <t>Serbia</t>
  </si>
  <si>
    <t>Belgrade</t>
  </si>
  <si>
    <t>University of Belgrade</t>
  </si>
  <si>
    <t>Iran</t>
  </si>
  <si>
    <t>Tehran</t>
  </si>
  <si>
    <t>Sharif University of Technology</t>
  </si>
  <si>
    <t>Uzbekistan</t>
  </si>
  <si>
    <t>Tashkent</t>
  </si>
  <si>
    <t>INHA University Tashkent</t>
  </si>
  <si>
    <t>El Salvador</t>
  </si>
  <si>
    <t>San Salvador</t>
  </si>
  <si>
    <t>Universidad Don Bosco</t>
  </si>
  <si>
    <t>Chittagong</t>
  </si>
  <si>
    <t>CUET</t>
  </si>
  <si>
    <t>Hawalli</t>
  </si>
  <si>
    <t>American University Kuwait</t>
  </si>
  <si>
    <t>Lviv</t>
  </si>
  <si>
    <t>Lviv Polytechnic</t>
  </si>
  <si>
    <t>Maribor</t>
  </si>
  <si>
    <t>University of Maribor</t>
  </si>
  <si>
    <t>Novi Sad</t>
  </si>
  <si>
    <t>University of Novi Sad</t>
  </si>
  <si>
    <t>Isfahan</t>
  </si>
  <si>
    <t>Isfahan University of Technology</t>
  </si>
  <si>
    <t>Samarkand</t>
  </si>
  <si>
    <t>Samarkand State University</t>
  </si>
  <si>
    <t>Santa Ana</t>
  </si>
  <si>
    <t>Khulna</t>
  </si>
  <si>
    <t>Khulna University</t>
  </si>
  <si>
    <t>Al Jahra</t>
  </si>
  <si>
    <t>Gulf University for Science</t>
  </si>
  <si>
    <t>Kharkiv</t>
  </si>
  <si>
    <t>Kharkiv Polytechnic</t>
  </si>
  <si>
    <t>Koper</t>
  </si>
  <si>
    <t>University of Primorska</t>
  </si>
  <si>
    <t>Nis</t>
  </si>
  <si>
    <t>University of Nis</t>
  </si>
  <si>
    <t>Mashhad</t>
  </si>
  <si>
    <t>Ferdowsi University</t>
  </si>
  <si>
    <t>Bukhara</t>
  </si>
  <si>
    <t>Bukhara State University</t>
  </si>
  <si>
    <t>San Miguel</t>
  </si>
  <si>
    <t>Universidad de Oriente</t>
  </si>
  <si>
    <t>Rajshahi</t>
  </si>
  <si>
    <t>RUET</t>
  </si>
  <si>
    <t>Salmiya</t>
  </si>
  <si>
    <t>Australian College Kuwait</t>
  </si>
  <si>
    <t>Odesa</t>
  </si>
  <si>
    <t>Odesa Polytechnic</t>
  </si>
  <si>
    <t>Nova Gorica</t>
  </si>
  <si>
    <t>University of Nova Gorica</t>
  </si>
  <si>
    <t>Kragujevac</t>
  </si>
  <si>
    <t>University of Kragujevac</t>
  </si>
  <si>
    <t>Shiraz</t>
  </si>
  <si>
    <t>Shiraz University</t>
  </si>
  <si>
    <t>Namangan</t>
  </si>
  <si>
    <t>Namangan Institute</t>
  </si>
  <si>
    <t>Sonsonate</t>
  </si>
  <si>
    <t>Universidad de Sonsonate</t>
  </si>
  <si>
    <t>Sylhet</t>
  </si>
  <si>
    <t>SUST</t>
  </si>
  <si>
    <t>Al Ahmadi</t>
  </si>
  <si>
    <t>ACK</t>
  </si>
  <si>
    <t>Dnipro</t>
  </si>
  <si>
    <t>Dnipro Polytechnic</t>
  </si>
  <si>
    <t>Celje</t>
  </si>
  <si>
    <t>Faculty of Logistics</t>
  </si>
  <si>
    <t>Subotica</t>
  </si>
  <si>
    <t>University of Subotica</t>
  </si>
  <si>
    <t>Tabriz</t>
  </si>
  <si>
    <t>University of Tabriz</t>
  </si>
  <si>
    <t>Andijan</t>
  </si>
  <si>
    <t>Andijan State University</t>
  </si>
  <si>
    <t>Santa Tecla</t>
  </si>
  <si>
    <t>ITCA-FEPADE</t>
  </si>
  <si>
    <t>Imperial College</t>
  </si>
  <si>
    <t>Universidad Politecnica</t>
  </si>
  <si>
    <t>Penang</t>
  </si>
  <si>
    <t>USM</t>
  </si>
  <si>
    <t>Jeddah</t>
  </si>
  <si>
    <t>King Abdulaziz University</t>
  </si>
  <si>
    <t>Universitat de Barcelona</t>
  </si>
  <si>
    <t>Ã‰cole Normale SupÃ©rieure</t>
  </si>
  <si>
    <t>Johor Bahru</t>
  </si>
  <si>
    <t>UTM</t>
  </si>
  <si>
    <t>Dhahran</t>
  </si>
  <si>
    <t>KFUPM</t>
  </si>
  <si>
    <t>Universidad de Valencia</t>
  </si>
  <si>
    <t>Kuching</t>
  </si>
  <si>
    <t>UNIMAS</t>
  </si>
  <si>
    <t>Medina</t>
  </si>
  <si>
    <t>Islamic University</t>
  </si>
  <si>
    <t>Massachusetts</t>
  </si>
  <si>
    <t>Marseille</t>
  </si>
  <si>
    <t>Aix-Marseille University</t>
  </si>
  <si>
    <t>Cyberjaya</t>
  </si>
  <si>
    <t>Multimedia University</t>
  </si>
  <si>
    <t>Dammam</t>
  </si>
  <si>
    <t>Imam Abdulrahman University</t>
  </si>
  <si>
    <t>Universidad de Granada</t>
  </si>
  <si>
    <t>Bangi</t>
  </si>
  <si>
    <t>UKM</t>
  </si>
  <si>
    <t>Taif</t>
  </si>
  <si>
    <t>Taif University</t>
  </si>
  <si>
    <t>Melaka</t>
  </si>
  <si>
    <t>UTeM</t>
  </si>
  <si>
    <t>Tabuk</t>
  </si>
  <si>
    <t>University of Tabuk</t>
  </si>
  <si>
    <t>Shah Alam</t>
  </si>
  <si>
    <t>UiTM</t>
  </si>
  <si>
    <t>Makkah</t>
  </si>
  <si>
    <t>Umm Al-Qura University</t>
  </si>
  <si>
    <t>Nilai</t>
  </si>
  <si>
    <t>USIM</t>
  </si>
  <si>
    <t>Al-Ahsa</t>
  </si>
  <si>
    <t>King Faisal University</t>
  </si>
  <si>
    <t>Paris city tower</t>
  </si>
  <si>
    <t>Ph.D</t>
  </si>
  <si>
    <t>Monthly_Estimated_Living_cost</t>
  </si>
  <si>
    <t>Annual_Estimated_Living_cost</t>
  </si>
  <si>
    <t>Total_Cost</t>
  </si>
  <si>
    <t>Row Labels</t>
  </si>
  <si>
    <t>Grand Total</t>
  </si>
  <si>
    <t>Average of Tuition_USD</t>
  </si>
  <si>
    <t>Average of Annual_Estimated_Living_cost</t>
  </si>
  <si>
    <t>Average of Total_Cost</t>
  </si>
  <si>
    <t>Average of Living_Cost_Index</t>
  </si>
  <si>
    <t>Affordability_marker</t>
  </si>
  <si>
    <t>Years</t>
  </si>
  <si>
    <t>Average of Visa_Fee_USD</t>
  </si>
  <si>
    <t>Average of Insurance_USD</t>
  </si>
  <si>
    <t>Average of Rent_USD</t>
  </si>
  <si>
    <t>Sum of Total_Cost</t>
  </si>
  <si>
    <t>PhD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</si>
</sst>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9"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10" xfId="0" applyBorder="1"/>
    <xf numFmtId="0" fontId="0" fillId="0" borderId="11" xfId="0" applyBorder="1"/>
    <xf numFmtId="0" fontId="0" fillId="0" borderId="12" xfId="0" applyBorder="1"/>
    <xf numFmtId="0" fontId="17" fillId="33" borderId="13" xfId="0" applyFont="1" applyFill="1" applyBorder="1" applyAlignment="1">
      <alignment horizontal="center" vertical="center"/>
    </xf>
    <xf numFmtId="0" fontId="17" fillId="33" borderId="14" xfId="0" applyFont="1" applyFill="1" applyBorder="1" applyAlignment="1">
      <alignment horizontal="center" vertical="center"/>
    </xf>
    <xf numFmtId="0" fontId="17" fillId="33" borderId="15" xfId="0" applyFont="1" applyFill="1" applyBorder="1" applyAlignment="1">
      <alignment horizontal="center" vertical="center"/>
    </xf>
    <xf numFmtId="0" fontId="0" fillId="0" borderId="16" xfId="0" applyBorder="1"/>
    <xf numFmtId="0" fontId="0" fillId="0" borderId="17" xfId="0" applyBorder="1"/>
    <xf numFmtId="0" fontId="0" fillId="0" borderId="18" xfId="0" applyBorder="1"/>
    <xf numFmtId="164" fontId="17" fillId="33" borderId="14" xfId="0" applyNumberFormat="1" applyFont="1" applyFill="1" applyBorder="1" applyAlignment="1">
      <alignment horizontal="center" vertical="center"/>
    </xf>
    <xf numFmtId="164" fontId="0" fillId="0" borderId="10" xfId="0" applyNumberFormat="1" applyBorder="1"/>
    <xf numFmtId="164" fontId="0" fillId="0" borderId="17" xfId="0" applyNumberFormat="1" applyBorder="1"/>
    <xf numFmtId="164" fontId="0" fillId="0" borderId="0" xfId="0" applyNumberFormat="1"/>
    <xf numFmtId="164" fontId="0" fillId="0" borderId="14" xfId="0" applyNumberFormat="1" applyBorder="1"/>
    <xf numFmtId="0" fontId="0" fillId="0" borderId="0" xfId="0" pivotButton="1"/>
    <xf numFmtId="0" fontId="0" fillId="0" borderId="0" xfId="0" applyAlignment="1">
      <alignment horizontal="left"/>
    </xf>
    <xf numFmtId="0" fontId="0" fillId="0" borderId="15" xfId="0" applyBorder="1"/>
    <xf numFmtId="10" fontId="0" fillId="0" borderId="0" xfId="0" applyNumberFormat="1"/>
    <xf numFmtId="2" fontId="0" fillId="0" borderId="0" xfId="0" applyNumberFormat="1"/>
    <xf numFmtId="0" fontId="0" fillId="34" borderId="0" xfId="0" applyFill="1"/>
    <xf numFmtId="2" fontId="17" fillId="33" borderId="15" xfId="0" applyNumberFormat="1" applyFont="1" applyFill="1" applyBorder="1" applyAlignment="1">
      <alignment horizontal="center" vertical="center"/>
    </xf>
    <xf numFmtId="2" fontId="0" fillId="0" borderId="12" xfId="0" applyNumberFormat="1" applyBorder="1"/>
    <xf numFmtId="2" fontId="0" fillId="0" borderId="18"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2" formatCode="0.00"/>
      <border diagonalUp="0" diagonalDown="0">
        <left style="thin">
          <color indexed="64"/>
        </left>
        <right/>
        <top style="thin">
          <color indexed="64"/>
        </top>
        <bottom style="thin">
          <color indexed="64"/>
        </bottom>
        <vertical/>
        <horizontal/>
      </border>
    </dxf>
    <dxf>
      <numFmt numFmtId="164" formatCode="[$$-409]#,##0"/>
    </dxf>
    <dxf>
      <numFmt numFmtId="164" formatCode="[$$-409]#,##0"/>
      <border diagonalUp="0" diagonalDown="0">
        <left style="thin">
          <color indexed="64"/>
        </left>
        <right style="thin">
          <color indexed="64"/>
        </right>
        <top style="thin">
          <color indexed="64"/>
        </top>
        <bottom style="thin">
          <color indexed="64"/>
        </bottom>
        <vertical/>
        <horizontal/>
      </border>
    </dxf>
    <dxf>
      <numFmt numFmtId="164" formatCode="[$$-409]#,##0"/>
      <border diagonalUp="0" diagonalDown="0">
        <left style="thin">
          <color indexed="64"/>
        </left>
        <right style="thin">
          <color indexed="64"/>
        </right>
        <top style="thin">
          <color indexed="64"/>
        </top>
        <bottom style="thin">
          <color indexed="64"/>
        </bottom>
      </border>
    </dxf>
    <dxf>
      <numFmt numFmtId="0" formatCode="General"/>
      <border diagonalUp="0" diagonalDown="0">
        <left style="thin">
          <color indexed="64"/>
        </left>
        <right/>
        <top style="thin">
          <color indexed="64"/>
        </top>
        <bottom style="thin">
          <color indexed="64"/>
        </bottom>
        <vertical/>
        <horizontal/>
      </border>
    </dxf>
    <dxf>
      <numFmt numFmtId="164" formatCode="[$$-409]#,##0"/>
      <border diagonalUp="0" diagonalDown="0">
        <left style="thin">
          <color indexed="64"/>
        </left>
        <right style="thin">
          <color indexed="64"/>
        </right>
        <top style="thin">
          <color indexed="64"/>
        </top>
        <bottom style="thin">
          <color indexed="64"/>
        </bottom>
        <vertical/>
        <horizontal/>
      </border>
    </dxf>
    <dxf>
      <numFmt numFmtId="164" formatCode="[$$-409]#,##0"/>
      <border diagonalUp="0" diagonalDown="0">
        <left style="thin">
          <color indexed="64"/>
        </left>
        <right style="thin">
          <color indexed="64"/>
        </right>
        <top style="thin">
          <color indexed="64"/>
        </top>
        <bottom style="thin">
          <color indexed="64"/>
        </bottom>
        <vertical/>
        <horizontal/>
      </border>
    </dxf>
    <dxf>
      <numFmt numFmtId="164" formatCode="[$$-409]#,##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0"/>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0"/>
        <name val="Aptos Narrow"/>
        <family val="2"/>
        <scheme val="minor"/>
      </font>
      <fill>
        <patternFill patternType="solid">
          <fgColor indexed="64"/>
          <bgColor theme="4"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z val="11"/>
        <color theme="0"/>
      </font>
      <border>
        <bottom style="thin">
          <color theme="9"/>
        </bottom>
        <vertical/>
        <horizontal/>
      </border>
    </dxf>
    <dxf>
      <font>
        <b val="0"/>
        <i val="0"/>
        <sz val="11"/>
        <color theme="0"/>
        <name val="Georgia"/>
        <family val="1"/>
        <scheme val="none"/>
      </font>
      <fill>
        <patternFill>
          <bgColor theme="9" tint="-0.499984740745262"/>
        </patternFill>
      </fill>
      <border diagonalUp="0" diagonalDown="0">
        <left style="thin">
          <color theme="9" tint="-0.24994659260841701"/>
        </left>
        <right style="thin">
          <color theme="9" tint="-0.24994659260841701"/>
        </right>
        <top style="thin">
          <color theme="9" tint="-0.24994659260841701"/>
        </top>
        <bottom style="thin">
          <color theme="9" tint="-0.24994659260841701"/>
        </bottom>
        <vertical/>
        <horizontal/>
      </border>
    </dxf>
  </dxfs>
  <tableStyles count="1" defaultTableStyle="TableStyleMedium2" defaultPivotStyle="PivotStyleLight16">
    <tableStyle name="international_cost" pivot="0" table="0" count="10" xr9:uid="{B7D05859-CA29-4EC9-BFCB-BBD100C4EA6D}">
      <tableStyleElement type="wholeTable" dxfId="22"/>
      <tableStyleElement type="headerRow" dxfId="2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63377788628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val="0"/>
            <i val="0"/>
            <sz val="11"/>
            <color theme="0"/>
          </font>
          <fill>
            <patternFill patternType="solid">
              <fgColor theme="9"/>
              <bgColor theme="9" tint="-0.24994659260841701"/>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9" tint="0.7999816888943144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international_co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 (version 3).xlsx]Average Tuition fee By Living!PivotTable1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0.13338762468260329"/>
                  <c:h val="6.8428961337715311E-2"/>
                </c:manualLayout>
              </c15:layout>
            </c:ext>
          </c:extLst>
        </c:dLbl>
      </c:pivotFmt>
      <c:pivotFmt>
        <c:idx val="9"/>
        <c:spPr>
          <a:solidFill>
            <a:schemeClr val="accent6">
              <a:lumMod val="75000"/>
            </a:schemeClr>
          </a:solidFill>
          <a:ln>
            <a:noFill/>
          </a:ln>
          <a:effectLst/>
        </c:spPr>
        <c:dLbl>
          <c:idx val="0"/>
          <c:layout>
            <c:manualLayout>
              <c:x val="-7.5000014763783353E-3"/>
              <c:y val="0"/>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0.12082502378445351"/>
                  <c:h val="6.2892637604890445E-2"/>
                </c:manualLayout>
              </c15:layout>
            </c:ext>
          </c:extLst>
        </c:dLbl>
      </c:pivotFmt>
      <c:pivotFmt>
        <c:idx val="10"/>
        <c:spPr>
          <a:solidFill>
            <a:schemeClr val="accent6">
              <a:lumMod val="75000"/>
            </a:schemeClr>
          </a:solidFill>
          <a:ln>
            <a:noFill/>
          </a:ln>
          <a:effectLst/>
        </c:spPr>
        <c:dLbl>
          <c:idx val="0"/>
          <c:layout>
            <c:manualLayout>
              <c:x val="-7.5000014763783353E-3"/>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7.5000014763782433E-3"/>
              <c:y val="1.0149809592045725E-1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7.5000014763782433E-3"/>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5.0000009842521625E-3"/>
              <c:y val="1.0149809592045725E-1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854061388594762"/>
          <c:y val="0.26130488970727667"/>
          <c:w val="0.66645938316129583"/>
          <c:h val="0.70409570254858345"/>
        </c:manualLayout>
      </c:layout>
      <c:barChart>
        <c:barDir val="bar"/>
        <c:grouping val="stacked"/>
        <c:varyColors val="0"/>
        <c:ser>
          <c:idx val="0"/>
          <c:order val="0"/>
          <c:tx>
            <c:strRef>
              <c:f>'Average Tuition fee By Living'!$B$3</c:f>
              <c:strCache>
                <c:ptCount val="1"/>
                <c:pt idx="0">
                  <c:v>Average of Tuition_USD</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Tuition fee By Living'!$A$4:$A$10</c:f>
              <c:strCache>
                <c:ptCount val="6"/>
                <c:pt idx="0">
                  <c:v>Columbia University</c:v>
                </c:pt>
                <c:pt idx="1">
                  <c:v>Harvard University</c:v>
                </c:pt>
                <c:pt idx="2">
                  <c:v>University of Chicago</c:v>
                </c:pt>
                <c:pt idx="3">
                  <c:v>Massachusetts</c:v>
                </c:pt>
                <c:pt idx="4">
                  <c:v>MIT</c:v>
                </c:pt>
                <c:pt idx="5">
                  <c:v>Yale University</c:v>
                </c:pt>
              </c:strCache>
            </c:strRef>
          </c:cat>
          <c:val>
            <c:numRef>
              <c:f>'Average Tuition fee By Living'!$B$4:$B$10</c:f>
              <c:numCache>
                <c:formatCode>[$$-409]#,##0</c:formatCode>
                <c:ptCount val="6"/>
                <c:pt idx="0">
                  <c:v>58933.333333333336</c:v>
                </c:pt>
                <c:pt idx="1">
                  <c:v>56700</c:v>
                </c:pt>
                <c:pt idx="2">
                  <c:v>56133.333333333336</c:v>
                </c:pt>
                <c:pt idx="3">
                  <c:v>56000</c:v>
                </c:pt>
                <c:pt idx="4">
                  <c:v>55866.666666666664</c:v>
                </c:pt>
                <c:pt idx="5">
                  <c:v>54500</c:v>
                </c:pt>
              </c:numCache>
            </c:numRef>
          </c:val>
          <c:extLst>
            <c:ext xmlns:c16="http://schemas.microsoft.com/office/drawing/2014/chart" uri="{C3380CC4-5D6E-409C-BE32-E72D297353CC}">
              <c16:uniqueId val="{00000000-A9F9-495B-A2AD-FAB9C3333E88}"/>
            </c:ext>
          </c:extLst>
        </c:ser>
        <c:ser>
          <c:idx val="1"/>
          <c:order val="1"/>
          <c:tx>
            <c:strRef>
              <c:f>'Average Tuition fee By Living'!$C$3</c:f>
              <c:strCache>
                <c:ptCount val="1"/>
                <c:pt idx="0">
                  <c:v>Average of Annual_Estimated_Living_cost</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AC90-4EC6-8B69-45DF18F0DEC0}"/>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AC90-4EC6-8B69-45DF18F0DEC0}"/>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AC90-4EC6-8B69-45DF18F0DEC0}"/>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AC90-4EC6-8B69-45DF18F0DEC0}"/>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4-AC90-4EC6-8B69-45DF18F0DEC0}"/>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5-AC90-4EC6-8B69-45DF18F0DEC0}"/>
              </c:ext>
            </c:extLst>
          </c:dPt>
          <c:dLbls>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0.13338762468260329"/>
                      <c:h val="6.8428961337715311E-2"/>
                    </c:manualLayout>
                  </c15:layout>
                </c:ext>
                <c:ext xmlns:c16="http://schemas.microsoft.com/office/drawing/2014/chart" uri="{C3380CC4-5D6E-409C-BE32-E72D297353CC}">
                  <c16:uniqueId val="{00000000-AC90-4EC6-8B69-45DF18F0DEC0}"/>
                </c:ext>
              </c:extLst>
            </c:dLbl>
            <c:dLbl>
              <c:idx val="1"/>
              <c:layout>
                <c:manualLayout>
                  <c:x val="-7.5000014763783353E-3"/>
                  <c:y val="0"/>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0.12082502378445351"/>
                      <c:h val="6.2892637604890445E-2"/>
                    </c:manualLayout>
                  </c15:layout>
                </c:ext>
                <c:ext xmlns:c16="http://schemas.microsoft.com/office/drawing/2014/chart" uri="{C3380CC4-5D6E-409C-BE32-E72D297353CC}">
                  <c16:uniqueId val="{00000001-AC90-4EC6-8B69-45DF18F0DEC0}"/>
                </c:ext>
              </c:extLst>
            </c:dLbl>
            <c:dLbl>
              <c:idx val="2"/>
              <c:layout>
                <c:manualLayout>
                  <c:x val="-7.5000014763783353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90-4EC6-8B69-45DF18F0DEC0}"/>
                </c:ext>
              </c:extLst>
            </c:dLbl>
            <c:dLbl>
              <c:idx val="3"/>
              <c:layout>
                <c:manualLayout>
                  <c:x val="-7.5000014763782433E-3"/>
                  <c:y val="1.0149809592045725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90-4EC6-8B69-45DF18F0DEC0}"/>
                </c:ext>
              </c:extLst>
            </c:dLbl>
            <c:dLbl>
              <c:idx val="4"/>
              <c:layout>
                <c:manualLayout>
                  <c:x val="-7.5000014763782433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90-4EC6-8B69-45DF18F0DEC0}"/>
                </c:ext>
              </c:extLst>
            </c:dLbl>
            <c:dLbl>
              <c:idx val="5"/>
              <c:layout>
                <c:manualLayout>
                  <c:x val="-5.0000009842521625E-3"/>
                  <c:y val="1.0149809592045725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90-4EC6-8B69-45DF18F0DEC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Tuition fee By Living'!$A$4:$A$10</c:f>
              <c:strCache>
                <c:ptCount val="6"/>
                <c:pt idx="0">
                  <c:v>Columbia University</c:v>
                </c:pt>
                <c:pt idx="1">
                  <c:v>Harvard University</c:v>
                </c:pt>
                <c:pt idx="2">
                  <c:v>University of Chicago</c:v>
                </c:pt>
                <c:pt idx="3">
                  <c:v>Massachusetts</c:v>
                </c:pt>
                <c:pt idx="4">
                  <c:v>MIT</c:v>
                </c:pt>
                <c:pt idx="5">
                  <c:v>Yale University</c:v>
                </c:pt>
              </c:strCache>
            </c:strRef>
          </c:cat>
          <c:val>
            <c:numRef>
              <c:f>'Average Tuition fee By Living'!$C$4:$C$10</c:f>
              <c:numCache>
                <c:formatCode>[$$-409]#,##0</c:formatCode>
                <c:ptCount val="6"/>
                <c:pt idx="0">
                  <c:v>18004.866180048662</c:v>
                </c:pt>
                <c:pt idx="1">
                  <c:v>14908.02919708029</c:v>
                </c:pt>
                <c:pt idx="2">
                  <c:v>14830.008110300079</c:v>
                </c:pt>
                <c:pt idx="3">
                  <c:v>14781.99513381995</c:v>
                </c:pt>
                <c:pt idx="4">
                  <c:v>14932.035685320356</c:v>
                </c:pt>
                <c:pt idx="5">
                  <c:v>14367.883211678831</c:v>
                </c:pt>
              </c:numCache>
            </c:numRef>
          </c:val>
          <c:extLst>
            <c:ext xmlns:c16="http://schemas.microsoft.com/office/drawing/2014/chart" uri="{C3380CC4-5D6E-409C-BE32-E72D297353CC}">
              <c16:uniqueId val="{00000001-A9F9-495B-A2AD-FAB9C3333E88}"/>
            </c:ext>
          </c:extLst>
        </c:ser>
        <c:dLbls>
          <c:dLblPos val="ctr"/>
          <c:showLegendKey val="0"/>
          <c:showVal val="1"/>
          <c:showCatName val="0"/>
          <c:showSerName val="0"/>
          <c:showPercent val="0"/>
          <c:showBubbleSize val="0"/>
        </c:dLbls>
        <c:gapWidth val="20"/>
        <c:overlap val="100"/>
        <c:axId val="1976617055"/>
        <c:axId val="1976616575"/>
      </c:barChart>
      <c:catAx>
        <c:axId val="197661705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crossAx val="1976616575"/>
        <c:crosses val="autoZero"/>
        <c:auto val="1"/>
        <c:lblAlgn val="ctr"/>
        <c:lblOffset val="100"/>
        <c:noMultiLvlLbl val="0"/>
      </c:catAx>
      <c:valAx>
        <c:axId val="1976616575"/>
        <c:scaling>
          <c:orientation val="minMax"/>
        </c:scaling>
        <c:delete val="1"/>
        <c:axPos val="t"/>
        <c:numFmt formatCode="[$$-409]#,##0" sourceLinked="1"/>
        <c:majorTickMark val="none"/>
        <c:minorTickMark val="none"/>
        <c:tickLblPos val="nextTo"/>
        <c:crossAx val="1976617055"/>
        <c:crosses val="autoZero"/>
        <c:crossBetween val="between"/>
      </c:valAx>
      <c:spPr>
        <a:noFill/>
        <a:ln>
          <a:noFill/>
        </a:ln>
        <a:effectLst/>
      </c:spPr>
    </c:plotArea>
    <c:legend>
      <c:legendPos val="t"/>
      <c:layout>
        <c:manualLayout>
          <c:xMode val="edge"/>
          <c:yMode val="edge"/>
          <c:x val="2.0662208791773384E-2"/>
          <c:y val="0.14886433434861665"/>
          <c:w val="0.9546651485561316"/>
          <c:h val="8.3717191601049873E-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accent6">
                  <a:lumMod val="50000"/>
                </a:schemeClr>
              </a:solidFill>
              <a:latin typeface="Georgia" panose="020405020504050203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 (version 3).xlsx]Program level by total cost!PivotTable1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a:noFill/>
          </a:ln>
          <a:effectLst/>
        </c:spPr>
      </c:pivotFmt>
      <c:pivotFmt>
        <c:idx val="8"/>
        <c:spPr>
          <a:solidFill>
            <a:schemeClr val="accent6">
              <a:lumMod val="50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6">
              <a:lumMod val="20000"/>
              <a:lumOff val="8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67FC075C-2C51-48A3-B692-D91EB9ED40D6}"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6">
              <a:lumMod val="20000"/>
              <a:lumOff val="80000"/>
            </a:schemeClr>
          </a:solidFill>
          <a:ln>
            <a:no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2957798C-9B84-485A-B336-EAE0883D3434}"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6">
              <a:lumMod val="50000"/>
            </a:schemeClr>
          </a:solidFill>
          <a:ln>
            <a:noFill/>
          </a:ln>
          <a:effectLst/>
        </c:spPr>
      </c:pivotFmt>
      <c:pivotFmt>
        <c:idx val="19"/>
        <c:spPr>
          <a:solidFill>
            <a:schemeClr val="accent6">
              <a:lumMod val="50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75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60000"/>
              <a:lumOff val="4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67FC075C-2C51-48A3-B692-D91EB9ED40D6}"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6">
              <a:lumMod val="20000"/>
              <a:lumOff val="80000"/>
            </a:schemeClr>
          </a:solidFill>
          <a:ln>
            <a:no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2957798C-9B84-485A-B336-EAE0883D3434}"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a:noFill/>
          </a:ln>
          <a:effectLst/>
        </c:spPr>
      </c:pivotFmt>
      <c:pivotFmt>
        <c:idx val="30"/>
        <c:spPr>
          <a:solidFill>
            <a:schemeClr val="accent6">
              <a:lumMod val="50000"/>
            </a:schemeClr>
          </a:solidFill>
          <a:ln>
            <a:noFill/>
          </a:ln>
          <a:effectLst/>
        </c:spPr>
      </c:pivotFmt>
      <c:pivotFmt>
        <c:idx val="31"/>
        <c:spPr>
          <a:solidFill>
            <a:schemeClr val="accent6">
              <a:lumMod val="75000"/>
            </a:schemeClr>
          </a:solidFill>
          <a:ln>
            <a:noFill/>
          </a:ln>
          <a:effectLst/>
        </c:spPr>
      </c:pivotFmt>
      <c:pivotFmt>
        <c:idx val="32"/>
        <c:spPr>
          <a:solidFill>
            <a:schemeClr val="accent6">
              <a:lumMod val="75000"/>
            </a:schemeClr>
          </a:solidFill>
          <a:ln>
            <a:noFill/>
          </a:ln>
          <a:effectLst/>
        </c:spPr>
      </c:pivotFmt>
      <c:pivotFmt>
        <c:idx val="33"/>
        <c:spPr>
          <a:solidFill>
            <a:schemeClr val="accent6">
              <a:lumMod val="60000"/>
              <a:lumOff val="40000"/>
            </a:schemeClr>
          </a:solidFill>
          <a:ln>
            <a:noFill/>
          </a:ln>
          <a:effectLst/>
        </c:spPr>
      </c:pivotFmt>
      <c:pivotFmt>
        <c:idx val="34"/>
        <c:spPr>
          <a:solidFill>
            <a:schemeClr val="accent6">
              <a:lumMod val="60000"/>
              <a:lumOff val="40000"/>
            </a:schemeClr>
          </a:solidFill>
          <a:ln>
            <a:noFill/>
          </a:ln>
          <a:effectLst/>
        </c:spPr>
      </c:pivotFmt>
      <c:pivotFmt>
        <c:idx val="35"/>
        <c:spPr>
          <a:solidFill>
            <a:schemeClr val="accent6">
              <a:lumMod val="40000"/>
              <a:lumOff val="60000"/>
            </a:schemeClr>
          </a:solidFill>
          <a:ln>
            <a:noFill/>
          </a:ln>
          <a:effectLst/>
        </c:spPr>
      </c:pivotFmt>
      <c:pivotFmt>
        <c:idx val="36"/>
        <c:spPr>
          <a:solidFill>
            <a:schemeClr val="accent6">
              <a:lumMod val="40000"/>
              <a:lumOff val="60000"/>
            </a:schemeClr>
          </a:solidFill>
          <a:ln>
            <a:noFill/>
          </a:ln>
          <a:effectLst/>
        </c:spPr>
      </c:pivotFmt>
      <c:pivotFmt>
        <c:idx val="37"/>
        <c:spPr>
          <a:solidFill>
            <a:schemeClr val="accent6">
              <a:lumMod val="40000"/>
              <a:lumOff val="60000"/>
            </a:schemeClr>
          </a:solidFill>
          <a:ln>
            <a:noFill/>
          </a:ln>
          <a:effectLst/>
        </c:spPr>
      </c:pivotFmt>
      <c:pivotFmt>
        <c:idx val="38"/>
        <c:spPr>
          <a:solidFill>
            <a:schemeClr val="accent6">
              <a:lumMod val="20000"/>
              <a:lumOff val="8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50000"/>
            </a:schemeClr>
          </a:solidFill>
          <a:ln>
            <a:noFill/>
          </a:ln>
          <a:effectLst/>
        </c:spPr>
      </c:pivotFmt>
      <c:pivotFmt>
        <c:idx val="41"/>
        <c:spPr>
          <a:solidFill>
            <a:schemeClr val="accent6">
              <a:lumMod val="50000"/>
            </a:schemeClr>
          </a:solidFill>
          <a:ln>
            <a:noFill/>
          </a:ln>
          <a:effectLst/>
        </c:spPr>
      </c:pivotFmt>
      <c:pivotFmt>
        <c:idx val="42"/>
        <c:spPr>
          <a:solidFill>
            <a:schemeClr val="accent6">
              <a:lumMod val="75000"/>
            </a:schemeClr>
          </a:solidFill>
          <a:ln>
            <a:noFill/>
          </a:ln>
          <a:effectLst/>
        </c:spPr>
      </c:pivotFmt>
      <c:pivotFmt>
        <c:idx val="43"/>
        <c:spPr>
          <a:solidFill>
            <a:schemeClr val="accent6">
              <a:lumMod val="75000"/>
            </a:schemeClr>
          </a:solidFill>
          <a:ln>
            <a:noFill/>
          </a:ln>
          <a:effectLst/>
        </c:spPr>
      </c:pivotFmt>
      <c:pivotFmt>
        <c:idx val="44"/>
        <c:spPr>
          <a:solidFill>
            <a:schemeClr val="accent6">
              <a:lumMod val="60000"/>
              <a:lumOff val="40000"/>
            </a:schemeClr>
          </a:solidFill>
          <a:ln>
            <a:noFill/>
          </a:ln>
          <a:effectLst/>
        </c:spPr>
      </c:pivotFmt>
      <c:pivotFmt>
        <c:idx val="45"/>
        <c:spPr>
          <a:solidFill>
            <a:schemeClr val="accent6">
              <a:lumMod val="60000"/>
              <a:lumOff val="40000"/>
            </a:schemeClr>
          </a:solidFill>
          <a:ln>
            <a:noFill/>
          </a:ln>
          <a:effectLst/>
        </c:spPr>
      </c:pivotFmt>
      <c:pivotFmt>
        <c:idx val="46"/>
        <c:spPr>
          <a:solidFill>
            <a:schemeClr val="accent6">
              <a:lumMod val="40000"/>
              <a:lumOff val="60000"/>
            </a:schemeClr>
          </a:solidFill>
          <a:ln>
            <a:noFill/>
          </a:ln>
          <a:effectLst/>
        </c:spPr>
      </c:pivotFmt>
      <c:pivotFmt>
        <c:idx val="47"/>
        <c:spPr>
          <a:solidFill>
            <a:schemeClr val="accent6">
              <a:lumMod val="40000"/>
              <a:lumOff val="60000"/>
            </a:schemeClr>
          </a:solidFill>
          <a:ln>
            <a:noFill/>
          </a:ln>
          <a:effectLst/>
        </c:spPr>
      </c:pivotFmt>
      <c:pivotFmt>
        <c:idx val="48"/>
        <c:spPr>
          <a:solidFill>
            <a:schemeClr val="accent6">
              <a:lumMod val="40000"/>
              <a:lumOff val="60000"/>
            </a:schemeClr>
          </a:solidFill>
          <a:ln>
            <a:noFill/>
          </a:ln>
          <a:effectLst/>
        </c:spPr>
      </c:pivotFmt>
      <c:pivotFmt>
        <c:idx val="49"/>
        <c:spPr>
          <a:solidFill>
            <a:schemeClr val="accent6">
              <a:lumMod val="20000"/>
              <a:lumOff val="80000"/>
            </a:schemeClr>
          </a:solidFill>
          <a:ln>
            <a:noFill/>
          </a:ln>
          <a:effectLst/>
        </c:spPr>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lumMod val="60000"/>
              <a:lumOff val="40000"/>
            </a:schemeClr>
          </a:solidFill>
          <a:ln>
            <a:noFill/>
          </a:ln>
          <a:effectLst/>
        </c:spPr>
        <c:dLbl>
          <c:idx val="0"/>
          <c:layout>
            <c:manualLayout>
              <c:x val="-0.17875457875457879"/>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lumMod val="50000"/>
            </a:schemeClr>
          </a:solidFill>
          <a:ln>
            <a:noFill/>
          </a:ln>
          <a:effectLst/>
        </c:spPr>
        <c:dLbl>
          <c:idx val="0"/>
          <c:layout>
            <c:manualLayout>
              <c:x val="0.16996336996336997"/>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75000"/>
            </a:schemeClr>
          </a:solidFill>
          <a:ln>
            <a:noFill/>
          </a:ln>
          <a:effectLst/>
        </c:spPr>
        <c:dLbl>
          <c:idx val="0"/>
          <c:layout>
            <c:manualLayout>
              <c:x val="-0.13186813186813193"/>
              <c:y val="-0.1435185185185184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12445421245421245"/>
                  <c:h val="7.0393700787401578E-2"/>
                </c:manualLayout>
              </c15:layout>
            </c:ext>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lumMod val="50000"/>
            </a:schemeClr>
          </a:solidFill>
          <a:ln>
            <a:noFill/>
          </a:ln>
          <a:effectLst/>
        </c:spPr>
        <c:dLbl>
          <c:idx val="0"/>
          <c:layout>
            <c:manualLayout>
              <c:x val="0.16996336996336997"/>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dLbl>
          <c:idx val="0"/>
          <c:layout>
            <c:manualLayout>
              <c:x val="-0.17875457875457879"/>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75000"/>
            </a:schemeClr>
          </a:solidFill>
          <a:ln>
            <a:noFill/>
          </a:ln>
          <a:effectLst/>
        </c:spPr>
        <c:dLbl>
          <c:idx val="0"/>
          <c:layout>
            <c:manualLayout>
              <c:x val="-0.13186813186813193"/>
              <c:y val="-0.1435185185185184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12445421245421245"/>
                  <c:h val="7.0393700787401578E-2"/>
                </c:manualLayout>
              </c15:layout>
            </c:ext>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75000"/>
            </a:schemeClr>
          </a:solidFill>
          <a:ln>
            <a:noFill/>
          </a:ln>
          <a:effectLst/>
        </c:spPr>
        <c:dLbl>
          <c:idx val="0"/>
          <c:layout>
            <c:manualLayout>
              <c:x val="0.11788614195141772"/>
              <c:y val="-0.24797364321621368"/>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2115621072448174"/>
                  <c:h val="0.15713680737409977"/>
                </c:manualLayout>
              </c15:layout>
            </c:ext>
          </c:extLst>
        </c:dLbl>
      </c:pivotFmt>
      <c:pivotFmt>
        <c:idx val="60"/>
        <c:spPr>
          <a:solidFill>
            <a:schemeClr val="accent6">
              <a:lumMod val="50000"/>
            </a:schemeClr>
          </a:solidFill>
          <a:ln>
            <a:noFill/>
          </a:ln>
          <a:effectLst/>
        </c:spPr>
        <c:dLbl>
          <c:idx val="0"/>
          <c:layout>
            <c:manualLayout>
              <c:x val="-0.27004607318592033"/>
              <c:y val="4.467135357450397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636631701287764"/>
                  <c:h val="0.15713680737409977"/>
                </c:manualLayout>
              </c15:layout>
            </c:ext>
          </c:extLst>
        </c:dLbl>
      </c:pivotFmt>
      <c:pivotFmt>
        <c:idx val="61"/>
        <c:spPr>
          <a:solidFill>
            <a:schemeClr val="accent6">
              <a:lumMod val="60000"/>
              <a:lumOff val="40000"/>
            </a:schemeClr>
          </a:solidFill>
          <a:ln>
            <a:noFill/>
          </a:ln>
          <a:effectLst/>
        </c:spPr>
        <c:dLbl>
          <c:idx val="0"/>
          <c:layout>
            <c:manualLayout>
              <c:x val="-0.20592711470484931"/>
              <c:y val="-0.12939751249675097"/>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1574569477895236"/>
                  <c:h val="6.4951710342617014E-2"/>
                </c:manualLayout>
              </c15:layout>
            </c:ext>
          </c:extLst>
        </c:dLbl>
      </c:pivotFmt>
    </c:pivotFmts>
    <c:plotArea>
      <c:layout>
        <c:manualLayout>
          <c:layoutTarget val="inner"/>
          <c:xMode val="edge"/>
          <c:yMode val="edge"/>
          <c:x val="0.20666309521917867"/>
          <c:y val="0.25886281692096336"/>
          <c:w val="0.67323411973277703"/>
          <c:h val="0.71392631038564025"/>
        </c:manualLayout>
      </c:layout>
      <c:doughnutChart>
        <c:varyColors val="1"/>
        <c:ser>
          <c:idx val="0"/>
          <c:order val="0"/>
          <c:tx>
            <c:strRef>
              <c:f>'Program level by total cost'!$B$3</c:f>
              <c:strCache>
                <c:ptCount val="1"/>
                <c:pt idx="0">
                  <c:v>Total</c:v>
                </c:pt>
              </c:strCache>
            </c:strRef>
          </c:tx>
          <c:dPt>
            <c:idx val="0"/>
            <c:bubble3D val="0"/>
            <c:spPr>
              <a:solidFill>
                <a:schemeClr val="accent6">
                  <a:lumMod val="75000"/>
                </a:schemeClr>
              </a:solidFill>
              <a:ln>
                <a:noFill/>
              </a:ln>
              <a:effectLst/>
            </c:spPr>
            <c:extLst>
              <c:ext xmlns:c16="http://schemas.microsoft.com/office/drawing/2014/chart" uri="{C3380CC4-5D6E-409C-BE32-E72D297353CC}">
                <c16:uniqueId val="{00000001-C41B-4753-9FC1-2ACDDAB36834}"/>
              </c:ext>
            </c:extLst>
          </c:dPt>
          <c:dPt>
            <c:idx val="1"/>
            <c:bubble3D val="0"/>
            <c:spPr>
              <a:solidFill>
                <a:schemeClr val="accent6">
                  <a:lumMod val="50000"/>
                </a:schemeClr>
              </a:solidFill>
              <a:ln>
                <a:noFill/>
              </a:ln>
              <a:effectLst/>
            </c:spPr>
            <c:extLst>
              <c:ext xmlns:c16="http://schemas.microsoft.com/office/drawing/2014/chart" uri="{C3380CC4-5D6E-409C-BE32-E72D297353CC}">
                <c16:uniqueId val="{00000003-C41B-4753-9FC1-2ACDDAB36834}"/>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C41B-4753-9FC1-2ACDDAB36834}"/>
              </c:ext>
            </c:extLst>
          </c:dPt>
          <c:dLbls>
            <c:dLbl>
              <c:idx val="0"/>
              <c:layout>
                <c:manualLayout>
                  <c:x val="0.11788614195141772"/>
                  <c:y val="-0.24797364321621368"/>
                </c:manualLayout>
              </c:layout>
              <c:showLegendKey val="0"/>
              <c:showVal val="1"/>
              <c:showCatName val="0"/>
              <c:showSerName val="0"/>
              <c:showPercent val="0"/>
              <c:showBubbleSize val="0"/>
              <c:extLst>
                <c:ext xmlns:c15="http://schemas.microsoft.com/office/drawing/2012/chart" uri="{CE6537A1-D6FC-4f65-9D91-7224C49458BB}">
                  <c15:layout>
                    <c:manualLayout>
                      <c:w val="0.22115621072448174"/>
                      <c:h val="0.15713680737409977"/>
                    </c:manualLayout>
                  </c15:layout>
                </c:ext>
                <c:ext xmlns:c16="http://schemas.microsoft.com/office/drawing/2014/chart" uri="{C3380CC4-5D6E-409C-BE32-E72D297353CC}">
                  <c16:uniqueId val="{00000001-C41B-4753-9FC1-2ACDDAB36834}"/>
                </c:ext>
              </c:extLst>
            </c:dLbl>
            <c:dLbl>
              <c:idx val="1"/>
              <c:layout>
                <c:manualLayout>
                  <c:x val="-0.27004607318592033"/>
                  <c:y val="4.4671353574503976E-2"/>
                </c:manualLayout>
              </c:layout>
              <c:showLegendKey val="0"/>
              <c:showVal val="1"/>
              <c:showCatName val="0"/>
              <c:showSerName val="0"/>
              <c:showPercent val="0"/>
              <c:showBubbleSize val="0"/>
              <c:extLst>
                <c:ext xmlns:c15="http://schemas.microsoft.com/office/drawing/2012/chart" uri="{CE6537A1-D6FC-4f65-9D91-7224C49458BB}">
                  <c15:layout>
                    <c:manualLayout>
                      <c:w val="0.24636631701287764"/>
                      <c:h val="0.15713680737409977"/>
                    </c:manualLayout>
                  </c15:layout>
                </c:ext>
                <c:ext xmlns:c16="http://schemas.microsoft.com/office/drawing/2014/chart" uri="{C3380CC4-5D6E-409C-BE32-E72D297353CC}">
                  <c16:uniqueId val="{00000003-C41B-4753-9FC1-2ACDDAB36834}"/>
                </c:ext>
              </c:extLst>
            </c:dLbl>
            <c:dLbl>
              <c:idx val="2"/>
              <c:layout>
                <c:manualLayout>
                  <c:x val="-0.20592711470484931"/>
                  <c:y val="-0.12939751249675097"/>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1574569477895236"/>
                      <c:h val="6.4951710342617014E-2"/>
                    </c:manualLayout>
                  </c15:layout>
                </c:ext>
                <c:ext xmlns:c16="http://schemas.microsoft.com/office/drawing/2014/chart" uri="{C3380CC4-5D6E-409C-BE32-E72D297353CC}">
                  <c16:uniqueId val="{00000005-C41B-4753-9FC1-2ACDDAB3683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'Program level by total cost'!$A$4:$A$7</c:f>
              <c:strCache>
                <c:ptCount val="3"/>
                <c:pt idx="0">
                  <c:v>Bachelor</c:v>
                </c:pt>
                <c:pt idx="1">
                  <c:v>Master</c:v>
                </c:pt>
                <c:pt idx="2">
                  <c:v>Ph.D</c:v>
                </c:pt>
              </c:strCache>
            </c:strRef>
          </c:cat>
          <c:val>
            <c:numRef>
              <c:f>'Program level by total cost'!$B$4:$B$7</c:f>
              <c:numCache>
                <c:formatCode>0.00%</c:formatCode>
                <c:ptCount val="3"/>
                <c:pt idx="0">
                  <c:v>0.36444372163841854</c:v>
                </c:pt>
                <c:pt idx="1">
                  <c:v>0.45427985188935688</c:v>
                </c:pt>
                <c:pt idx="2">
                  <c:v>0.18127642647222456</c:v>
                </c:pt>
              </c:numCache>
            </c:numRef>
          </c:val>
          <c:extLst>
            <c:ext xmlns:c16="http://schemas.microsoft.com/office/drawing/2014/chart" uri="{C3380CC4-5D6E-409C-BE32-E72D297353CC}">
              <c16:uniqueId val="{00000006-C41B-4753-9FC1-2ACDDAB36834}"/>
            </c:ext>
          </c:extLst>
        </c:ser>
        <c:dLbls>
          <c:showLegendKey val="0"/>
          <c:showVal val="0"/>
          <c:showCatName val="0"/>
          <c:showSerName val="0"/>
          <c:showPercent val="0"/>
          <c:showBubbleSize val="0"/>
          <c:showLeaderLines val="1"/>
        </c:dLbls>
        <c:firstSliceAng val="7"/>
        <c:holeSize val="50"/>
      </c:doughnutChart>
      <c:spPr>
        <a:noFill/>
        <a:ln>
          <a:noFill/>
        </a:ln>
        <a:effectLst/>
      </c:spPr>
    </c:plotArea>
    <c:legend>
      <c:legendPos val="t"/>
      <c:layout>
        <c:manualLayout>
          <c:xMode val="edge"/>
          <c:yMode val="edge"/>
          <c:x val="1.3648301708619828E-2"/>
          <c:y val="0.11835311654026986"/>
          <c:w val="0.96345016960592278"/>
          <c:h val="9.1837338116733364E-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accent6">
                  <a:lumMod val="50000"/>
                </a:schemeClr>
              </a:solidFill>
              <a:latin typeface="Georgia" panose="020405020504050203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 (version 3).xlsx]Country byVisa_fee!PivotTable1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a:noFill/>
          </a:ln>
          <a:effectLst/>
        </c:spPr>
      </c:pivotFmt>
      <c:pivotFmt>
        <c:idx val="8"/>
        <c:spPr>
          <a:solidFill>
            <a:schemeClr val="accent6">
              <a:lumMod val="50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6">
              <a:lumMod val="20000"/>
              <a:lumOff val="8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67FC075C-2C51-48A3-B692-D91EB9ED40D6}"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6">
              <a:lumMod val="20000"/>
              <a:lumOff val="80000"/>
            </a:schemeClr>
          </a:solidFill>
          <a:ln>
            <a:no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2957798C-9B84-485A-B336-EAE0883D3434}"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6">
              <a:lumMod val="50000"/>
            </a:schemeClr>
          </a:solidFill>
          <a:ln>
            <a:noFill/>
          </a:ln>
          <a:effectLst/>
        </c:spPr>
      </c:pivotFmt>
      <c:pivotFmt>
        <c:idx val="19"/>
        <c:spPr>
          <a:solidFill>
            <a:schemeClr val="accent6">
              <a:lumMod val="50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75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60000"/>
              <a:lumOff val="4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67FC075C-2C51-48A3-B692-D91EB9ED40D6}"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6">
              <a:lumMod val="20000"/>
              <a:lumOff val="80000"/>
            </a:schemeClr>
          </a:solidFill>
          <a:ln>
            <a:no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2957798C-9B84-485A-B336-EAE0883D3434}"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a:noFill/>
          </a:ln>
          <a:effectLst/>
        </c:spPr>
      </c:pivotFmt>
      <c:pivotFmt>
        <c:idx val="30"/>
        <c:spPr>
          <a:solidFill>
            <a:schemeClr val="accent6">
              <a:lumMod val="50000"/>
            </a:schemeClr>
          </a:solidFill>
          <a:ln>
            <a:noFill/>
          </a:ln>
          <a:effectLst/>
        </c:spPr>
      </c:pivotFmt>
      <c:pivotFmt>
        <c:idx val="31"/>
        <c:spPr>
          <a:solidFill>
            <a:schemeClr val="accent6">
              <a:lumMod val="75000"/>
            </a:schemeClr>
          </a:solidFill>
          <a:ln>
            <a:noFill/>
          </a:ln>
          <a:effectLst/>
        </c:spPr>
      </c:pivotFmt>
      <c:pivotFmt>
        <c:idx val="32"/>
        <c:spPr>
          <a:solidFill>
            <a:schemeClr val="accent6">
              <a:lumMod val="75000"/>
            </a:schemeClr>
          </a:solidFill>
          <a:ln>
            <a:noFill/>
          </a:ln>
          <a:effectLst/>
        </c:spPr>
      </c:pivotFmt>
      <c:pivotFmt>
        <c:idx val="33"/>
        <c:spPr>
          <a:solidFill>
            <a:schemeClr val="accent6">
              <a:lumMod val="60000"/>
              <a:lumOff val="40000"/>
            </a:schemeClr>
          </a:solidFill>
          <a:ln>
            <a:noFill/>
          </a:ln>
          <a:effectLst/>
        </c:spPr>
      </c:pivotFmt>
      <c:pivotFmt>
        <c:idx val="34"/>
        <c:spPr>
          <a:solidFill>
            <a:schemeClr val="accent6">
              <a:lumMod val="60000"/>
              <a:lumOff val="40000"/>
            </a:schemeClr>
          </a:solidFill>
          <a:ln>
            <a:noFill/>
          </a:ln>
          <a:effectLst/>
        </c:spPr>
      </c:pivotFmt>
      <c:pivotFmt>
        <c:idx val="35"/>
        <c:spPr>
          <a:solidFill>
            <a:schemeClr val="accent6">
              <a:lumMod val="40000"/>
              <a:lumOff val="60000"/>
            </a:schemeClr>
          </a:solidFill>
          <a:ln>
            <a:noFill/>
          </a:ln>
          <a:effectLst/>
        </c:spPr>
      </c:pivotFmt>
      <c:pivotFmt>
        <c:idx val="36"/>
        <c:spPr>
          <a:solidFill>
            <a:schemeClr val="accent6">
              <a:lumMod val="40000"/>
              <a:lumOff val="60000"/>
            </a:schemeClr>
          </a:solidFill>
          <a:ln>
            <a:noFill/>
          </a:ln>
          <a:effectLst/>
        </c:spPr>
      </c:pivotFmt>
      <c:pivotFmt>
        <c:idx val="37"/>
        <c:spPr>
          <a:solidFill>
            <a:schemeClr val="accent6">
              <a:lumMod val="40000"/>
              <a:lumOff val="60000"/>
            </a:schemeClr>
          </a:solidFill>
          <a:ln>
            <a:noFill/>
          </a:ln>
          <a:effectLst/>
        </c:spPr>
      </c:pivotFmt>
      <c:pivotFmt>
        <c:idx val="38"/>
        <c:spPr>
          <a:solidFill>
            <a:schemeClr val="accent6">
              <a:lumMod val="20000"/>
              <a:lumOff val="8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6">
              <a:lumMod val="75000"/>
            </a:schemeClr>
          </a:solidFill>
          <a:ln>
            <a:noFill/>
          </a:ln>
          <a:effectLst/>
        </c:spPr>
      </c:pivotFmt>
      <c:pivotFmt>
        <c:idx val="43"/>
        <c:spPr>
          <a:solidFill>
            <a:schemeClr val="accent6">
              <a:lumMod val="40000"/>
              <a:lumOff val="60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lumMod val="50000"/>
            </a:schemeClr>
          </a:solidFill>
          <a:ln>
            <a:noFill/>
          </a:ln>
          <a:effectLst/>
        </c:spPr>
      </c:pivotFmt>
      <c:pivotFmt>
        <c:idx val="47"/>
        <c:spPr>
          <a:solidFill>
            <a:schemeClr val="accent6">
              <a:lumMod val="75000"/>
            </a:schemeClr>
          </a:solidFill>
          <a:ln>
            <a:noFill/>
          </a:ln>
          <a:effectLst/>
        </c:spPr>
      </c:pivotFmt>
      <c:pivotFmt>
        <c:idx val="48"/>
        <c:spPr>
          <a:solidFill>
            <a:schemeClr val="accent6">
              <a:lumMod val="60000"/>
              <a:lumOff val="4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lumMod val="50000"/>
            </a:schemeClr>
          </a:solidFill>
          <a:ln>
            <a:noFill/>
          </a:ln>
          <a:effectLst/>
        </c:spPr>
      </c:pivotFmt>
      <c:pivotFmt>
        <c:idx val="51"/>
        <c:spPr>
          <a:solidFill>
            <a:schemeClr val="accent6">
              <a:lumMod val="75000"/>
            </a:schemeClr>
          </a:solidFill>
          <a:ln>
            <a:noFill/>
          </a:ln>
          <a:effectLst/>
        </c:spPr>
      </c:pivotFmt>
      <c:pivotFmt>
        <c:idx val="52"/>
        <c:spPr>
          <a:solidFill>
            <a:schemeClr val="accent6">
              <a:lumMod val="60000"/>
              <a:lumOff val="40000"/>
            </a:schemeClr>
          </a:solidFill>
          <a:ln>
            <a:noFill/>
          </a:ln>
          <a:effectLst/>
        </c:spPr>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lumMod val="50000"/>
            </a:schemeClr>
          </a:solidFill>
          <a:ln>
            <a:noFill/>
          </a:ln>
          <a:effectLst/>
        </c:spPr>
      </c:pivotFmt>
      <c:pivotFmt>
        <c:idx val="55"/>
        <c:spPr>
          <a:solidFill>
            <a:schemeClr val="accent6">
              <a:lumMod val="75000"/>
            </a:schemeClr>
          </a:solidFill>
          <a:ln>
            <a:noFill/>
          </a:ln>
          <a:effectLst/>
        </c:spPr>
      </c:pivotFmt>
      <c:pivotFmt>
        <c:idx val="56"/>
        <c:spPr>
          <a:solidFill>
            <a:schemeClr val="accent6">
              <a:lumMod val="60000"/>
              <a:lumOff val="40000"/>
            </a:schemeClr>
          </a:solidFill>
          <a:ln>
            <a:noFill/>
          </a:ln>
          <a:effectLst/>
        </c:spPr>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100" b="0" i="0" u="none" strike="noStrike" kern="1200" baseline="0">
                  <a:solidFill>
                    <a:srgbClr val="2683C6">
                      <a:lumMod val="50000"/>
                    </a:srgb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lumMod val="50000"/>
            </a:schemeClr>
          </a:solidFill>
          <a:ln>
            <a:noFill/>
          </a:ln>
          <a:effectLst/>
        </c:spPr>
      </c:pivotFmt>
      <c:pivotFmt>
        <c:idx val="59"/>
        <c:spPr>
          <a:solidFill>
            <a:schemeClr val="accent6">
              <a:lumMod val="75000"/>
            </a:schemeClr>
          </a:solidFill>
          <a:ln>
            <a:noFill/>
          </a:ln>
          <a:effectLst/>
        </c:spPr>
      </c:pivotFmt>
      <c:pivotFmt>
        <c:idx val="60"/>
        <c:spPr>
          <a:solidFill>
            <a:schemeClr val="accent6">
              <a:lumMod val="60000"/>
              <a:lumOff val="40000"/>
            </a:schemeClr>
          </a:solidFill>
          <a:ln>
            <a:noFill/>
          </a:ln>
          <a:effectLst/>
        </c:spPr>
      </c:pivotFmt>
      <c:pivotFmt>
        <c:idx val="61"/>
        <c:spPr>
          <a:solidFill>
            <a:schemeClr val="accent6">
              <a:lumMod val="60000"/>
              <a:lumOff val="40000"/>
            </a:schemeClr>
          </a:solidFill>
          <a:ln>
            <a:noFill/>
          </a:ln>
          <a:effectLst/>
        </c:spPr>
      </c:pivotFmt>
      <c:pivotFmt>
        <c:idx val="62"/>
        <c:spPr>
          <a:solidFill>
            <a:schemeClr val="accent6">
              <a:lumMod val="40000"/>
              <a:lumOff val="60000"/>
            </a:schemeClr>
          </a:solidFill>
          <a:ln>
            <a:noFill/>
          </a:ln>
          <a:effectLst/>
        </c:spPr>
      </c:pivotFmt>
      <c:pivotFmt>
        <c:idx val="63"/>
        <c:spPr>
          <a:solidFill>
            <a:schemeClr val="accent6">
              <a:lumMod val="20000"/>
              <a:lumOff val="80000"/>
            </a:schemeClr>
          </a:solidFill>
          <a:ln>
            <a:noFill/>
          </a:ln>
          <a:effectLst/>
        </c:spPr>
      </c:pivotFmt>
    </c:pivotFmts>
    <c:plotArea>
      <c:layout>
        <c:manualLayout>
          <c:layoutTarget val="inner"/>
          <c:xMode val="edge"/>
          <c:yMode val="edge"/>
          <c:x val="2.9914906225615273E-4"/>
          <c:y val="0.12319621797469892"/>
          <c:w val="0.99222944550047065"/>
          <c:h val="0.71930970113092929"/>
        </c:manualLayout>
      </c:layout>
      <c:barChart>
        <c:barDir val="col"/>
        <c:grouping val="clustered"/>
        <c:varyColors val="0"/>
        <c:ser>
          <c:idx val="0"/>
          <c:order val="0"/>
          <c:tx>
            <c:strRef>
              <c:f>'Country byVisa_fee'!$B$3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FADF-4174-9757-ED570573EA9E}"/>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FADF-4174-9757-ED570573EA9E}"/>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FADF-4174-9757-ED570573EA9E}"/>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8-D140-4960-90AD-FA448A979418}"/>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9-D140-4960-90AD-FA448A979418}"/>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A-D140-4960-90AD-FA448A979418}"/>
              </c:ext>
            </c:extLst>
          </c:dPt>
          <c:dLbls>
            <c:spPr>
              <a:noFill/>
              <a:ln>
                <a:noFill/>
              </a:ln>
              <a:effectLst/>
            </c:spPr>
            <c:txPr>
              <a:bodyPr rot="0" spcFirstLastPara="1" vertOverflow="ellipsis" vert="horz" wrap="square" lIns="38100" tIns="19050" rIns="38100" bIns="19050" anchor="ctr" anchorCtr="0">
                <a:spAutoFit/>
              </a:bodyPr>
              <a:lstStyle/>
              <a:p>
                <a:pPr algn="ctr" rtl="0">
                  <a:defRPr lang="en-US" sz="1100" b="0" i="0" u="none" strike="noStrike" kern="1200" baseline="0">
                    <a:solidFill>
                      <a:srgbClr val="2683C6">
                        <a:lumMod val="50000"/>
                      </a:srgb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byVisa_fee'!$A$4:$A$10</c:f>
              <c:strCache>
                <c:ptCount val="6"/>
                <c:pt idx="0">
                  <c:v>UK</c:v>
                </c:pt>
                <c:pt idx="1">
                  <c:v>Australia</c:v>
                </c:pt>
                <c:pt idx="2">
                  <c:v>Denmark</c:v>
                </c:pt>
                <c:pt idx="3">
                  <c:v>Finland</c:v>
                </c:pt>
                <c:pt idx="4">
                  <c:v>New Zealand</c:v>
                </c:pt>
                <c:pt idx="5">
                  <c:v>UAE</c:v>
                </c:pt>
              </c:strCache>
            </c:strRef>
          </c:cat>
          <c:val>
            <c:numRef>
              <c:f>'Country byVisa_fee'!$B$4:$B$10</c:f>
              <c:numCache>
                <c:formatCode>[$$-409]#,##0</c:formatCode>
                <c:ptCount val="6"/>
                <c:pt idx="0">
                  <c:v>487.68817204301075</c:v>
                </c:pt>
                <c:pt idx="1">
                  <c:v>450</c:v>
                </c:pt>
                <c:pt idx="2">
                  <c:v>338</c:v>
                </c:pt>
                <c:pt idx="3">
                  <c:v>329.09090909090907</c:v>
                </c:pt>
                <c:pt idx="4">
                  <c:v>320.55555555555554</c:v>
                </c:pt>
                <c:pt idx="5">
                  <c:v>270</c:v>
                </c:pt>
              </c:numCache>
            </c:numRef>
          </c:val>
          <c:extLst>
            <c:ext xmlns:c16="http://schemas.microsoft.com/office/drawing/2014/chart" uri="{C3380CC4-5D6E-409C-BE32-E72D297353CC}">
              <c16:uniqueId val="{00000006-FADF-4174-9757-ED570573EA9E}"/>
            </c:ext>
          </c:extLst>
        </c:ser>
        <c:dLbls>
          <c:dLblPos val="outEnd"/>
          <c:showLegendKey val="0"/>
          <c:showVal val="1"/>
          <c:showCatName val="0"/>
          <c:showSerName val="0"/>
          <c:showPercent val="0"/>
          <c:showBubbleSize val="0"/>
        </c:dLbls>
        <c:gapWidth val="20"/>
        <c:axId val="1976617055"/>
        <c:axId val="1976616575"/>
      </c:barChart>
      <c:catAx>
        <c:axId val="1976617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100" b="0" i="0" u="none" strike="noStrike" kern="1200" baseline="0">
                <a:solidFill>
                  <a:srgbClr val="2683C6">
                    <a:lumMod val="50000"/>
                  </a:srgbClr>
                </a:solidFill>
                <a:latin typeface="Georgia" panose="02040502050405020303" pitchFamily="18" charset="0"/>
                <a:ea typeface="+mn-ea"/>
                <a:cs typeface="+mn-cs"/>
              </a:defRPr>
            </a:pPr>
            <a:endParaRPr lang="en-NG"/>
          </a:p>
        </c:txPr>
        <c:crossAx val="1976616575"/>
        <c:crosses val="autoZero"/>
        <c:auto val="1"/>
        <c:lblAlgn val="ctr"/>
        <c:lblOffset val="100"/>
        <c:noMultiLvlLbl val="0"/>
      </c:catAx>
      <c:valAx>
        <c:axId val="1976616575"/>
        <c:scaling>
          <c:orientation val="minMax"/>
        </c:scaling>
        <c:delete val="1"/>
        <c:axPos val="l"/>
        <c:numFmt formatCode="[$$-409]#,##0" sourceLinked="1"/>
        <c:majorTickMark val="none"/>
        <c:minorTickMark val="none"/>
        <c:tickLblPos val="nextTo"/>
        <c:crossAx val="197661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 (version 3).xlsx]Top 10 programs by totalcost!PivotTable1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pivotFmt>
      <c:pivotFmt>
        <c:idx val="8"/>
        <c:spPr>
          <a:solidFill>
            <a:schemeClr val="accent6">
              <a:lumMod val="50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6">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fld id="{B82F41CA-CDB5-41B9-9F43-69EB2A1E60AC}" type="VALUE">
                  <a:rPr lang="en-US">
                    <a:solidFill>
                      <a:schemeClr val="accent6">
                        <a:lumMod val="50000"/>
                      </a:schemeClr>
                    </a:solidFill>
                  </a:rPr>
                  <a:pPr>
                    <a:defRPr sz="1000" b="1" i="0" u="none" strike="noStrike" kern="1200" baseline="0">
                      <a:solidFill>
                        <a:schemeClr val="accent6">
                          <a:lumMod val="50000"/>
                        </a:schemeClr>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6">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6">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50000"/>
            </a:schemeClr>
          </a:solidFill>
          <a:ln>
            <a:noFill/>
          </a:ln>
          <a:effectLst/>
        </c:spPr>
      </c:pivotFmt>
      <c:pivotFmt>
        <c:idx val="19"/>
        <c:spPr>
          <a:solidFill>
            <a:schemeClr val="accent6">
              <a:lumMod val="50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75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fld id="{B82F41CA-CDB5-41B9-9F43-69EB2A1E60AC}" type="VALUE">
                  <a:rPr lang="en-US">
                    <a:solidFill>
                      <a:schemeClr val="accent6">
                        <a:lumMod val="50000"/>
                      </a:schemeClr>
                    </a:solidFill>
                  </a:rPr>
                  <a:pPr>
                    <a:defRPr sz="1000" b="1" i="0" u="none" strike="noStrike" kern="1200" baseline="0">
                      <a:solidFill>
                        <a:schemeClr val="accent6">
                          <a:lumMod val="50000"/>
                        </a:schemeClr>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a:noFill/>
          </a:ln>
          <a:effectLst/>
        </c:spPr>
      </c:pivotFmt>
      <c:pivotFmt>
        <c:idx val="30"/>
        <c:spPr>
          <a:solidFill>
            <a:schemeClr val="accent6">
              <a:lumMod val="50000"/>
            </a:schemeClr>
          </a:solidFill>
          <a:ln>
            <a:noFill/>
          </a:ln>
          <a:effectLst/>
        </c:spPr>
      </c:pivotFmt>
      <c:pivotFmt>
        <c:idx val="31"/>
        <c:spPr>
          <a:solidFill>
            <a:schemeClr val="accent6">
              <a:lumMod val="75000"/>
            </a:schemeClr>
          </a:solidFill>
          <a:ln>
            <a:noFill/>
          </a:ln>
          <a:effectLst/>
        </c:spPr>
      </c:pivotFmt>
      <c:pivotFmt>
        <c:idx val="32"/>
        <c:spPr>
          <a:solidFill>
            <a:schemeClr val="accent6">
              <a:lumMod val="75000"/>
            </a:schemeClr>
          </a:solidFill>
          <a:ln>
            <a:noFill/>
          </a:ln>
          <a:effectLst/>
        </c:spPr>
      </c:pivotFmt>
      <c:pivotFmt>
        <c:idx val="33"/>
        <c:spPr>
          <a:solidFill>
            <a:schemeClr val="accent6">
              <a:lumMod val="60000"/>
              <a:lumOff val="40000"/>
            </a:schemeClr>
          </a:solidFill>
          <a:ln>
            <a:noFill/>
          </a:ln>
          <a:effectLst/>
        </c:spPr>
      </c:pivotFmt>
      <c:pivotFmt>
        <c:idx val="34"/>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fld id="{B82F41CA-CDB5-41B9-9F43-69EB2A1E60AC}" type="VALUE">
                  <a:rPr lang="en-US" sz="1100" b="0">
                    <a:solidFill>
                      <a:schemeClr val="accent6">
                        <a:lumMod val="50000"/>
                      </a:schemeClr>
                    </a:solidFill>
                    <a:latin typeface="Georgia" panose="02040502050405020303" pitchFamily="18" charset="0"/>
                  </a:rPr>
                  <a:pPr>
                    <a:defRPr sz="1100">
                      <a:solidFill>
                        <a:schemeClr val="accent6">
                          <a:lumMod val="50000"/>
                        </a:schemeClr>
                      </a:solidFill>
                      <a:latin typeface="Georgia" panose="02040502050405020303" pitchFamily="18" charset="0"/>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96344528094161"/>
          <c:y val="0.12541666666666668"/>
          <c:w val="0.68532076016937959"/>
          <c:h val="0.84680555555555559"/>
        </c:manualLayout>
      </c:layout>
      <c:barChart>
        <c:barDir val="bar"/>
        <c:grouping val="stacked"/>
        <c:varyColors val="0"/>
        <c:ser>
          <c:idx val="0"/>
          <c:order val="0"/>
          <c:tx>
            <c:strRef>
              <c:f>'Top 10 programs by totalcost'!$B$3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6903-4262-8051-2961EC224D37}"/>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6903-4262-8051-2961EC224D37}"/>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6903-4262-8051-2961EC224D37}"/>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6903-4262-8051-2961EC224D37}"/>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6903-4262-8051-2961EC224D37}"/>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B-6903-4262-8051-2961EC224D37}"/>
              </c:ext>
            </c:extLst>
          </c:dPt>
          <c:dPt>
            <c:idx val="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D-6903-4262-8051-2961EC224D37}"/>
              </c:ext>
            </c:extLst>
          </c:dPt>
          <c:dPt>
            <c:idx val="7"/>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F-6903-4262-8051-2961EC224D37}"/>
              </c:ext>
            </c:extLst>
          </c:dPt>
          <c:dPt>
            <c:idx val="8"/>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1-6903-4262-8051-2961EC224D37}"/>
              </c:ext>
            </c:extLst>
          </c:dPt>
          <c:dPt>
            <c:idx val="9"/>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3-6903-4262-8051-2961EC224D37}"/>
              </c:ext>
            </c:extLst>
          </c:dPt>
          <c:dLbls>
            <c:dLbl>
              <c:idx val="5"/>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6="http://schemas.microsoft.com/office/drawing/2014/chart" uri="{C3380CC4-5D6E-409C-BE32-E72D297353CC}">
                  <c16:uniqueId val="{0000000B-6903-4262-8051-2961EC224D37}"/>
                </c:ext>
              </c:extLst>
            </c:dLbl>
            <c:dLbl>
              <c:idx val="6"/>
              <c:tx>
                <c:rich>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fld id="{B82F41CA-CDB5-41B9-9F43-69EB2A1E60AC}" type="VALUE">
                      <a:rPr lang="en-US" sz="1100" b="0">
                        <a:solidFill>
                          <a:schemeClr val="accent6">
                            <a:lumMod val="50000"/>
                          </a:schemeClr>
                        </a:solidFill>
                        <a:latin typeface="Georgia" panose="02040502050405020303" pitchFamily="18" charset="0"/>
                      </a:rPr>
                      <a:pPr>
                        <a:defRPr sz="1100">
                          <a:solidFill>
                            <a:schemeClr val="accent6">
                              <a:lumMod val="50000"/>
                            </a:schemeClr>
                          </a:solidFill>
                          <a:latin typeface="Georgia" panose="02040502050405020303" pitchFamily="18" charset="0"/>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6903-4262-8051-2961EC224D37}"/>
                </c:ext>
              </c:extLst>
            </c:dLbl>
            <c:dLbl>
              <c:idx val="7"/>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6="http://schemas.microsoft.com/office/drawing/2014/chart" uri="{C3380CC4-5D6E-409C-BE32-E72D297353CC}">
                  <c16:uniqueId val="{0000000F-6903-4262-8051-2961EC224D37}"/>
                </c:ext>
              </c:extLst>
            </c:dLbl>
            <c:dLbl>
              <c:idx val="8"/>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6="http://schemas.microsoft.com/office/drawing/2014/chart" uri="{C3380CC4-5D6E-409C-BE32-E72D297353CC}">
                  <c16:uniqueId val="{00000011-6903-4262-8051-2961EC224D37}"/>
                </c:ext>
              </c:extLst>
            </c:dLbl>
            <c:dLbl>
              <c:idx val="9"/>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6="http://schemas.microsoft.com/office/drawing/2014/chart" uri="{C3380CC4-5D6E-409C-BE32-E72D297353CC}">
                  <c16:uniqueId val="{00000013-6903-4262-8051-2961EC224D3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programs by totalcost'!$A$4:$A$14</c:f>
              <c:strCache>
                <c:ptCount val="10"/>
                <c:pt idx="0">
                  <c:v>Machine Learning</c:v>
                </c:pt>
                <c:pt idx="1">
                  <c:v>Chemical Engineering</c:v>
                </c:pt>
                <c:pt idx="2">
                  <c:v>Digital Systems &amp; AI</c:v>
                </c:pt>
                <c:pt idx="3">
                  <c:v>Economics</c:v>
                </c:pt>
                <c:pt idx="4">
                  <c:v>Data Science &amp; AI</c:v>
                </c:pt>
                <c:pt idx="5">
                  <c:v>Computing &amp; Innovation</c:v>
                </c:pt>
                <c:pt idx="6">
                  <c:v>Technology &amp; Innovation</c:v>
                </c:pt>
                <c:pt idx="7">
                  <c:v>Chemistry</c:v>
                </c:pt>
                <c:pt idx="8">
                  <c:v>Computer Science &amp; Design</c:v>
                </c:pt>
                <c:pt idx="9">
                  <c:v>Psychology</c:v>
                </c:pt>
              </c:strCache>
            </c:strRef>
          </c:cat>
          <c:val>
            <c:numRef>
              <c:f>'Top 10 programs by totalcost'!$B$4:$B$14</c:f>
              <c:numCache>
                <c:formatCode>[$$-409]#,##0</c:formatCode>
                <c:ptCount val="10"/>
                <c:pt idx="0">
                  <c:v>64179.46472019465</c:v>
                </c:pt>
                <c:pt idx="1">
                  <c:v>57195.523114355237</c:v>
                </c:pt>
                <c:pt idx="2">
                  <c:v>54891.946472019466</c:v>
                </c:pt>
                <c:pt idx="3">
                  <c:v>52412.891321978917</c:v>
                </c:pt>
                <c:pt idx="4">
                  <c:v>51891.946472019466</c:v>
                </c:pt>
                <c:pt idx="5">
                  <c:v>51191.946472019466</c:v>
                </c:pt>
                <c:pt idx="6">
                  <c:v>50791.946472019466</c:v>
                </c:pt>
                <c:pt idx="7">
                  <c:v>49894.053527980534</c:v>
                </c:pt>
                <c:pt idx="8">
                  <c:v>48191.946472019466</c:v>
                </c:pt>
                <c:pt idx="9">
                  <c:v>46854.46472019465</c:v>
                </c:pt>
              </c:numCache>
            </c:numRef>
          </c:val>
          <c:extLst>
            <c:ext xmlns:c16="http://schemas.microsoft.com/office/drawing/2014/chart" uri="{C3380CC4-5D6E-409C-BE32-E72D297353CC}">
              <c16:uniqueId val="{00000014-6903-4262-8051-2961EC224D37}"/>
            </c:ext>
          </c:extLst>
        </c:ser>
        <c:dLbls>
          <c:dLblPos val="inEnd"/>
          <c:showLegendKey val="0"/>
          <c:showVal val="1"/>
          <c:showCatName val="0"/>
          <c:showSerName val="0"/>
          <c:showPercent val="0"/>
          <c:showBubbleSize val="0"/>
        </c:dLbls>
        <c:gapWidth val="20"/>
        <c:overlap val="100"/>
        <c:axId val="1976617055"/>
        <c:axId val="1976616575"/>
      </c:barChart>
      <c:catAx>
        <c:axId val="197661705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100" b="0" i="0" u="none" strike="noStrike" kern="1200" baseline="0">
                <a:solidFill>
                  <a:srgbClr val="2683C6">
                    <a:lumMod val="50000"/>
                  </a:srgbClr>
                </a:solidFill>
                <a:latin typeface="Georgia" panose="02040502050405020303" pitchFamily="18" charset="0"/>
                <a:ea typeface="+mn-ea"/>
                <a:cs typeface="+mn-cs"/>
              </a:defRPr>
            </a:pPr>
            <a:endParaRPr lang="en-NG"/>
          </a:p>
        </c:txPr>
        <c:crossAx val="1976616575"/>
        <c:crosses val="autoZero"/>
        <c:auto val="1"/>
        <c:lblAlgn val="ctr"/>
        <c:lblOffset val="100"/>
        <c:noMultiLvlLbl val="0"/>
      </c:catAx>
      <c:valAx>
        <c:axId val="1976616575"/>
        <c:scaling>
          <c:orientation val="minMax"/>
        </c:scaling>
        <c:delete val="1"/>
        <c:axPos val="t"/>
        <c:numFmt formatCode="[$$-409]#,##0" sourceLinked="1"/>
        <c:majorTickMark val="none"/>
        <c:minorTickMark val="none"/>
        <c:tickLblPos val="nextTo"/>
        <c:crossAx val="197661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 (version 3).xlsx]Country by living cost index!PivotTable1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a:noFill/>
          </a:ln>
          <a:effectLst/>
        </c:spPr>
      </c:pivotFmt>
      <c:pivotFmt>
        <c:idx val="8"/>
        <c:spPr>
          <a:solidFill>
            <a:schemeClr val="accent6">
              <a:lumMod val="50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6">
              <a:lumMod val="20000"/>
              <a:lumOff val="8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67FC075C-2C51-48A3-B692-D91EB9ED40D6}"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6">
              <a:lumMod val="20000"/>
              <a:lumOff val="80000"/>
            </a:schemeClr>
          </a:solidFill>
          <a:ln>
            <a:no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2957798C-9B84-485A-B336-EAE0883D3434}"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6">
              <a:lumMod val="50000"/>
            </a:schemeClr>
          </a:solidFill>
          <a:ln>
            <a:noFill/>
          </a:ln>
          <a:effectLst/>
        </c:spPr>
      </c:pivotFmt>
      <c:pivotFmt>
        <c:idx val="19"/>
        <c:spPr>
          <a:solidFill>
            <a:schemeClr val="accent6">
              <a:lumMod val="50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75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60000"/>
              <a:lumOff val="4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67FC075C-2C51-48A3-B692-D91EB9ED40D6}"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6">
              <a:lumMod val="20000"/>
              <a:lumOff val="80000"/>
            </a:schemeClr>
          </a:solidFill>
          <a:ln>
            <a:no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2957798C-9B84-485A-B336-EAE0883D3434}"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a:noFill/>
          </a:ln>
          <a:effectLst/>
        </c:spPr>
      </c:pivotFmt>
      <c:pivotFmt>
        <c:idx val="30"/>
        <c:spPr>
          <a:solidFill>
            <a:schemeClr val="accent6">
              <a:lumMod val="50000"/>
            </a:schemeClr>
          </a:solidFill>
          <a:ln>
            <a:noFill/>
          </a:ln>
          <a:effectLst/>
        </c:spPr>
      </c:pivotFmt>
      <c:pivotFmt>
        <c:idx val="31"/>
        <c:spPr>
          <a:solidFill>
            <a:schemeClr val="accent6">
              <a:lumMod val="60000"/>
              <a:lumOff val="40000"/>
            </a:schemeClr>
          </a:solidFill>
          <a:ln>
            <a:noFill/>
          </a:ln>
          <a:effectLst/>
        </c:spPr>
      </c:pivotFmt>
      <c:pivotFmt>
        <c:idx val="32"/>
        <c:spPr>
          <a:solidFill>
            <a:schemeClr val="accent6">
              <a:lumMod val="75000"/>
            </a:schemeClr>
          </a:solidFill>
          <a:ln>
            <a:noFill/>
          </a:ln>
          <a:effectLst/>
        </c:spPr>
      </c:pivotFmt>
      <c:pivotFmt>
        <c:idx val="33"/>
        <c:spPr>
          <a:solidFill>
            <a:schemeClr val="accent6">
              <a:lumMod val="60000"/>
              <a:lumOff val="40000"/>
            </a:schemeClr>
          </a:solidFill>
          <a:ln>
            <a:noFill/>
          </a:ln>
          <a:effectLst/>
        </c:spPr>
      </c:pivotFmt>
      <c:pivotFmt>
        <c:idx val="34"/>
        <c:spPr>
          <a:solidFill>
            <a:schemeClr val="accent6">
              <a:lumMod val="60000"/>
              <a:lumOff val="40000"/>
            </a:schemeClr>
          </a:solidFill>
          <a:ln>
            <a:noFill/>
          </a:ln>
          <a:effectLst/>
        </c:spPr>
      </c:pivotFmt>
      <c:pivotFmt>
        <c:idx val="35"/>
        <c:spPr>
          <a:solidFill>
            <a:schemeClr val="accent6">
              <a:lumMod val="40000"/>
              <a:lumOff val="60000"/>
            </a:schemeClr>
          </a:solidFill>
          <a:ln>
            <a:noFill/>
          </a:ln>
          <a:effectLst/>
        </c:spPr>
      </c:pivotFmt>
      <c:pivotFmt>
        <c:idx val="36"/>
        <c:spPr>
          <a:solidFill>
            <a:schemeClr val="accent6">
              <a:lumMod val="40000"/>
              <a:lumOff val="60000"/>
            </a:schemeClr>
          </a:solidFill>
          <a:ln>
            <a:noFill/>
          </a:ln>
          <a:effectLst/>
        </c:spPr>
      </c:pivotFmt>
      <c:pivotFmt>
        <c:idx val="37"/>
        <c:spPr>
          <a:solidFill>
            <a:schemeClr val="accent6">
              <a:lumMod val="50000"/>
            </a:schemeClr>
          </a:solidFill>
          <a:ln>
            <a:noFill/>
          </a:ln>
          <a:effectLst/>
        </c:spPr>
      </c:pivotFmt>
      <c:pivotFmt>
        <c:idx val="38"/>
        <c:spPr>
          <a:solidFill>
            <a:schemeClr val="accent6">
              <a:lumMod val="75000"/>
            </a:schemeClr>
          </a:solidFill>
          <a:ln>
            <a:noFill/>
          </a:ln>
          <a:effectLst/>
        </c:spPr>
      </c:pivotFmt>
      <c:pivotFmt>
        <c:idx val="39"/>
        <c:spPr>
          <a:solidFill>
            <a:schemeClr val="accent6">
              <a:lumMod val="75000"/>
            </a:schemeClr>
          </a:solidFill>
          <a:ln>
            <a:noFill/>
          </a:ln>
          <a:effectLst/>
        </c:spPr>
      </c:pivotFmt>
      <c:pivotFmt>
        <c:idx val="40"/>
        <c:spPr>
          <a:solidFill>
            <a:schemeClr val="accent6">
              <a:lumMod val="60000"/>
              <a:lumOff val="40000"/>
            </a:schemeClr>
          </a:solidFill>
          <a:ln>
            <a:noFill/>
          </a:ln>
          <a:effectLst/>
        </c:spPr>
      </c:pivotFmt>
      <c:pivotFmt>
        <c:idx val="41"/>
        <c:spPr>
          <a:solidFill>
            <a:schemeClr val="accent6">
              <a:lumMod val="60000"/>
              <a:lumOff val="40000"/>
            </a:schemeClr>
          </a:solidFill>
          <a:ln>
            <a:noFill/>
          </a:ln>
          <a:effectLst/>
        </c:spPr>
      </c:pivotFmt>
      <c:pivotFmt>
        <c:idx val="42"/>
        <c:spPr>
          <a:solidFill>
            <a:schemeClr val="accent6">
              <a:lumMod val="40000"/>
              <a:lumOff val="60000"/>
            </a:schemeClr>
          </a:solidFill>
          <a:ln>
            <a:noFill/>
          </a:ln>
          <a:effectLst/>
        </c:spPr>
      </c:pivotFmt>
      <c:pivotFmt>
        <c:idx val="43"/>
        <c:spPr>
          <a:solidFill>
            <a:schemeClr val="accent6">
              <a:lumMod val="20000"/>
              <a:lumOff val="80000"/>
            </a:schemeClr>
          </a:solidFill>
          <a:ln>
            <a:noFill/>
          </a:ln>
          <a:effectLst/>
        </c:spPr>
      </c:pivotFmt>
      <c:pivotFmt>
        <c:idx val="44"/>
        <c:spPr>
          <a:solidFill>
            <a:schemeClr val="accent6">
              <a:lumMod val="20000"/>
              <a:lumOff val="80000"/>
            </a:schemeClr>
          </a:solidFill>
          <a:ln>
            <a:noFill/>
          </a:ln>
          <a:effectLst/>
        </c:spP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lumMod val="50000"/>
            </a:schemeClr>
          </a:solidFill>
          <a:ln>
            <a:noFill/>
          </a:ln>
          <a:effectLst/>
        </c:spPr>
      </c:pivotFmt>
      <c:pivotFmt>
        <c:idx val="47"/>
        <c:spPr>
          <a:solidFill>
            <a:schemeClr val="accent6">
              <a:lumMod val="75000"/>
            </a:schemeClr>
          </a:solidFill>
          <a:ln>
            <a:noFill/>
          </a:ln>
          <a:effectLst/>
        </c:spPr>
      </c:pivotFmt>
      <c:pivotFmt>
        <c:idx val="48"/>
        <c:spPr>
          <a:solidFill>
            <a:schemeClr val="accent6">
              <a:lumMod val="75000"/>
            </a:schemeClr>
          </a:solidFill>
          <a:ln>
            <a:noFill/>
          </a:ln>
          <a:effectLst/>
        </c:spPr>
      </c:pivotFmt>
      <c:pivotFmt>
        <c:idx val="49"/>
        <c:spPr>
          <a:solidFill>
            <a:schemeClr val="accent6">
              <a:lumMod val="60000"/>
              <a:lumOff val="40000"/>
            </a:schemeClr>
          </a:solidFill>
          <a:ln>
            <a:noFill/>
          </a:ln>
          <a:effectLst/>
        </c:spPr>
      </c:pivotFmt>
      <c:pivotFmt>
        <c:idx val="50"/>
        <c:spPr>
          <a:solidFill>
            <a:schemeClr val="accent6">
              <a:lumMod val="60000"/>
              <a:lumOff val="40000"/>
            </a:schemeClr>
          </a:solidFill>
          <a:ln>
            <a:noFill/>
          </a:ln>
          <a:effectLst/>
        </c:spPr>
      </c:pivotFmt>
      <c:pivotFmt>
        <c:idx val="51"/>
        <c:spPr>
          <a:solidFill>
            <a:schemeClr val="accent6">
              <a:lumMod val="60000"/>
              <a:lumOff val="40000"/>
            </a:schemeClr>
          </a:solidFill>
          <a:ln>
            <a:noFill/>
          </a:ln>
          <a:effectLst/>
        </c:spPr>
      </c:pivotFmt>
      <c:pivotFmt>
        <c:idx val="52"/>
        <c:spPr>
          <a:solidFill>
            <a:schemeClr val="accent6">
              <a:lumMod val="40000"/>
              <a:lumOff val="60000"/>
            </a:schemeClr>
          </a:solidFill>
          <a:ln>
            <a:noFill/>
          </a:ln>
          <a:effectLst/>
        </c:spPr>
      </c:pivotFmt>
      <c:pivotFmt>
        <c:idx val="53"/>
        <c:spPr>
          <a:solidFill>
            <a:schemeClr val="accent6">
              <a:lumMod val="40000"/>
              <a:lumOff val="60000"/>
            </a:schemeClr>
          </a:solidFill>
          <a:ln>
            <a:noFill/>
          </a:ln>
          <a:effectLst/>
        </c:spPr>
      </c:pivotFmt>
      <c:pivotFmt>
        <c:idx val="54"/>
        <c:spPr>
          <a:solidFill>
            <a:schemeClr val="accent6">
              <a:lumMod val="20000"/>
              <a:lumOff val="80000"/>
            </a:schemeClr>
          </a:solidFill>
          <a:ln>
            <a:noFill/>
          </a:ln>
          <a:effectLst/>
        </c:spPr>
      </c:pivotFmt>
      <c:pivotFmt>
        <c:idx val="55"/>
        <c:spPr>
          <a:solidFill>
            <a:schemeClr val="accent6">
              <a:lumMod val="20000"/>
              <a:lumOff val="80000"/>
            </a:schemeClr>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100" b="0" i="0" u="none" strike="noStrike" kern="1200" baseline="0">
                  <a:solidFill>
                    <a:srgbClr val="2683C6">
                      <a:lumMod val="50000"/>
                    </a:srgb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50000"/>
            </a:schemeClr>
          </a:solidFill>
          <a:ln>
            <a:noFill/>
          </a:ln>
          <a:effectLst/>
        </c:spPr>
      </c:pivotFmt>
      <c:pivotFmt>
        <c:idx val="58"/>
        <c:spPr>
          <a:solidFill>
            <a:schemeClr val="accent6">
              <a:lumMod val="75000"/>
            </a:schemeClr>
          </a:solidFill>
          <a:ln>
            <a:noFill/>
          </a:ln>
          <a:effectLst/>
        </c:spPr>
      </c:pivotFmt>
      <c:pivotFmt>
        <c:idx val="59"/>
        <c:spPr>
          <a:solidFill>
            <a:schemeClr val="accent6">
              <a:lumMod val="75000"/>
            </a:schemeClr>
          </a:solidFill>
          <a:ln>
            <a:noFill/>
          </a:ln>
          <a:effectLst/>
        </c:spPr>
      </c:pivotFmt>
      <c:pivotFmt>
        <c:idx val="60"/>
        <c:spPr>
          <a:solidFill>
            <a:schemeClr val="accent6">
              <a:lumMod val="60000"/>
              <a:lumOff val="40000"/>
            </a:schemeClr>
          </a:solidFill>
          <a:ln>
            <a:noFill/>
          </a:ln>
          <a:effectLst/>
        </c:spPr>
      </c:pivotFmt>
      <c:pivotFmt>
        <c:idx val="61"/>
        <c:spPr>
          <a:solidFill>
            <a:schemeClr val="accent6">
              <a:lumMod val="60000"/>
              <a:lumOff val="40000"/>
            </a:schemeClr>
          </a:solidFill>
          <a:ln>
            <a:noFill/>
          </a:ln>
          <a:effectLst/>
        </c:spPr>
      </c:pivotFmt>
      <c:pivotFmt>
        <c:idx val="62"/>
        <c:spPr>
          <a:solidFill>
            <a:schemeClr val="accent6">
              <a:lumMod val="60000"/>
              <a:lumOff val="40000"/>
            </a:schemeClr>
          </a:solidFill>
          <a:ln>
            <a:noFill/>
          </a:ln>
          <a:effectLst/>
        </c:spPr>
      </c:pivotFmt>
      <c:pivotFmt>
        <c:idx val="63"/>
        <c:spPr>
          <a:solidFill>
            <a:schemeClr val="accent6">
              <a:lumMod val="40000"/>
              <a:lumOff val="60000"/>
            </a:schemeClr>
          </a:solidFill>
          <a:ln>
            <a:noFill/>
          </a:ln>
          <a:effectLst/>
        </c:spPr>
      </c:pivotFmt>
      <c:pivotFmt>
        <c:idx val="64"/>
        <c:spPr>
          <a:solidFill>
            <a:schemeClr val="accent6">
              <a:lumMod val="40000"/>
              <a:lumOff val="60000"/>
            </a:schemeClr>
          </a:solidFill>
          <a:ln>
            <a:noFill/>
          </a:ln>
          <a:effectLst/>
        </c:spPr>
      </c:pivotFmt>
      <c:pivotFmt>
        <c:idx val="65"/>
        <c:spPr>
          <a:solidFill>
            <a:schemeClr val="accent6">
              <a:lumMod val="20000"/>
              <a:lumOff val="80000"/>
            </a:schemeClr>
          </a:solidFill>
          <a:ln>
            <a:noFill/>
          </a:ln>
          <a:effectLst/>
        </c:spPr>
      </c:pivotFmt>
      <c:pivotFmt>
        <c:idx val="66"/>
        <c:spPr>
          <a:solidFill>
            <a:schemeClr val="accent6">
              <a:lumMod val="20000"/>
              <a:lumOff val="80000"/>
            </a:schemeClr>
          </a:solidFill>
          <a:ln>
            <a:noFill/>
          </a:ln>
          <a:effectLst/>
        </c:spPr>
      </c:pivotFmt>
    </c:pivotFmts>
    <c:plotArea>
      <c:layout>
        <c:manualLayout>
          <c:layoutTarget val="inner"/>
          <c:xMode val="edge"/>
          <c:yMode val="edge"/>
          <c:x val="6.5493521741613422E-2"/>
          <c:y val="0.1144517844360364"/>
          <c:w val="0.93450647825838662"/>
          <c:h val="0.59413886900501078"/>
        </c:manualLayout>
      </c:layout>
      <c:barChart>
        <c:barDir val="col"/>
        <c:grouping val="clustered"/>
        <c:varyColors val="0"/>
        <c:ser>
          <c:idx val="0"/>
          <c:order val="0"/>
          <c:tx>
            <c:strRef>
              <c:f>'Country by living cost index'!$B$3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F849-4F59-8A8C-6D37C5284597}"/>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F849-4F59-8A8C-6D37C5284597}"/>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F849-4F59-8A8C-6D37C5284597}"/>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F849-4F59-8A8C-6D37C5284597}"/>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F849-4F59-8A8C-6D37C5284597}"/>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B-F849-4F59-8A8C-6D37C5284597}"/>
              </c:ext>
            </c:extLst>
          </c:dPt>
          <c:dPt>
            <c:idx val="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D-F849-4F59-8A8C-6D37C5284597}"/>
              </c:ext>
            </c:extLst>
          </c:dPt>
          <c:dPt>
            <c:idx val="7"/>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F-F849-4F59-8A8C-6D37C5284597}"/>
              </c:ext>
            </c:extLst>
          </c:dPt>
          <c:dPt>
            <c:idx val="8"/>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1-F849-4F59-8A8C-6D37C5284597}"/>
              </c:ext>
            </c:extLst>
          </c:dPt>
          <c:dPt>
            <c:idx val="9"/>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3-F849-4F59-8A8C-6D37C5284597}"/>
              </c:ext>
            </c:extLst>
          </c:dPt>
          <c:dLbls>
            <c:spPr>
              <a:noFill/>
              <a:ln>
                <a:noFill/>
              </a:ln>
              <a:effectLst/>
            </c:spPr>
            <c:txPr>
              <a:bodyPr rot="0" spcFirstLastPara="1" vertOverflow="ellipsis" vert="horz" wrap="square" lIns="38100" tIns="19050" rIns="38100" bIns="19050" anchor="ctr" anchorCtr="0">
                <a:spAutoFit/>
              </a:bodyPr>
              <a:lstStyle/>
              <a:p>
                <a:pPr algn="ctr" rtl="0">
                  <a:defRPr lang="en-US" sz="1100" b="0" i="0" u="none" strike="noStrike" kern="1200" baseline="0">
                    <a:solidFill>
                      <a:srgbClr val="2683C6">
                        <a:lumMod val="50000"/>
                      </a:srgb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by living cost index'!$A$4:$A$14</c:f>
              <c:strCache>
                <c:ptCount val="10"/>
                <c:pt idx="0">
                  <c:v>Switzerland</c:v>
                </c:pt>
                <c:pt idx="1">
                  <c:v>Singapore</c:v>
                </c:pt>
                <c:pt idx="2">
                  <c:v>Iceland</c:v>
                </c:pt>
                <c:pt idx="3">
                  <c:v>Luxembourg</c:v>
                </c:pt>
                <c:pt idx="4">
                  <c:v>Hong Kong</c:v>
                </c:pt>
                <c:pt idx="5">
                  <c:v>USA</c:v>
                </c:pt>
                <c:pt idx="6">
                  <c:v>Israel</c:v>
                </c:pt>
                <c:pt idx="7">
                  <c:v>South Korea</c:v>
                </c:pt>
                <c:pt idx="8">
                  <c:v>Denmark</c:v>
                </c:pt>
                <c:pt idx="9">
                  <c:v>New Zealand</c:v>
                </c:pt>
              </c:strCache>
            </c:strRef>
          </c:cat>
          <c:val>
            <c:numRef>
              <c:f>'Country by living cost index'!$B$4:$B$14</c:f>
              <c:numCache>
                <c:formatCode>0.00</c:formatCode>
                <c:ptCount val="10"/>
                <c:pt idx="0">
                  <c:v>97.820000000000007</c:v>
                </c:pt>
                <c:pt idx="1">
                  <c:v>82.022222222222211</c:v>
                </c:pt>
                <c:pt idx="2">
                  <c:v>81.75</c:v>
                </c:pt>
                <c:pt idx="3">
                  <c:v>78.900000000000006</c:v>
                </c:pt>
                <c:pt idx="4">
                  <c:v>78.599999999999994</c:v>
                </c:pt>
                <c:pt idx="5">
                  <c:v>77.796153846153871</c:v>
                </c:pt>
                <c:pt idx="6">
                  <c:v>76.2</c:v>
                </c:pt>
                <c:pt idx="7">
                  <c:v>74.752173913043492</c:v>
                </c:pt>
                <c:pt idx="8">
                  <c:v>73.72</c:v>
                </c:pt>
                <c:pt idx="9">
                  <c:v>72.86666666666666</c:v>
                </c:pt>
              </c:numCache>
            </c:numRef>
          </c:val>
          <c:extLst>
            <c:ext xmlns:c16="http://schemas.microsoft.com/office/drawing/2014/chart" uri="{C3380CC4-5D6E-409C-BE32-E72D297353CC}">
              <c16:uniqueId val="{00000014-F849-4F59-8A8C-6D37C5284597}"/>
            </c:ext>
          </c:extLst>
        </c:ser>
        <c:dLbls>
          <c:dLblPos val="outEnd"/>
          <c:showLegendKey val="0"/>
          <c:showVal val="1"/>
          <c:showCatName val="0"/>
          <c:showSerName val="0"/>
          <c:showPercent val="0"/>
          <c:showBubbleSize val="0"/>
        </c:dLbls>
        <c:gapWidth val="20"/>
        <c:axId val="1976617055"/>
        <c:axId val="1976616575"/>
      </c:barChart>
      <c:catAx>
        <c:axId val="1976617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6">
                    <a:lumMod val="50000"/>
                  </a:schemeClr>
                </a:solidFill>
                <a:latin typeface="Georgia" panose="02040502050405020303" pitchFamily="18" charset="0"/>
                <a:ea typeface="+mn-ea"/>
                <a:cs typeface="+mn-cs"/>
              </a:defRPr>
            </a:pPr>
            <a:endParaRPr lang="en-NG"/>
          </a:p>
        </c:txPr>
        <c:crossAx val="1976616575"/>
        <c:crosses val="autoZero"/>
        <c:auto val="1"/>
        <c:lblAlgn val="ctr"/>
        <c:lblOffset val="100"/>
        <c:noMultiLvlLbl val="0"/>
      </c:catAx>
      <c:valAx>
        <c:axId val="1976616575"/>
        <c:scaling>
          <c:orientation val="minMax"/>
        </c:scaling>
        <c:delete val="1"/>
        <c:axPos val="l"/>
        <c:numFmt formatCode="0.00" sourceLinked="1"/>
        <c:majorTickMark val="none"/>
        <c:minorTickMark val="none"/>
        <c:tickLblPos val="nextTo"/>
        <c:crossAx val="197661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 (version 3).xlsx]Rent &amp; Insurance By Country!PivotTable1</c:name>
    <c:fmtId val="24"/>
  </c:pivotSource>
  <c:chart>
    <c:autoTitleDeleted val="0"/>
    <c:pivotFmts>
      <c:pivotFmt>
        <c:idx val="0"/>
        <c:spPr>
          <a:solidFill>
            <a:schemeClr val="accent6">
              <a:lumMod val="50000"/>
            </a:schemeClr>
          </a:solidFill>
          <a:ln>
            <a:noFill/>
          </a:ln>
          <a:effectLst/>
        </c:spPr>
        <c:marker>
          <c:symbol val="diamond"/>
          <c:size val="7"/>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41275" cap="rnd">
            <a:solidFill>
              <a:schemeClr val="accent6">
                <a:lumMod val="60000"/>
                <a:lumOff val="40000"/>
              </a:schemeClr>
            </a:solidFill>
            <a:round/>
          </a:ln>
          <a:effectLst/>
        </c:spPr>
        <c:marker>
          <c:symbol val="diamond"/>
          <c:size val="7"/>
          <c:spPr>
            <a:solidFill>
              <a:schemeClr val="bg1"/>
            </a:solidFill>
            <a:ln w="19050">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pivotFmt>
      <c:pivotFmt>
        <c:idx val="3"/>
        <c:spPr>
          <a:solidFill>
            <a:schemeClr val="accent6">
              <a:lumMod val="50000"/>
            </a:schemeClr>
          </a:solidFill>
          <a:ln>
            <a:noFill/>
          </a:ln>
          <a:effectLst/>
        </c:spPr>
      </c:pivotFmt>
      <c:pivotFmt>
        <c:idx val="4"/>
        <c:spPr>
          <a:solidFill>
            <a:schemeClr val="accent6">
              <a:lumMod val="50000"/>
            </a:schemeClr>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41275" cap="rnd">
            <a:solidFill>
              <a:schemeClr val="accent6">
                <a:lumMod val="60000"/>
                <a:lumOff val="40000"/>
              </a:schemeClr>
            </a:solidFill>
            <a:round/>
          </a:ln>
          <a:effectLst/>
        </c:spPr>
        <c:marker>
          <c:symbol val="diamond"/>
          <c:size val="7"/>
          <c:spPr>
            <a:solidFill>
              <a:schemeClr val="bg1"/>
            </a:solidFill>
            <a:ln w="19050">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bg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412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28761111892756"/>
          <c:y val="0.17976854821355073"/>
          <c:w val="0.71241027967437742"/>
          <c:h val="0.761865560817513"/>
        </c:manualLayout>
      </c:layout>
      <c:barChart>
        <c:barDir val="bar"/>
        <c:grouping val="percentStacked"/>
        <c:varyColors val="0"/>
        <c:ser>
          <c:idx val="0"/>
          <c:order val="0"/>
          <c:tx>
            <c:strRef>
              <c:f>'Rent &amp; Insurance By Country'!$B$3</c:f>
              <c:strCache>
                <c:ptCount val="1"/>
                <c:pt idx="0">
                  <c:v>Average of Rent_USD</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bg1"/>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'Rent &amp; Insurance By Country'!$A$4:$A$9</c:f>
              <c:strCache>
                <c:ptCount val="5"/>
                <c:pt idx="0">
                  <c:v>New York</c:v>
                </c:pt>
                <c:pt idx="1">
                  <c:v>San Francisco</c:v>
                </c:pt>
                <c:pt idx="2">
                  <c:v>Stanford</c:v>
                </c:pt>
                <c:pt idx="3">
                  <c:v>Los Angeles</c:v>
                </c:pt>
                <c:pt idx="4">
                  <c:v>Boston</c:v>
                </c:pt>
              </c:strCache>
            </c:strRef>
          </c:cat>
          <c:val>
            <c:numRef>
              <c:f>'Rent &amp; Insurance By Country'!$B$4:$B$9</c:f>
              <c:numCache>
                <c:formatCode>[$$-409]#,##0</c:formatCode>
                <c:ptCount val="5"/>
                <c:pt idx="0">
                  <c:v>2500</c:v>
                </c:pt>
                <c:pt idx="1">
                  <c:v>2400</c:v>
                </c:pt>
                <c:pt idx="2">
                  <c:v>2325</c:v>
                </c:pt>
                <c:pt idx="3">
                  <c:v>2200</c:v>
                </c:pt>
                <c:pt idx="4">
                  <c:v>2140</c:v>
                </c:pt>
              </c:numCache>
            </c:numRef>
          </c:val>
          <c:extLst>
            <c:ext xmlns:c16="http://schemas.microsoft.com/office/drawing/2014/chart" uri="{C3380CC4-5D6E-409C-BE32-E72D297353CC}">
              <c16:uniqueId val="{00000000-2D10-4199-AA3E-8D8A80CE9791}"/>
            </c:ext>
          </c:extLst>
        </c:ser>
        <c:ser>
          <c:idx val="1"/>
          <c:order val="1"/>
          <c:tx>
            <c:strRef>
              <c:f>'Rent &amp; Insurance By Country'!$C$3</c:f>
              <c:strCache>
                <c:ptCount val="1"/>
                <c:pt idx="0">
                  <c:v>Average of Insurance_USD</c:v>
                </c:pt>
              </c:strCache>
            </c:strRef>
          </c:tx>
          <c:spPr>
            <a:solidFill>
              <a:schemeClr val="accent6">
                <a:lumMod val="75000"/>
              </a:schemeClr>
            </a:solidFill>
            <a:ln w="41275">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'Rent &amp; Insurance By Country'!$A$4:$A$9</c:f>
              <c:strCache>
                <c:ptCount val="5"/>
                <c:pt idx="0">
                  <c:v>New York</c:v>
                </c:pt>
                <c:pt idx="1">
                  <c:v>San Francisco</c:v>
                </c:pt>
                <c:pt idx="2">
                  <c:v>Stanford</c:v>
                </c:pt>
                <c:pt idx="3">
                  <c:v>Los Angeles</c:v>
                </c:pt>
                <c:pt idx="4">
                  <c:v>Boston</c:v>
                </c:pt>
              </c:strCache>
            </c:strRef>
          </c:cat>
          <c:val>
            <c:numRef>
              <c:f>'Rent &amp; Insurance By Country'!$C$4:$C$9</c:f>
              <c:numCache>
                <c:formatCode>[$$-409]#,##0</c:formatCode>
                <c:ptCount val="5"/>
                <c:pt idx="0">
                  <c:v>1500</c:v>
                </c:pt>
                <c:pt idx="1">
                  <c:v>1500</c:v>
                </c:pt>
                <c:pt idx="2">
                  <c:v>1500</c:v>
                </c:pt>
                <c:pt idx="3">
                  <c:v>1500</c:v>
                </c:pt>
                <c:pt idx="4">
                  <c:v>1500</c:v>
                </c:pt>
              </c:numCache>
            </c:numRef>
          </c:val>
          <c:extLst>
            <c:ext xmlns:c16="http://schemas.microsoft.com/office/drawing/2014/chart" uri="{C3380CC4-5D6E-409C-BE32-E72D297353CC}">
              <c16:uniqueId val="{00000001-2D10-4199-AA3E-8D8A80CE9791}"/>
            </c:ext>
          </c:extLst>
        </c:ser>
        <c:dLbls>
          <c:showLegendKey val="0"/>
          <c:showVal val="1"/>
          <c:showCatName val="0"/>
          <c:showSerName val="0"/>
          <c:showPercent val="0"/>
          <c:showBubbleSize val="0"/>
        </c:dLbls>
        <c:gapWidth val="20"/>
        <c:overlap val="100"/>
        <c:axId val="554197119"/>
        <c:axId val="554197599"/>
      </c:barChart>
      <c:catAx>
        <c:axId val="554197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100" b="0" i="0" u="none" strike="noStrike" kern="1200" baseline="0">
                <a:solidFill>
                  <a:srgbClr val="2683C6">
                    <a:lumMod val="50000"/>
                  </a:srgbClr>
                </a:solidFill>
                <a:latin typeface="Georgia" panose="02040502050405020303" pitchFamily="18" charset="0"/>
                <a:ea typeface="+mn-ea"/>
                <a:cs typeface="+mn-cs"/>
              </a:defRPr>
            </a:pPr>
            <a:endParaRPr lang="en-NG"/>
          </a:p>
        </c:txPr>
        <c:crossAx val="554197599"/>
        <c:crosses val="autoZero"/>
        <c:auto val="1"/>
        <c:lblAlgn val="ctr"/>
        <c:lblOffset val="100"/>
        <c:noMultiLvlLbl val="0"/>
      </c:catAx>
      <c:valAx>
        <c:axId val="554197599"/>
        <c:scaling>
          <c:orientation val="minMax"/>
        </c:scaling>
        <c:delete val="1"/>
        <c:axPos val="b"/>
        <c:numFmt formatCode="0%" sourceLinked="1"/>
        <c:majorTickMark val="none"/>
        <c:minorTickMark val="none"/>
        <c:tickLblPos val="nextTo"/>
        <c:crossAx val="554197119"/>
        <c:crosses val="autoZero"/>
        <c:crossBetween val="between"/>
      </c:valAx>
      <c:spPr>
        <a:noFill/>
        <a:ln>
          <a:noFill/>
        </a:ln>
        <a:effectLst/>
      </c:spPr>
    </c:plotArea>
    <c:legend>
      <c:legendPos val="t"/>
      <c:layout>
        <c:manualLayout>
          <c:xMode val="edge"/>
          <c:yMode val="edge"/>
          <c:x val="3.0824419779078231E-2"/>
          <c:y val="8.7962962962962965E-2"/>
          <c:w val="0.94263302307143748"/>
          <c:h val="9.3130834034221732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6">
                  <a:lumMod val="50000"/>
                </a:schemeClr>
              </a:solidFill>
              <a:latin typeface="Georgia" panose="02040502050405020303" pitchFamily="18" charset="0"/>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 (version 3).xlsx]Average Tuition fee By Living!PivotTable1</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a:solidFill>
                  <a:schemeClr val="accent6">
                    <a:lumMod val="50000"/>
                  </a:schemeClr>
                </a:solidFill>
                <a:latin typeface="Georgia" panose="02040502050405020303" pitchFamily="18" charset="0"/>
              </a:rPr>
              <a:t>Top</a:t>
            </a:r>
            <a:r>
              <a:rPr lang="en-US" sz="1100" b="1" baseline="0">
                <a:solidFill>
                  <a:schemeClr val="accent6">
                    <a:lumMod val="50000"/>
                  </a:schemeClr>
                </a:solidFill>
                <a:latin typeface="Georgia" panose="02040502050405020303" pitchFamily="18" charset="0"/>
              </a:rPr>
              <a:t> 6 Universities By Average Tuition and Average Living Cost</a:t>
            </a:r>
            <a:endParaRPr lang="en-NG" sz="1100" b="1">
              <a:solidFill>
                <a:schemeClr val="accent6">
                  <a:lumMod val="50000"/>
                </a:schemeClr>
              </a:solidFill>
              <a:latin typeface="Georgia" panose="02040502050405020303"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04069652583749"/>
          <c:y val="0.21701443569553805"/>
          <c:w val="0.75395930347416251"/>
          <c:h val="0.73205963837853605"/>
        </c:manualLayout>
      </c:layout>
      <c:barChart>
        <c:barDir val="bar"/>
        <c:grouping val="stacked"/>
        <c:varyColors val="0"/>
        <c:ser>
          <c:idx val="0"/>
          <c:order val="0"/>
          <c:tx>
            <c:strRef>
              <c:f>'Average Tuition fee By Living'!$B$3</c:f>
              <c:strCache>
                <c:ptCount val="1"/>
                <c:pt idx="0">
                  <c:v>Average of Tuition_USD</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Tuition fee By Living'!$A$4:$A$10</c:f>
              <c:strCache>
                <c:ptCount val="6"/>
                <c:pt idx="0">
                  <c:v>Columbia University</c:v>
                </c:pt>
                <c:pt idx="1">
                  <c:v>Harvard University</c:v>
                </c:pt>
                <c:pt idx="2">
                  <c:v>University of Chicago</c:v>
                </c:pt>
                <c:pt idx="3">
                  <c:v>Massachusetts</c:v>
                </c:pt>
                <c:pt idx="4">
                  <c:v>MIT</c:v>
                </c:pt>
                <c:pt idx="5">
                  <c:v>Yale University</c:v>
                </c:pt>
              </c:strCache>
            </c:strRef>
          </c:cat>
          <c:val>
            <c:numRef>
              <c:f>'Average Tuition fee By Living'!$B$4:$B$10</c:f>
              <c:numCache>
                <c:formatCode>[$$-409]#,##0</c:formatCode>
                <c:ptCount val="6"/>
                <c:pt idx="0">
                  <c:v>58933.333333333336</c:v>
                </c:pt>
                <c:pt idx="1">
                  <c:v>56700</c:v>
                </c:pt>
                <c:pt idx="2">
                  <c:v>56133.333333333336</c:v>
                </c:pt>
                <c:pt idx="3">
                  <c:v>56000</c:v>
                </c:pt>
                <c:pt idx="4">
                  <c:v>55866.666666666664</c:v>
                </c:pt>
                <c:pt idx="5">
                  <c:v>54500</c:v>
                </c:pt>
              </c:numCache>
            </c:numRef>
          </c:val>
          <c:extLst>
            <c:ext xmlns:c16="http://schemas.microsoft.com/office/drawing/2014/chart" uri="{C3380CC4-5D6E-409C-BE32-E72D297353CC}">
              <c16:uniqueId val="{00000000-53BE-45EB-A853-195179694CB8}"/>
            </c:ext>
          </c:extLst>
        </c:ser>
        <c:ser>
          <c:idx val="1"/>
          <c:order val="1"/>
          <c:tx>
            <c:strRef>
              <c:f>'Average Tuition fee By Living'!$C$3</c:f>
              <c:strCache>
                <c:ptCount val="1"/>
                <c:pt idx="0">
                  <c:v>Average of Annual_Estimated_Living_cost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Tuition fee By Living'!$A$4:$A$10</c:f>
              <c:strCache>
                <c:ptCount val="6"/>
                <c:pt idx="0">
                  <c:v>Columbia University</c:v>
                </c:pt>
                <c:pt idx="1">
                  <c:v>Harvard University</c:v>
                </c:pt>
                <c:pt idx="2">
                  <c:v>University of Chicago</c:v>
                </c:pt>
                <c:pt idx="3">
                  <c:v>Massachusetts</c:v>
                </c:pt>
                <c:pt idx="4">
                  <c:v>MIT</c:v>
                </c:pt>
                <c:pt idx="5">
                  <c:v>Yale University</c:v>
                </c:pt>
              </c:strCache>
            </c:strRef>
          </c:cat>
          <c:val>
            <c:numRef>
              <c:f>'Average Tuition fee By Living'!$C$4:$C$10</c:f>
              <c:numCache>
                <c:formatCode>[$$-409]#,##0</c:formatCode>
                <c:ptCount val="6"/>
                <c:pt idx="0">
                  <c:v>18004.866180048662</c:v>
                </c:pt>
                <c:pt idx="1">
                  <c:v>14908.02919708029</c:v>
                </c:pt>
                <c:pt idx="2">
                  <c:v>14830.008110300079</c:v>
                </c:pt>
                <c:pt idx="3">
                  <c:v>14781.99513381995</c:v>
                </c:pt>
                <c:pt idx="4">
                  <c:v>14932.035685320356</c:v>
                </c:pt>
                <c:pt idx="5">
                  <c:v>14367.883211678831</c:v>
                </c:pt>
              </c:numCache>
            </c:numRef>
          </c:val>
          <c:extLst>
            <c:ext xmlns:c16="http://schemas.microsoft.com/office/drawing/2014/chart" uri="{C3380CC4-5D6E-409C-BE32-E72D297353CC}">
              <c16:uniqueId val="{00000001-53BE-45EB-A853-195179694CB8}"/>
            </c:ext>
          </c:extLst>
        </c:ser>
        <c:dLbls>
          <c:dLblPos val="ctr"/>
          <c:showLegendKey val="0"/>
          <c:showVal val="1"/>
          <c:showCatName val="0"/>
          <c:showSerName val="0"/>
          <c:showPercent val="0"/>
          <c:showBubbleSize val="0"/>
        </c:dLbls>
        <c:gapWidth val="20"/>
        <c:overlap val="100"/>
        <c:axId val="1976617055"/>
        <c:axId val="1976616575"/>
      </c:barChart>
      <c:catAx>
        <c:axId val="197661705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976616575"/>
        <c:crosses val="autoZero"/>
        <c:auto val="1"/>
        <c:lblAlgn val="ctr"/>
        <c:lblOffset val="100"/>
        <c:noMultiLvlLbl val="0"/>
      </c:catAx>
      <c:valAx>
        <c:axId val="1976616575"/>
        <c:scaling>
          <c:orientation val="minMax"/>
        </c:scaling>
        <c:delete val="1"/>
        <c:axPos val="t"/>
        <c:numFmt formatCode="[$$-409]#,##0" sourceLinked="1"/>
        <c:majorTickMark val="none"/>
        <c:minorTickMark val="none"/>
        <c:tickLblPos val="nextTo"/>
        <c:crossAx val="1976617055"/>
        <c:crosses val="autoZero"/>
        <c:crossBetween val="between"/>
      </c:valAx>
      <c:spPr>
        <a:noFill/>
        <a:ln>
          <a:noFill/>
        </a:ln>
        <a:effectLst/>
      </c:spPr>
    </c:plotArea>
    <c:legend>
      <c:legendPos val="t"/>
      <c:layout>
        <c:manualLayout>
          <c:xMode val="edge"/>
          <c:yMode val="edge"/>
          <c:x val="0.10066228280604707"/>
          <c:y val="0.11574074074074074"/>
          <c:w val="0.77466505556957155"/>
          <c:h val="8.3717191601049873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 (version 3).xlsx]Top 10 programs by totalcost!PivotTable1</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a:solidFill>
                  <a:schemeClr val="accent6">
                    <a:lumMod val="50000"/>
                  </a:schemeClr>
                </a:solidFill>
                <a:latin typeface="Georgia" panose="02040502050405020303" pitchFamily="18" charset="0"/>
              </a:rPr>
              <a:t>Top</a:t>
            </a:r>
            <a:r>
              <a:rPr lang="en-US" sz="1100" b="1" baseline="0">
                <a:solidFill>
                  <a:schemeClr val="accent6">
                    <a:lumMod val="50000"/>
                  </a:schemeClr>
                </a:solidFill>
                <a:latin typeface="Georgia" panose="02040502050405020303" pitchFamily="18" charset="0"/>
              </a:rPr>
              <a:t> 10 Programs By Average Total Cost</a:t>
            </a:r>
            <a:endParaRPr lang="en-NG" sz="1100" b="1">
              <a:solidFill>
                <a:schemeClr val="accent6">
                  <a:lumMod val="50000"/>
                </a:schemeClr>
              </a:solidFill>
              <a:latin typeface="Georgia" panose="02040502050405020303"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1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manualLayout>
          <c:layoutTarget val="inner"/>
          <c:xMode val="edge"/>
          <c:yMode val="edge"/>
          <c:x val="0.26330391000671061"/>
          <c:y val="0.12541666666666668"/>
          <c:w val="0.73598046331165123"/>
          <c:h val="0.84680555555555559"/>
        </c:manualLayout>
      </c:layout>
      <c:barChart>
        <c:barDir val="bar"/>
        <c:grouping val="stacked"/>
        <c:varyColors val="0"/>
        <c:ser>
          <c:idx val="0"/>
          <c:order val="0"/>
          <c:tx>
            <c:strRef>
              <c:f>'Top 10 programs by totalcost'!$B$3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1608-4F7E-8A4E-EFB563024948}"/>
              </c:ext>
            </c:extLst>
          </c:dPt>
          <c:dPt>
            <c:idx val="1"/>
            <c:invertIfNegative val="0"/>
            <c:bubble3D val="0"/>
            <c:extLst>
              <c:ext xmlns:c16="http://schemas.microsoft.com/office/drawing/2014/chart" uri="{C3380CC4-5D6E-409C-BE32-E72D297353CC}">
                <c16:uniqueId val="{00000005-1608-4F7E-8A4E-EFB563024948}"/>
              </c:ext>
            </c:extLst>
          </c:dPt>
          <c:dPt>
            <c:idx val="2"/>
            <c:invertIfNegative val="0"/>
            <c:bubble3D val="0"/>
            <c:extLst>
              <c:ext xmlns:c16="http://schemas.microsoft.com/office/drawing/2014/chart" uri="{C3380CC4-5D6E-409C-BE32-E72D297353CC}">
                <c16:uniqueId val="{00000006-1608-4F7E-8A4E-EFB563024948}"/>
              </c:ext>
            </c:extLst>
          </c:dPt>
          <c:dPt>
            <c:idx val="3"/>
            <c:invertIfNegative val="0"/>
            <c:bubble3D val="0"/>
            <c:extLst>
              <c:ext xmlns:c16="http://schemas.microsoft.com/office/drawing/2014/chart" uri="{C3380CC4-5D6E-409C-BE32-E72D297353CC}">
                <c16:uniqueId val="{00000007-1608-4F7E-8A4E-EFB563024948}"/>
              </c:ext>
            </c:extLst>
          </c:dPt>
          <c:dPt>
            <c:idx val="4"/>
            <c:invertIfNegative val="0"/>
            <c:bubble3D val="0"/>
            <c:extLst>
              <c:ext xmlns:c16="http://schemas.microsoft.com/office/drawing/2014/chart" uri="{C3380CC4-5D6E-409C-BE32-E72D297353CC}">
                <c16:uniqueId val="{00000008-1608-4F7E-8A4E-EFB563024948}"/>
              </c:ext>
            </c:extLst>
          </c:dPt>
          <c:dPt>
            <c:idx val="5"/>
            <c:invertIfNegative val="0"/>
            <c:bubble3D val="0"/>
            <c:extLst>
              <c:ext xmlns:c16="http://schemas.microsoft.com/office/drawing/2014/chart" uri="{C3380CC4-5D6E-409C-BE32-E72D297353CC}">
                <c16:uniqueId val="{00000009-1608-4F7E-8A4E-EFB563024948}"/>
              </c:ext>
            </c:extLst>
          </c:dPt>
          <c:dPt>
            <c:idx val="6"/>
            <c:invertIfNegative val="0"/>
            <c:bubble3D val="0"/>
            <c:extLst>
              <c:ext xmlns:c16="http://schemas.microsoft.com/office/drawing/2014/chart" uri="{C3380CC4-5D6E-409C-BE32-E72D297353CC}">
                <c16:uniqueId val="{0000000A-1608-4F7E-8A4E-EFB563024948}"/>
              </c:ext>
            </c:extLst>
          </c:dPt>
          <c:dPt>
            <c:idx val="7"/>
            <c:invertIfNegative val="0"/>
            <c:bubble3D val="0"/>
            <c:extLst>
              <c:ext xmlns:c16="http://schemas.microsoft.com/office/drawing/2014/chart" uri="{C3380CC4-5D6E-409C-BE32-E72D297353CC}">
                <c16:uniqueId val="{0000000B-1608-4F7E-8A4E-EFB563024948}"/>
              </c:ext>
            </c:extLst>
          </c:dPt>
          <c:dPt>
            <c:idx val="8"/>
            <c:invertIfNegative val="0"/>
            <c:bubble3D val="0"/>
            <c:extLst>
              <c:ext xmlns:c16="http://schemas.microsoft.com/office/drawing/2014/chart" uri="{C3380CC4-5D6E-409C-BE32-E72D297353CC}">
                <c16:uniqueId val="{0000000C-1608-4F7E-8A4E-EFB563024948}"/>
              </c:ext>
            </c:extLst>
          </c:dPt>
          <c:dPt>
            <c:idx val="9"/>
            <c:invertIfNegative val="0"/>
            <c:bubble3D val="0"/>
            <c:extLst>
              <c:ext xmlns:c16="http://schemas.microsoft.com/office/drawing/2014/chart" uri="{C3380CC4-5D6E-409C-BE32-E72D297353CC}">
                <c16:uniqueId val="{0000000D-1608-4F7E-8A4E-EFB56302494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programs by totalcost'!$A$4:$A$14</c:f>
              <c:strCache>
                <c:ptCount val="10"/>
                <c:pt idx="0">
                  <c:v>Machine Learning</c:v>
                </c:pt>
                <c:pt idx="1">
                  <c:v>Chemical Engineering</c:v>
                </c:pt>
                <c:pt idx="2">
                  <c:v>Digital Systems &amp; AI</c:v>
                </c:pt>
                <c:pt idx="3">
                  <c:v>Economics</c:v>
                </c:pt>
                <c:pt idx="4">
                  <c:v>Data Science &amp; AI</c:v>
                </c:pt>
                <c:pt idx="5">
                  <c:v>Computing &amp; Innovation</c:v>
                </c:pt>
                <c:pt idx="6">
                  <c:v>Technology &amp; Innovation</c:v>
                </c:pt>
                <c:pt idx="7">
                  <c:v>Chemistry</c:v>
                </c:pt>
                <c:pt idx="8">
                  <c:v>Computer Science &amp; Design</c:v>
                </c:pt>
                <c:pt idx="9">
                  <c:v>Psychology</c:v>
                </c:pt>
              </c:strCache>
            </c:strRef>
          </c:cat>
          <c:val>
            <c:numRef>
              <c:f>'Top 10 programs by totalcost'!$B$4:$B$14</c:f>
              <c:numCache>
                <c:formatCode>[$$-409]#,##0</c:formatCode>
                <c:ptCount val="10"/>
                <c:pt idx="0">
                  <c:v>64179.46472019465</c:v>
                </c:pt>
                <c:pt idx="1">
                  <c:v>57195.523114355237</c:v>
                </c:pt>
                <c:pt idx="2">
                  <c:v>54891.946472019466</c:v>
                </c:pt>
                <c:pt idx="3">
                  <c:v>52412.891321978917</c:v>
                </c:pt>
                <c:pt idx="4">
                  <c:v>51891.946472019466</c:v>
                </c:pt>
                <c:pt idx="5">
                  <c:v>51191.946472019466</c:v>
                </c:pt>
                <c:pt idx="6">
                  <c:v>50791.946472019466</c:v>
                </c:pt>
                <c:pt idx="7">
                  <c:v>49894.053527980534</c:v>
                </c:pt>
                <c:pt idx="8">
                  <c:v>48191.946472019466</c:v>
                </c:pt>
                <c:pt idx="9">
                  <c:v>46854.46472019465</c:v>
                </c:pt>
              </c:numCache>
            </c:numRef>
          </c:val>
          <c:extLst>
            <c:ext xmlns:c16="http://schemas.microsoft.com/office/drawing/2014/chart" uri="{C3380CC4-5D6E-409C-BE32-E72D297353CC}">
              <c16:uniqueId val="{00000003-1608-4F7E-8A4E-EFB563024948}"/>
            </c:ext>
          </c:extLst>
        </c:ser>
        <c:dLbls>
          <c:dLblPos val="inEnd"/>
          <c:showLegendKey val="0"/>
          <c:showVal val="1"/>
          <c:showCatName val="0"/>
          <c:showSerName val="0"/>
          <c:showPercent val="0"/>
          <c:showBubbleSize val="0"/>
        </c:dLbls>
        <c:gapWidth val="20"/>
        <c:overlap val="100"/>
        <c:axId val="1976617055"/>
        <c:axId val="1976616575"/>
      </c:barChart>
      <c:catAx>
        <c:axId val="197661705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976616575"/>
        <c:crosses val="autoZero"/>
        <c:auto val="1"/>
        <c:lblAlgn val="ctr"/>
        <c:lblOffset val="100"/>
        <c:noMultiLvlLbl val="0"/>
      </c:catAx>
      <c:valAx>
        <c:axId val="1976616575"/>
        <c:scaling>
          <c:orientation val="minMax"/>
        </c:scaling>
        <c:delete val="1"/>
        <c:axPos val="t"/>
        <c:numFmt formatCode="[$$-409]#,##0" sourceLinked="1"/>
        <c:majorTickMark val="none"/>
        <c:minorTickMark val="none"/>
        <c:tickLblPos val="nextTo"/>
        <c:crossAx val="197661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 (version 3).xlsx]Country by living cost index!PivotTable1</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a:solidFill>
                  <a:schemeClr val="accent6">
                    <a:lumMod val="50000"/>
                  </a:schemeClr>
                </a:solidFill>
                <a:latin typeface="Georgia" panose="02040502050405020303" pitchFamily="18" charset="0"/>
              </a:rPr>
              <a:t>Top</a:t>
            </a:r>
            <a:r>
              <a:rPr lang="en-US" sz="1100" b="1" baseline="0">
                <a:solidFill>
                  <a:schemeClr val="accent6">
                    <a:lumMod val="50000"/>
                  </a:schemeClr>
                </a:solidFill>
                <a:latin typeface="Georgia" panose="02040502050405020303" pitchFamily="18" charset="0"/>
              </a:rPr>
              <a:t> 10 CountriesBy Average Living Index </a:t>
            </a:r>
            <a:endParaRPr lang="en-NG" sz="1100" b="1">
              <a:solidFill>
                <a:schemeClr val="accent6">
                  <a:lumMod val="50000"/>
                </a:schemeClr>
              </a:solidFill>
              <a:latin typeface="Georgia" panose="02040502050405020303"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5866655129647256"/>
          <c:y val="3.15848787659372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a:noFill/>
          </a:ln>
          <a:effectLst/>
        </c:spPr>
      </c:pivotFmt>
      <c:pivotFmt>
        <c:idx val="8"/>
        <c:spPr>
          <a:solidFill>
            <a:schemeClr val="accent6">
              <a:lumMod val="50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6">
              <a:lumMod val="20000"/>
              <a:lumOff val="8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67FC075C-2C51-48A3-B692-D91EB9ED40D6}"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6">
              <a:lumMod val="20000"/>
              <a:lumOff val="80000"/>
            </a:schemeClr>
          </a:solidFill>
          <a:ln>
            <a:no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2957798C-9B84-485A-B336-EAE0883D3434}"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6">
              <a:lumMod val="50000"/>
            </a:schemeClr>
          </a:solidFill>
          <a:ln>
            <a:noFill/>
          </a:ln>
          <a:effectLst/>
        </c:spPr>
      </c:pivotFmt>
      <c:pivotFmt>
        <c:idx val="19"/>
        <c:spPr>
          <a:solidFill>
            <a:schemeClr val="accent6">
              <a:lumMod val="50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75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60000"/>
              <a:lumOff val="4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67FC075C-2C51-48A3-B692-D91EB9ED40D6}"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6">
              <a:lumMod val="20000"/>
              <a:lumOff val="80000"/>
            </a:schemeClr>
          </a:solidFill>
          <a:ln>
            <a:no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2957798C-9B84-485A-B336-EAE0883D3434}"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a:noFill/>
          </a:ln>
          <a:effectLst/>
        </c:spPr>
      </c:pivotFmt>
      <c:pivotFmt>
        <c:idx val="30"/>
        <c:spPr>
          <a:solidFill>
            <a:schemeClr val="accent6">
              <a:lumMod val="50000"/>
            </a:schemeClr>
          </a:solidFill>
          <a:ln>
            <a:noFill/>
          </a:ln>
          <a:effectLst/>
        </c:spPr>
      </c:pivotFmt>
      <c:pivotFmt>
        <c:idx val="31"/>
        <c:spPr>
          <a:solidFill>
            <a:schemeClr val="accent1"/>
          </a:solidFill>
          <a:ln>
            <a:noFill/>
          </a:ln>
          <a:effectLst/>
        </c:spPr>
      </c:pivotFmt>
      <c:pivotFmt>
        <c:idx val="32"/>
        <c:spPr>
          <a:solidFill>
            <a:schemeClr val="accent6">
              <a:lumMod val="75000"/>
            </a:schemeClr>
          </a:solidFill>
          <a:ln>
            <a:noFill/>
          </a:ln>
          <a:effectLst/>
        </c:spPr>
      </c:pivotFmt>
      <c:pivotFmt>
        <c:idx val="33"/>
        <c:spPr>
          <a:solidFill>
            <a:schemeClr val="accent6">
              <a:lumMod val="60000"/>
              <a:lumOff val="40000"/>
            </a:schemeClr>
          </a:solidFill>
          <a:ln>
            <a:noFill/>
          </a:ln>
          <a:effectLst/>
        </c:spPr>
      </c:pivotFmt>
      <c:pivotFmt>
        <c:idx val="34"/>
        <c:spPr>
          <a:solidFill>
            <a:schemeClr val="accent6">
              <a:lumMod val="60000"/>
              <a:lumOff val="40000"/>
            </a:schemeClr>
          </a:solidFill>
          <a:ln>
            <a:noFill/>
          </a:ln>
          <a:effectLst/>
        </c:spPr>
      </c:pivotFmt>
      <c:pivotFmt>
        <c:idx val="35"/>
        <c:spPr>
          <a:solidFill>
            <a:schemeClr val="accent1"/>
          </a:solidFill>
          <a:ln>
            <a:noFill/>
          </a:ln>
          <a:effectLst/>
        </c:spPr>
      </c:pivotFmt>
      <c:pivotFmt>
        <c:idx val="36"/>
        <c:spPr>
          <a:solidFill>
            <a:schemeClr val="accent6">
              <a:lumMod val="40000"/>
              <a:lumOff val="60000"/>
            </a:schemeClr>
          </a:solidFill>
          <a:ln>
            <a:noFill/>
          </a:ln>
          <a:effectLst/>
        </c:spPr>
      </c:pivotFmt>
      <c:pivotFmt>
        <c:idx val="37"/>
        <c:spPr>
          <a:solidFill>
            <a:schemeClr val="accent6">
              <a:lumMod val="40000"/>
              <a:lumOff val="60000"/>
            </a:schemeClr>
          </a:solidFill>
          <a:ln>
            <a:noFill/>
          </a:ln>
          <a:effectLst/>
        </c:spPr>
      </c:pivotFmt>
      <c:pivotFmt>
        <c:idx val="38"/>
        <c:spPr>
          <a:solidFill>
            <a:schemeClr val="accent1"/>
          </a:solidFill>
          <a:ln>
            <a:noFill/>
          </a:ln>
          <a:effectLst/>
        </c:spPr>
      </c:pivotFmt>
      <c:pivotFmt>
        <c:idx val="39"/>
        <c:spPr>
          <a:solidFill>
            <a:schemeClr val="accent6">
              <a:lumMod val="50000"/>
            </a:schemeClr>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s>
    <c:plotArea>
      <c:layout>
        <c:manualLayout>
          <c:layoutTarget val="inner"/>
          <c:xMode val="edge"/>
          <c:yMode val="edge"/>
          <c:x val="2.0961005740333272E-2"/>
          <c:y val="0.12866615631379411"/>
          <c:w val="0.97156771107999496"/>
          <c:h val="0.65913859725867596"/>
        </c:manualLayout>
      </c:layout>
      <c:barChart>
        <c:barDir val="col"/>
        <c:grouping val="clustered"/>
        <c:varyColors val="0"/>
        <c:ser>
          <c:idx val="0"/>
          <c:order val="0"/>
          <c:tx>
            <c:strRef>
              <c:f>'Country by living cost index'!$B$3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7-86FE-4503-84B7-C1DCBB62E50B}"/>
              </c:ext>
            </c:extLst>
          </c:dPt>
          <c:dPt>
            <c:idx val="1"/>
            <c:invertIfNegative val="0"/>
            <c:bubble3D val="0"/>
            <c:extLst>
              <c:ext xmlns:c16="http://schemas.microsoft.com/office/drawing/2014/chart" uri="{C3380CC4-5D6E-409C-BE32-E72D297353CC}">
                <c16:uniqueId val="{00000018-86FE-4503-84B7-C1DCBB62E50B}"/>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19-86FE-4503-84B7-C1DCBB62E50B}"/>
              </c:ext>
            </c:extLst>
          </c:dPt>
          <c:dPt>
            <c:idx val="3"/>
            <c:invertIfNegative val="0"/>
            <c:bubble3D val="0"/>
            <c:extLst>
              <c:ext xmlns:c16="http://schemas.microsoft.com/office/drawing/2014/chart" uri="{C3380CC4-5D6E-409C-BE32-E72D297353CC}">
                <c16:uniqueId val="{0000001A-86FE-4503-84B7-C1DCBB62E50B}"/>
              </c:ext>
            </c:extLst>
          </c:dPt>
          <c:dPt>
            <c:idx val="4"/>
            <c:invertIfNegative val="0"/>
            <c:bubble3D val="0"/>
            <c:extLst>
              <c:ext xmlns:c16="http://schemas.microsoft.com/office/drawing/2014/chart" uri="{C3380CC4-5D6E-409C-BE32-E72D297353CC}">
                <c16:uniqueId val="{0000001B-86FE-4503-84B7-C1DCBB62E50B}"/>
              </c:ext>
            </c:extLst>
          </c:dPt>
          <c:dPt>
            <c:idx val="5"/>
            <c:invertIfNegative val="0"/>
            <c:bubble3D val="0"/>
            <c:extLst>
              <c:ext xmlns:c16="http://schemas.microsoft.com/office/drawing/2014/chart" uri="{C3380CC4-5D6E-409C-BE32-E72D297353CC}">
                <c16:uniqueId val="{0000001C-86FE-4503-84B7-C1DCBB62E50B}"/>
              </c:ext>
            </c:extLst>
          </c:dPt>
          <c:dPt>
            <c:idx val="6"/>
            <c:invertIfNegative val="0"/>
            <c:bubble3D val="0"/>
            <c:extLst>
              <c:ext xmlns:c16="http://schemas.microsoft.com/office/drawing/2014/chart" uri="{C3380CC4-5D6E-409C-BE32-E72D297353CC}">
                <c16:uniqueId val="{0000001D-86FE-4503-84B7-C1DCBB62E50B}"/>
              </c:ext>
            </c:extLst>
          </c:dPt>
          <c:dPt>
            <c:idx val="7"/>
            <c:invertIfNegative val="0"/>
            <c:bubble3D val="0"/>
            <c:extLst>
              <c:ext xmlns:c16="http://schemas.microsoft.com/office/drawing/2014/chart" uri="{C3380CC4-5D6E-409C-BE32-E72D297353CC}">
                <c16:uniqueId val="{0000001E-86FE-4503-84B7-C1DCBB62E50B}"/>
              </c:ext>
            </c:extLst>
          </c:dPt>
          <c:dPt>
            <c:idx val="8"/>
            <c:invertIfNegative val="0"/>
            <c:bubble3D val="0"/>
            <c:extLst>
              <c:ext xmlns:c16="http://schemas.microsoft.com/office/drawing/2014/chart" uri="{C3380CC4-5D6E-409C-BE32-E72D297353CC}">
                <c16:uniqueId val="{0000001F-86FE-4503-84B7-C1DCBB62E50B}"/>
              </c:ext>
            </c:extLst>
          </c:dPt>
          <c:dPt>
            <c:idx val="9"/>
            <c:invertIfNegative val="0"/>
            <c:bubble3D val="0"/>
            <c:extLst>
              <c:ext xmlns:c16="http://schemas.microsoft.com/office/drawing/2014/chart" uri="{C3380CC4-5D6E-409C-BE32-E72D297353CC}">
                <c16:uniqueId val="{00000020-86FE-4503-84B7-C1DCBB62E50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by living cost index'!$A$4:$A$14</c:f>
              <c:strCache>
                <c:ptCount val="10"/>
                <c:pt idx="0">
                  <c:v>Switzerland</c:v>
                </c:pt>
                <c:pt idx="1">
                  <c:v>Singapore</c:v>
                </c:pt>
                <c:pt idx="2">
                  <c:v>Iceland</c:v>
                </c:pt>
                <c:pt idx="3">
                  <c:v>Luxembourg</c:v>
                </c:pt>
                <c:pt idx="4">
                  <c:v>Hong Kong</c:v>
                </c:pt>
                <c:pt idx="5">
                  <c:v>USA</c:v>
                </c:pt>
                <c:pt idx="6">
                  <c:v>Israel</c:v>
                </c:pt>
                <c:pt idx="7">
                  <c:v>South Korea</c:v>
                </c:pt>
                <c:pt idx="8">
                  <c:v>Denmark</c:v>
                </c:pt>
                <c:pt idx="9">
                  <c:v>New Zealand</c:v>
                </c:pt>
              </c:strCache>
            </c:strRef>
          </c:cat>
          <c:val>
            <c:numRef>
              <c:f>'Country by living cost index'!$B$4:$B$14</c:f>
              <c:numCache>
                <c:formatCode>0.00</c:formatCode>
                <c:ptCount val="10"/>
                <c:pt idx="0">
                  <c:v>97.820000000000007</c:v>
                </c:pt>
                <c:pt idx="1">
                  <c:v>82.022222222222211</c:v>
                </c:pt>
                <c:pt idx="2">
                  <c:v>81.75</c:v>
                </c:pt>
                <c:pt idx="3">
                  <c:v>78.900000000000006</c:v>
                </c:pt>
                <c:pt idx="4">
                  <c:v>78.599999999999994</c:v>
                </c:pt>
                <c:pt idx="5">
                  <c:v>77.796153846153871</c:v>
                </c:pt>
                <c:pt idx="6">
                  <c:v>76.2</c:v>
                </c:pt>
                <c:pt idx="7">
                  <c:v>74.752173913043492</c:v>
                </c:pt>
                <c:pt idx="8">
                  <c:v>73.72</c:v>
                </c:pt>
                <c:pt idx="9">
                  <c:v>72.86666666666666</c:v>
                </c:pt>
              </c:numCache>
            </c:numRef>
          </c:val>
          <c:extLst>
            <c:ext xmlns:c16="http://schemas.microsoft.com/office/drawing/2014/chart" uri="{C3380CC4-5D6E-409C-BE32-E72D297353CC}">
              <c16:uniqueId val="{00000015-86FE-4503-84B7-C1DCBB62E50B}"/>
            </c:ext>
          </c:extLst>
        </c:ser>
        <c:dLbls>
          <c:dLblPos val="outEnd"/>
          <c:showLegendKey val="0"/>
          <c:showVal val="1"/>
          <c:showCatName val="0"/>
          <c:showSerName val="0"/>
          <c:showPercent val="0"/>
          <c:showBubbleSize val="0"/>
        </c:dLbls>
        <c:gapWidth val="20"/>
        <c:axId val="1976617055"/>
        <c:axId val="1976616575"/>
      </c:barChart>
      <c:catAx>
        <c:axId val="1976617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976616575"/>
        <c:crosses val="autoZero"/>
        <c:auto val="1"/>
        <c:lblAlgn val="ctr"/>
        <c:lblOffset val="100"/>
        <c:noMultiLvlLbl val="0"/>
      </c:catAx>
      <c:valAx>
        <c:axId val="1976616575"/>
        <c:scaling>
          <c:orientation val="minMax"/>
        </c:scaling>
        <c:delete val="1"/>
        <c:axPos val="l"/>
        <c:numFmt formatCode="0.00" sourceLinked="1"/>
        <c:majorTickMark val="none"/>
        <c:minorTickMark val="none"/>
        <c:tickLblPos val="nextTo"/>
        <c:crossAx val="197661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 (version 3).xlsx]Country byVisa_fee!PivotTable1</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a:solidFill>
                  <a:schemeClr val="accent6">
                    <a:lumMod val="50000"/>
                  </a:schemeClr>
                </a:solidFill>
                <a:latin typeface="Georgia" panose="02040502050405020303" pitchFamily="18" charset="0"/>
              </a:rPr>
              <a:t>Top</a:t>
            </a:r>
            <a:r>
              <a:rPr lang="en-US" sz="1100" b="1" baseline="0">
                <a:solidFill>
                  <a:schemeClr val="accent6">
                    <a:lumMod val="50000"/>
                  </a:schemeClr>
                </a:solidFill>
                <a:latin typeface="Georgia" panose="02040502050405020303" pitchFamily="18" charset="0"/>
              </a:rPr>
              <a:t> 6 Countries By Visa Fee</a:t>
            </a:r>
            <a:endParaRPr lang="en-NG" sz="1100" b="1">
              <a:solidFill>
                <a:schemeClr val="accent6">
                  <a:lumMod val="50000"/>
                </a:schemeClr>
              </a:solidFill>
              <a:latin typeface="Georgia" panose="02040502050405020303"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a:noFill/>
          </a:ln>
          <a:effectLst/>
        </c:spPr>
      </c:pivotFmt>
      <c:pivotFmt>
        <c:idx val="8"/>
        <c:spPr>
          <a:solidFill>
            <a:schemeClr val="accent6">
              <a:lumMod val="50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6">
              <a:lumMod val="20000"/>
              <a:lumOff val="8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67FC075C-2C51-48A3-B692-D91EB9ED40D6}"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6">
              <a:lumMod val="20000"/>
              <a:lumOff val="80000"/>
            </a:schemeClr>
          </a:solidFill>
          <a:ln>
            <a:no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2957798C-9B84-485A-B336-EAE0883D3434}"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6">
              <a:lumMod val="50000"/>
            </a:schemeClr>
          </a:solidFill>
          <a:ln>
            <a:noFill/>
          </a:ln>
          <a:effectLst/>
        </c:spPr>
      </c:pivotFmt>
      <c:pivotFmt>
        <c:idx val="19"/>
        <c:spPr>
          <a:solidFill>
            <a:schemeClr val="accent6">
              <a:lumMod val="50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75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60000"/>
              <a:lumOff val="4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67FC075C-2C51-48A3-B692-D91EB9ED40D6}"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6">
              <a:lumMod val="20000"/>
              <a:lumOff val="80000"/>
            </a:schemeClr>
          </a:solidFill>
          <a:ln>
            <a:no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2957798C-9B84-485A-B336-EAE0883D3434}"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a:noFill/>
          </a:ln>
          <a:effectLst/>
        </c:spPr>
      </c:pivotFmt>
      <c:pivotFmt>
        <c:idx val="30"/>
        <c:spPr>
          <a:solidFill>
            <a:schemeClr val="accent6">
              <a:lumMod val="50000"/>
            </a:schemeClr>
          </a:solidFill>
          <a:ln>
            <a:noFill/>
          </a:ln>
          <a:effectLst/>
        </c:spPr>
      </c:pivotFmt>
      <c:pivotFmt>
        <c:idx val="31"/>
        <c:spPr>
          <a:solidFill>
            <a:schemeClr val="accent6">
              <a:lumMod val="75000"/>
            </a:schemeClr>
          </a:solidFill>
          <a:ln>
            <a:noFill/>
          </a:ln>
          <a:effectLst/>
        </c:spPr>
      </c:pivotFmt>
      <c:pivotFmt>
        <c:idx val="32"/>
        <c:spPr>
          <a:solidFill>
            <a:schemeClr val="accent6">
              <a:lumMod val="75000"/>
            </a:schemeClr>
          </a:solidFill>
          <a:ln>
            <a:noFill/>
          </a:ln>
          <a:effectLst/>
        </c:spPr>
      </c:pivotFmt>
      <c:pivotFmt>
        <c:idx val="33"/>
        <c:spPr>
          <a:solidFill>
            <a:schemeClr val="accent6">
              <a:lumMod val="60000"/>
              <a:lumOff val="40000"/>
            </a:schemeClr>
          </a:solidFill>
          <a:ln>
            <a:noFill/>
          </a:ln>
          <a:effectLst/>
        </c:spPr>
      </c:pivotFmt>
      <c:pivotFmt>
        <c:idx val="34"/>
        <c:spPr>
          <a:solidFill>
            <a:schemeClr val="accent6">
              <a:lumMod val="60000"/>
              <a:lumOff val="40000"/>
            </a:schemeClr>
          </a:solidFill>
          <a:ln>
            <a:noFill/>
          </a:ln>
          <a:effectLst/>
        </c:spPr>
      </c:pivotFmt>
      <c:pivotFmt>
        <c:idx val="35"/>
        <c:spPr>
          <a:solidFill>
            <a:schemeClr val="accent6">
              <a:lumMod val="40000"/>
              <a:lumOff val="60000"/>
            </a:schemeClr>
          </a:solidFill>
          <a:ln>
            <a:noFill/>
          </a:ln>
          <a:effectLst/>
        </c:spPr>
      </c:pivotFmt>
      <c:pivotFmt>
        <c:idx val="36"/>
        <c:spPr>
          <a:solidFill>
            <a:schemeClr val="accent6">
              <a:lumMod val="40000"/>
              <a:lumOff val="60000"/>
            </a:schemeClr>
          </a:solidFill>
          <a:ln>
            <a:noFill/>
          </a:ln>
          <a:effectLst/>
        </c:spPr>
      </c:pivotFmt>
      <c:pivotFmt>
        <c:idx val="37"/>
        <c:spPr>
          <a:solidFill>
            <a:schemeClr val="accent6">
              <a:lumMod val="40000"/>
              <a:lumOff val="60000"/>
            </a:schemeClr>
          </a:solidFill>
          <a:ln>
            <a:noFill/>
          </a:ln>
          <a:effectLst/>
        </c:spPr>
      </c:pivotFmt>
      <c:pivotFmt>
        <c:idx val="38"/>
        <c:spPr>
          <a:solidFill>
            <a:schemeClr val="accent6">
              <a:lumMod val="20000"/>
              <a:lumOff val="8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6">
              <a:lumMod val="75000"/>
            </a:schemeClr>
          </a:solidFill>
          <a:ln>
            <a:noFill/>
          </a:ln>
          <a:effectLst/>
        </c:spPr>
      </c:pivotFmt>
      <c:pivotFmt>
        <c:idx val="43"/>
        <c:spPr>
          <a:solidFill>
            <a:schemeClr val="accent6">
              <a:lumMod val="40000"/>
              <a:lumOff val="60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lumMod val="50000"/>
            </a:schemeClr>
          </a:solidFill>
          <a:ln>
            <a:noFill/>
          </a:ln>
          <a:effectLst/>
        </c:spPr>
      </c:pivotFmt>
      <c:pivotFmt>
        <c:idx val="47"/>
        <c:spPr>
          <a:solidFill>
            <a:schemeClr val="accent6">
              <a:lumMod val="75000"/>
            </a:schemeClr>
          </a:solidFill>
          <a:ln>
            <a:noFill/>
          </a:ln>
          <a:effectLst/>
        </c:spPr>
      </c:pivotFmt>
      <c:pivotFmt>
        <c:idx val="48"/>
        <c:spPr>
          <a:solidFill>
            <a:schemeClr val="accent6">
              <a:lumMod val="60000"/>
              <a:lumOff val="4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lumMod val="50000"/>
            </a:schemeClr>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s>
    <c:plotArea>
      <c:layout>
        <c:manualLayout>
          <c:layoutTarget val="inner"/>
          <c:xMode val="edge"/>
          <c:yMode val="edge"/>
          <c:x val="2.0961005740333272E-2"/>
          <c:y val="0.12866615631379411"/>
          <c:w val="0.97156771107999496"/>
          <c:h val="0.65913859725867596"/>
        </c:manualLayout>
      </c:layout>
      <c:barChart>
        <c:barDir val="col"/>
        <c:grouping val="clustered"/>
        <c:varyColors val="0"/>
        <c:ser>
          <c:idx val="0"/>
          <c:order val="0"/>
          <c:tx>
            <c:strRef>
              <c:f>'Country byVisa_fee'!$B$3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12-6ECC-4504-BDC6-BDE12DE5BEB5}"/>
              </c:ext>
            </c:extLst>
          </c:dPt>
          <c:dPt>
            <c:idx val="1"/>
            <c:invertIfNegative val="0"/>
            <c:bubble3D val="0"/>
            <c:extLst>
              <c:ext xmlns:c16="http://schemas.microsoft.com/office/drawing/2014/chart" uri="{C3380CC4-5D6E-409C-BE32-E72D297353CC}">
                <c16:uniqueId val="{00000013-6ECC-4504-BDC6-BDE12DE5BEB5}"/>
              </c:ext>
            </c:extLst>
          </c:dPt>
          <c:dPt>
            <c:idx val="2"/>
            <c:invertIfNegative val="0"/>
            <c:bubble3D val="0"/>
            <c:extLst>
              <c:ext xmlns:c16="http://schemas.microsoft.com/office/drawing/2014/chart" uri="{C3380CC4-5D6E-409C-BE32-E72D297353CC}">
                <c16:uniqueId val="{00000014-6ECC-4504-BDC6-BDE12DE5BEB5}"/>
              </c:ext>
            </c:extLst>
          </c:dPt>
          <c:dPt>
            <c:idx val="3"/>
            <c:invertIfNegative val="0"/>
            <c:bubble3D val="0"/>
            <c:extLst>
              <c:ext xmlns:c16="http://schemas.microsoft.com/office/drawing/2014/chart" uri="{C3380CC4-5D6E-409C-BE32-E72D297353CC}">
                <c16:uniqueId val="{00000008-AE90-46CB-93AE-1169F32E39A4}"/>
              </c:ext>
            </c:extLst>
          </c:dPt>
          <c:dPt>
            <c:idx val="4"/>
            <c:invertIfNegative val="0"/>
            <c:bubble3D val="0"/>
            <c:extLst>
              <c:ext xmlns:c16="http://schemas.microsoft.com/office/drawing/2014/chart" uri="{C3380CC4-5D6E-409C-BE32-E72D297353CC}">
                <c16:uniqueId val="{00000009-AE90-46CB-93AE-1169F32E39A4}"/>
              </c:ext>
            </c:extLst>
          </c:dPt>
          <c:dPt>
            <c:idx val="5"/>
            <c:invertIfNegative val="0"/>
            <c:bubble3D val="0"/>
            <c:extLst>
              <c:ext xmlns:c16="http://schemas.microsoft.com/office/drawing/2014/chart" uri="{C3380CC4-5D6E-409C-BE32-E72D297353CC}">
                <c16:uniqueId val="{0000000A-AE90-46CB-93AE-1169F32E39A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byVisa_fee'!$A$4:$A$10</c:f>
              <c:strCache>
                <c:ptCount val="6"/>
                <c:pt idx="0">
                  <c:v>UK</c:v>
                </c:pt>
                <c:pt idx="1">
                  <c:v>Australia</c:v>
                </c:pt>
                <c:pt idx="2">
                  <c:v>Denmark</c:v>
                </c:pt>
                <c:pt idx="3">
                  <c:v>Finland</c:v>
                </c:pt>
                <c:pt idx="4">
                  <c:v>New Zealand</c:v>
                </c:pt>
                <c:pt idx="5">
                  <c:v>UAE</c:v>
                </c:pt>
              </c:strCache>
            </c:strRef>
          </c:cat>
          <c:val>
            <c:numRef>
              <c:f>'Country byVisa_fee'!$B$4:$B$10</c:f>
              <c:numCache>
                <c:formatCode>[$$-409]#,##0</c:formatCode>
                <c:ptCount val="6"/>
                <c:pt idx="0">
                  <c:v>487.68817204301075</c:v>
                </c:pt>
                <c:pt idx="1">
                  <c:v>450</c:v>
                </c:pt>
                <c:pt idx="2">
                  <c:v>338</c:v>
                </c:pt>
                <c:pt idx="3">
                  <c:v>329.09090909090907</c:v>
                </c:pt>
                <c:pt idx="4">
                  <c:v>320.55555555555554</c:v>
                </c:pt>
                <c:pt idx="5">
                  <c:v>270</c:v>
                </c:pt>
              </c:numCache>
            </c:numRef>
          </c:val>
          <c:extLst>
            <c:ext xmlns:c16="http://schemas.microsoft.com/office/drawing/2014/chart" uri="{C3380CC4-5D6E-409C-BE32-E72D297353CC}">
              <c16:uniqueId val="{0000000F-6ECC-4504-BDC6-BDE12DE5BEB5}"/>
            </c:ext>
          </c:extLst>
        </c:ser>
        <c:dLbls>
          <c:dLblPos val="outEnd"/>
          <c:showLegendKey val="0"/>
          <c:showVal val="1"/>
          <c:showCatName val="0"/>
          <c:showSerName val="0"/>
          <c:showPercent val="0"/>
          <c:showBubbleSize val="0"/>
        </c:dLbls>
        <c:gapWidth val="20"/>
        <c:axId val="1976617055"/>
        <c:axId val="1976616575"/>
      </c:barChart>
      <c:catAx>
        <c:axId val="1976617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976616575"/>
        <c:crosses val="autoZero"/>
        <c:auto val="1"/>
        <c:lblAlgn val="ctr"/>
        <c:lblOffset val="100"/>
        <c:noMultiLvlLbl val="0"/>
      </c:catAx>
      <c:valAx>
        <c:axId val="1976616575"/>
        <c:scaling>
          <c:orientation val="minMax"/>
        </c:scaling>
        <c:delete val="1"/>
        <c:axPos val="l"/>
        <c:numFmt formatCode="[$$-409]#,##0" sourceLinked="1"/>
        <c:majorTickMark val="none"/>
        <c:minorTickMark val="none"/>
        <c:tickLblPos val="nextTo"/>
        <c:crossAx val="197661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 (version 3).xlsx]Program level by total cost!PivotTable1</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a:solidFill>
                  <a:schemeClr val="accent6">
                    <a:lumMod val="50000"/>
                  </a:schemeClr>
                </a:solidFill>
                <a:latin typeface="Georgia" panose="02040502050405020303" pitchFamily="18" charset="0"/>
              </a:rPr>
              <a:t>Program Level By Total Cost</a:t>
            </a:r>
            <a:endParaRPr lang="en-NG" sz="1100" b="1">
              <a:solidFill>
                <a:schemeClr val="accent6">
                  <a:lumMod val="50000"/>
                </a:schemeClr>
              </a:solidFill>
              <a:latin typeface="Georgia" panose="02040502050405020303"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a:noFill/>
          </a:ln>
          <a:effectLst/>
        </c:spPr>
      </c:pivotFmt>
      <c:pivotFmt>
        <c:idx val="8"/>
        <c:spPr>
          <a:solidFill>
            <a:schemeClr val="accent6">
              <a:lumMod val="50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6">
              <a:lumMod val="20000"/>
              <a:lumOff val="8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67FC075C-2C51-48A3-B692-D91EB9ED40D6}"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6">
              <a:lumMod val="20000"/>
              <a:lumOff val="80000"/>
            </a:schemeClr>
          </a:solidFill>
          <a:ln>
            <a:no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2957798C-9B84-485A-B336-EAE0883D3434}"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6">
              <a:lumMod val="50000"/>
            </a:schemeClr>
          </a:solidFill>
          <a:ln>
            <a:noFill/>
          </a:ln>
          <a:effectLst/>
        </c:spPr>
      </c:pivotFmt>
      <c:pivotFmt>
        <c:idx val="19"/>
        <c:spPr>
          <a:solidFill>
            <a:schemeClr val="accent6">
              <a:lumMod val="50000"/>
            </a:schemeClr>
          </a:solidFill>
          <a:ln>
            <a:noFill/>
          </a:ln>
          <a:effectLst/>
        </c:spPr>
      </c:pivotFmt>
      <c:pivotFmt>
        <c:idx val="20"/>
        <c:spPr>
          <a:solidFill>
            <a:schemeClr val="accent6">
              <a:lumMod val="75000"/>
            </a:schemeClr>
          </a:solidFill>
          <a:ln>
            <a:noFill/>
          </a:ln>
          <a:effectLst/>
        </c:spPr>
      </c:pivotFmt>
      <c:pivotFmt>
        <c:idx val="21"/>
        <c:spPr>
          <a:solidFill>
            <a:schemeClr val="accent6">
              <a:lumMod val="75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60000"/>
              <a:lumOff val="40000"/>
            </a:schemeClr>
          </a:solidFill>
          <a:ln>
            <a:noFill/>
          </a:ln>
          <a:effectLst/>
        </c:spPr>
      </c:pivotFmt>
      <c:pivotFmt>
        <c:idx val="24"/>
        <c:spPr>
          <a:solidFill>
            <a:schemeClr val="accent6">
              <a:lumMod val="40000"/>
              <a:lumOff val="6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67FC075C-2C51-48A3-B692-D91EB9ED40D6}"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6">
              <a:lumMod val="20000"/>
              <a:lumOff val="80000"/>
            </a:schemeClr>
          </a:solidFill>
          <a:ln>
            <a:no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2957798C-9B84-485A-B336-EAE0883D3434}" type="VALUE">
                  <a:rPr lang="en-US">
                    <a:solidFill>
                      <a:schemeClr val="accent6">
                        <a:lumMod val="50000"/>
                      </a:schemeClr>
                    </a:solidFill>
                  </a:rPr>
                  <a:pPr>
                    <a:defRPr sz="1000" b="1" i="0" u="none" strike="noStrike" kern="1200" baseline="0">
                      <a:solidFill>
                        <a:schemeClr val="bg1"/>
                      </a:solidFill>
                      <a:latin typeface="+mn-lt"/>
                      <a:ea typeface="+mn-ea"/>
                      <a:cs typeface="+mn-cs"/>
                    </a:defRPr>
                  </a:pPr>
                  <a:t>[VALUE]</a:t>
                </a:fld>
                <a:endParaRPr lang="en-NG"/>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a:noFill/>
          </a:ln>
          <a:effectLst/>
        </c:spPr>
      </c:pivotFmt>
      <c:pivotFmt>
        <c:idx val="30"/>
        <c:spPr>
          <a:solidFill>
            <a:schemeClr val="accent6">
              <a:lumMod val="50000"/>
            </a:schemeClr>
          </a:solidFill>
          <a:ln>
            <a:noFill/>
          </a:ln>
          <a:effectLst/>
        </c:spPr>
      </c:pivotFmt>
      <c:pivotFmt>
        <c:idx val="31"/>
        <c:spPr>
          <a:solidFill>
            <a:schemeClr val="accent6">
              <a:lumMod val="75000"/>
            </a:schemeClr>
          </a:solidFill>
          <a:ln>
            <a:noFill/>
          </a:ln>
          <a:effectLst/>
        </c:spPr>
      </c:pivotFmt>
      <c:pivotFmt>
        <c:idx val="32"/>
        <c:spPr>
          <a:solidFill>
            <a:schemeClr val="accent6">
              <a:lumMod val="75000"/>
            </a:schemeClr>
          </a:solidFill>
          <a:ln>
            <a:noFill/>
          </a:ln>
          <a:effectLst/>
        </c:spPr>
      </c:pivotFmt>
      <c:pivotFmt>
        <c:idx val="33"/>
        <c:spPr>
          <a:solidFill>
            <a:schemeClr val="accent6">
              <a:lumMod val="60000"/>
              <a:lumOff val="40000"/>
            </a:schemeClr>
          </a:solidFill>
          <a:ln>
            <a:noFill/>
          </a:ln>
          <a:effectLst/>
        </c:spPr>
      </c:pivotFmt>
      <c:pivotFmt>
        <c:idx val="34"/>
        <c:spPr>
          <a:solidFill>
            <a:schemeClr val="accent6">
              <a:lumMod val="60000"/>
              <a:lumOff val="40000"/>
            </a:schemeClr>
          </a:solidFill>
          <a:ln>
            <a:noFill/>
          </a:ln>
          <a:effectLst/>
        </c:spPr>
      </c:pivotFmt>
      <c:pivotFmt>
        <c:idx val="35"/>
        <c:spPr>
          <a:solidFill>
            <a:schemeClr val="accent6">
              <a:lumMod val="40000"/>
              <a:lumOff val="60000"/>
            </a:schemeClr>
          </a:solidFill>
          <a:ln>
            <a:noFill/>
          </a:ln>
          <a:effectLst/>
        </c:spPr>
      </c:pivotFmt>
      <c:pivotFmt>
        <c:idx val="36"/>
        <c:spPr>
          <a:solidFill>
            <a:schemeClr val="accent6">
              <a:lumMod val="40000"/>
              <a:lumOff val="60000"/>
            </a:schemeClr>
          </a:solidFill>
          <a:ln>
            <a:noFill/>
          </a:ln>
          <a:effectLst/>
        </c:spPr>
      </c:pivotFmt>
      <c:pivotFmt>
        <c:idx val="37"/>
        <c:spPr>
          <a:solidFill>
            <a:schemeClr val="accent6">
              <a:lumMod val="40000"/>
              <a:lumOff val="60000"/>
            </a:schemeClr>
          </a:solidFill>
          <a:ln>
            <a:noFill/>
          </a:ln>
          <a:effectLst/>
        </c:spPr>
      </c:pivotFmt>
      <c:pivotFmt>
        <c:idx val="38"/>
        <c:spPr>
          <a:solidFill>
            <a:schemeClr val="accent6">
              <a:lumMod val="20000"/>
              <a:lumOff val="8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50000"/>
            </a:schemeClr>
          </a:solidFill>
          <a:ln>
            <a:noFill/>
          </a:ln>
          <a:effectLst/>
        </c:spPr>
      </c:pivotFmt>
      <c:pivotFmt>
        <c:idx val="41"/>
        <c:spPr>
          <a:solidFill>
            <a:schemeClr val="accent6">
              <a:lumMod val="50000"/>
            </a:schemeClr>
          </a:solidFill>
          <a:ln>
            <a:noFill/>
          </a:ln>
          <a:effectLst/>
        </c:spPr>
      </c:pivotFmt>
      <c:pivotFmt>
        <c:idx val="42"/>
        <c:spPr>
          <a:solidFill>
            <a:schemeClr val="accent6">
              <a:lumMod val="75000"/>
            </a:schemeClr>
          </a:solidFill>
          <a:ln>
            <a:noFill/>
          </a:ln>
          <a:effectLst/>
        </c:spPr>
      </c:pivotFmt>
      <c:pivotFmt>
        <c:idx val="43"/>
        <c:spPr>
          <a:solidFill>
            <a:schemeClr val="accent6">
              <a:lumMod val="75000"/>
            </a:schemeClr>
          </a:solidFill>
          <a:ln>
            <a:noFill/>
          </a:ln>
          <a:effectLst/>
        </c:spPr>
      </c:pivotFmt>
      <c:pivotFmt>
        <c:idx val="44"/>
        <c:spPr>
          <a:solidFill>
            <a:schemeClr val="accent6">
              <a:lumMod val="60000"/>
              <a:lumOff val="40000"/>
            </a:schemeClr>
          </a:solidFill>
          <a:ln>
            <a:noFill/>
          </a:ln>
          <a:effectLst/>
        </c:spPr>
      </c:pivotFmt>
      <c:pivotFmt>
        <c:idx val="45"/>
        <c:spPr>
          <a:solidFill>
            <a:schemeClr val="accent6">
              <a:lumMod val="60000"/>
              <a:lumOff val="40000"/>
            </a:schemeClr>
          </a:solidFill>
          <a:ln>
            <a:noFill/>
          </a:ln>
          <a:effectLst/>
        </c:spPr>
      </c:pivotFmt>
      <c:pivotFmt>
        <c:idx val="46"/>
        <c:spPr>
          <a:solidFill>
            <a:schemeClr val="accent6">
              <a:lumMod val="40000"/>
              <a:lumOff val="60000"/>
            </a:schemeClr>
          </a:solidFill>
          <a:ln>
            <a:noFill/>
          </a:ln>
          <a:effectLst/>
        </c:spPr>
      </c:pivotFmt>
      <c:pivotFmt>
        <c:idx val="47"/>
        <c:spPr>
          <a:solidFill>
            <a:schemeClr val="accent6">
              <a:lumMod val="40000"/>
              <a:lumOff val="60000"/>
            </a:schemeClr>
          </a:solidFill>
          <a:ln>
            <a:noFill/>
          </a:ln>
          <a:effectLst/>
        </c:spPr>
      </c:pivotFmt>
      <c:pivotFmt>
        <c:idx val="48"/>
        <c:spPr>
          <a:solidFill>
            <a:schemeClr val="accent6">
              <a:lumMod val="40000"/>
              <a:lumOff val="60000"/>
            </a:schemeClr>
          </a:solidFill>
          <a:ln>
            <a:noFill/>
          </a:ln>
          <a:effectLst/>
        </c:spPr>
      </c:pivotFmt>
      <c:pivotFmt>
        <c:idx val="49"/>
        <c:spPr>
          <a:solidFill>
            <a:schemeClr val="accent6">
              <a:lumMod val="20000"/>
              <a:lumOff val="80000"/>
            </a:schemeClr>
          </a:solidFill>
          <a:ln>
            <a:noFill/>
          </a:ln>
          <a:effectLst/>
        </c:spPr>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lumMod val="60000"/>
              <a:lumOff val="40000"/>
            </a:schemeClr>
          </a:solidFill>
          <a:ln>
            <a:noFill/>
          </a:ln>
          <a:effectLst/>
        </c:spPr>
        <c:dLbl>
          <c:idx val="0"/>
          <c:layout>
            <c:manualLayout>
              <c:x val="-0.17875457875457879"/>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lumMod val="50000"/>
            </a:schemeClr>
          </a:solidFill>
          <a:ln>
            <a:noFill/>
          </a:ln>
          <a:effectLst/>
        </c:spPr>
        <c:dLbl>
          <c:idx val="0"/>
          <c:layout>
            <c:manualLayout>
              <c:x val="0.16996336996336997"/>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pivotFmt>
    </c:pivotFmts>
    <c:plotArea>
      <c:layout>
        <c:manualLayout>
          <c:layoutTarget val="inner"/>
          <c:xMode val="edge"/>
          <c:yMode val="edge"/>
          <c:x val="0.30106867410804417"/>
          <c:y val="0.28607356372120146"/>
          <c:w val="0.97156771107999496"/>
          <c:h val="0.65913859725867596"/>
        </c:manualLayout>
      </c:layout>
      <c:doughnutChart>
        <c:varyColors val="1"/>
        <c:ser>
          <c:idx val="0"/>
          <c:order val="0"/>
          <c:tx>
            <c:strRef>
              <c:f>'Program level by total cost'!$B$3</c:f>
              <c:strCache>
                <c:ptCount val="1"/>
                <c:pt idx="0">
                  <c:v>Total</c:v>
                </c:pt>
              </c:strCache>
            </c:strRef>
          </c:tx>
          <c:dPt>
            <c:idx val="0"/>
            <c:bubble3D val="0"/>
            <c:spPr>
              <a:solidFill>
                <a:schemeClr val="accent6">
                  <a:lumMod val="50000"/>
                </a:schemeClr>
              </a:solidFill>
              <a:ln>
                <a:noFill/>
              </a:ln>
              <a:effectLst/>
            </c:spPr>
            <c:extLst>
              <c:ext xmlns:c16="http://schemas.microsoft.com/office/drawing/2014/chart" uri="{C3380CC4-5D6E-409C-BE32-E72D297353CC}">
                <c16:uniqueId val="{00000019-7664-4F66-8AD1-8A886D92AF2C}"/>
              </c:ext>
            </c:extLst>
          </c:dPt>
          <c:dPt>
            <c:idx val="1"/>
            <c:bubble3D val="0"/>
            <c:spPr>
              <a:solidFill>
                <a:schemeClr val="accent6">
                  <a:lumMod val="60000"/>
                  <a:lumOff val="40000"/>
                </a:schemeClr>
              </a:solidFill>
              <a:ln>
                <a:noFill/>
              </a:ln>
              <a:effectLst/>
            </c:spPr>
            <c:extLst>
              <c:ext xmlns:c16="http://schemas.microsoft.com/office/drawing/2014/chart" uri="{C3380CC4-5D6E-409C-BE32-E72D297353CC}">
                <c16:uniqueId val="{00000018-7664-4F66-8AD1-8A886D92AF2C}"/>
              </c:ext>
            </c:extLst>
          </c:dPt>
          <c:dPt>
            <c:idx val="2"/>
            <c:bubble3D val="0"/>
            <c:spPr>
              <a:solidFill>
                <a:schemeClr val="accent3"/>
              </a:solidFill>
              <a:ln>
                <a:noFill/>
              </a:ln>
              <a:effectLst/>
            </c:spPr>
            <c:extLst>
              <c:ext xmlns:c16="http://schemas.microsoft.com/office/drawing/2014/chart" uri="{C3380CC4-5D6E-409C-BE32-E72D297353CC}">
                <c16:uniqueId val="{00000017-7664-4F66-8AD1-8A886D92AF2C}"/>
              </c:ext>
            </c:extLst>
          </c:dPt>
          <c:dLbls>
            <c:dLbl>
              <c:idx val="0"/>
              <c:layout>
                <c:manualLayout>
                  <c:x val="0.16996336996336997"/>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7664-4F66-8AD1-8A886D92AF2C}"/>
                </c:ext>
              </c:extLst>
            </c:dLbl>
            <c:dLbl>
              <c:idx val="1"/>
              <c:layout>
                <c:manualLayout>
                  <c:x val="-0.17875457875457879"/>
                  <c:y val="5.5555555555555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7664-4F66-8AD1-8A886D92AF2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'Program level by total cost'!$A$4:$A$7</c:f>
              <c:strCache>
                <c:ptCount val="3"/>
                <c:pt idx="0">
                  <c:v>Bachelor</c:v>
                </c:pt>
                <c:pt idx="1">
                  <c:v>Master</c:v>
                </c:pt>
                <c:pt idx="2">
                  <c:v>Ph.D</c:v>
                </c:pt>
              </c:strCache>
            </c:strRef>
          </c:cat>
          <c:val>
            <c:numRef>
              <c:f>'Program level by total cost'!$B$4:$B$7</c:f>
              <c:numCache>
                <c:formatCode>0.00%</c:formatCode>
                <c:ptCount val="3"/>
                <c:pt idx="0">
                  <c:v>0.36444372163841854</c:v>
                </c:pt>
                <c:pt idx="1">
                  <c:v>0.45427985188935688</c:v>
                </c:pt>
                <c:pt idx="2">
                  <c:v>0.18127642647222456</c:v>
                </c:pt>
              </c:numCache>
            </c:numRef>
          </c:val>
          <c:extLst>
            <c:ext xmlns:c16="http://schemas.microsoft.com/office/drawing/2014/chart" uri="{C3380CC4-5D6E-409C-BE32-E72D297353CC}">
              <c16:uniqueId val="{00000015-7664-4F66-8AD1-8A886D92AF2C}"/>
            </c:ext>
          </c:extLst>
        </c:ser>
        <c:dLbls>
          <c:showLegendKey val="0"/>
          <c:showVal val="0"/>
          <c:showCatName val="0"/>
          <c:showSerName val="0"/>
          <c:showPercent val="0"/>
          <c:showBubbleSize val="0"/>
          <c:showLeaderLines val="1"/>
        </c:dLbls>
        <c:firstSliceAng val="7"/>
        <c:holeSize val="50"/>
      </c:doughnutChart>
      <c:spPr>
        <a:noFill/>
        <a:ln>
          <a:noFill/>
        </a:ln>
        <a:effectLst/>
      </c:spPr>
    </c:plotArea>
    <c:legend>
      <c:legendPos val="t"/>
      <c:layout>
        <c:manualLayout>
          <c:xMode val="edge"/>
          <c:yMode val="edge"/>
          <c:x val="0.3263472065991751"/>
          <c:y val="0.19907407407407407"/>
          <c:w val="0.36488777364367914"/>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 (version 3).xlsx]Rent &amp; Insurance By Country!PivotTable1</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a:solidFill>
                  <a:schemeClr val="accent6">
                    <a:lumMod val="50000"/>
                  </a:schemeClr>
                </a:solidFill>
                <a:latin typeface="Georgia" panose="02040502050405020303" pitchFamily="18" charset="0"/>
              </a:rPr>
              <a:t>Top</a:t>
            </a:r>
            <a:r>
              <a:rPr lang="en-US" sz="1100" b="1" baseline="0">
                <a:solidFill>
                  <a:schemeClr val="accent6">
                    <a:lumMod val="50000"/>
                  </a:schemeClr>
                </a:solidFill>
                <a:latin typeface="Georgia" panose="02040502050405020303" pitchFamily="18" charset="0"/>
              </a:rPr>
              <a:t> 8 Cities By Rent &amp; Insurance fee</a:t>
            </a:r>
            <a:endParaRPr lang="en-NG" sz="1100" b="1">
              <a:solidFill>
                <a:schemeClr val="accent6">
                  <a:lumMod val="50000"/>
                </a:schemeClr>
              </a:solidFill>
              <a:latin typeface="Georgia" panose="02040502050405020303"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ln w="41275" cap="rnd">
            <a:solidFill>
              <a:schemeClr val="accent6">
                <a:lumMod val="60000"/>
                <a:lumOff val="40000"/>
              </a:schemeClr>
            </a:solidFill>
            <a:round/>
          </a:ln>
          <a:effectLst/>
        </c:spPr>
        <c:marker>
          <c:symbol val="diamond"/>
          <c:size val="7"/>
          <c:spPr>
            <a:solidFill>
              <a:schemeClr val="bg1"/>
            </a:solidFill>
            <a:ln w="19050">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pivotFmt>
      <c:pivotFmt>
        <c:idx val="3"/>
        <c:spPr>
          <a:solidFill>
            <a:schemeClr val="accent6">
              <a:lumMod val="50000"/>
            </a:schemeClr>
          </a:solidFill>
          <a:ln>
            <a:noFill/>
          </a:ln>
          <a:effectLst/>
        </c:spPr>
      </c:pivotFmt>
      <c:pivotFmt>
        <c:idx val="4"/>
        <c:spPr>
          <a:solidFill>
            <a:schemeClr val="accent6">
              <a:lumMod val="50000"/>
            </a:schemeClr>
          </a:solidFill>
          <a:ln>
            <a:noFill/>
          </a:ln>
          <a:effectLst/>
        </c:spPr>
      </c:pivotFmt>
    </c:pivotFmts>
    <c:plotArea>
      <c:layout>
        <c:manualLayout>
          <c:layoutTarget val="inner"/>
          <c:xMode val="edge"/>
          <c:yMode val="edge"/>
          <c:x val="1.6666666666666666E-2"/>
          <c:y val="0.2428710994459026"/>
          <c:w val="0.96666666666666667"/>
          <c:h val="0.57115631379410903"/>
        </c:manualLayout>
      </c:layout>
      <c:barChart>
        <c:barDir val="col"/>
        <c:grouping val="clustered"/>
        <c:varyColors val="0"/>
        <c:ser>
          <c:idx val="0"/>
          <c:order val="0"/>
          <c:tx>
            <c:strRef>
              <c:f>'Rent &amp; Insurance By Country'!$B$3</c:f>
              <c:strCache>
                <c:ptCount val="1"/>
                <c:pt idx="0">
                  <c:v>Average of Rent_USD</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'Rent &amp; Insurance By Country'!$A$4:$A$9</c:f>
              <c:strCache>
                <c:ptCount val="5"/>
                <c:pt idx="0">
                  <c:v>New York</c:v>
                </c:pt>
                <c:pt idx="1">
                  <c:v>San Francisco</c:v>
                </c:pt>
                <c:pt idx="2">
                  <c:v>Stanford</c:v>
                </c:pt>
                <c:pt idx="3">
                  <c:v>Los Angeles</c:v>
                </c:pt>
                <c:pt idx="4">
                  <c:v>Boston</c:v>
                </c:pt>
              </c:strCache>
            </c:strRef>
          </c:cat>
          <c:val>
            <c:numRef>
              <c:f>'Rent &amp; Insurance By Country'!$B$4:$B$9</c:f>
              <c:numCache>
                <c:formatCode>[$$-409]#,##0</c:formatCode>
                <c:ptCount val="5"/>
                <c:pt idx="0">
                  <c:v>2500</c:v>
                </c:pt>
                <c:pt idx="1">
                  <c:v>2400</c:v>
                </c:pt>
                <c:pt idx="2">
                  <c:v>2325</c:v>
                </c:pt>
                <c:pt idx="3">
                  <c:v>2200</c:v>
                </c:pt>
                <c:pt idx="4">
                  <c:v>2140</c:v>
                </c:pt>
              </c:numCache>
            </c:numRef>
          </c:val>
          <c:extLst>
            <c:ext xmlns:c16="http://schemas.microsoft.com/office/drawing/2014/chart" uri="{C3380CC4-5D6E-409C-BE32-E72D297353CC}">
              <c16:uniqueId val="{00000000-C756-4321-A096-90D40AEF4C68}"/>
            </c:ext>
          </c:extLst>
        </c:ser>
        <c:dLbls>
          <c:showLegendKey val="0"/>
          <c:showVal val="1"/>
          <c:showCatName val="0"/>
          <c:showSerName val="0"/>
          <c:showPercent val="0"/>
          <c:showBubbleSize val="0"/>
        </c:dLbls>
        <c:gapWidth val="20"/>
        <c:axId val="554197119"/>
        <c:axId val="554197599"/>
      </c:barChart>
      <c:lineChart>
        <c:grouping val="standard"/>
        <c:varyColors val="0"/>
        <c:ser>
          <c:idx val="1"/>
          <c:order val="1"/>
          <c:tx>
            <c:strRef>
              <c:f>'Rent &amp; Insurance By Country'!$C$3</c:f>
              <c:strCache>
                <c:ptCount val="1"/>
                <c:pt idx="0">
                  <c:v>Average of Insurance_USD</c:v>
                </c:pt>
              </c:strCache>
            </c:strRef>
          </c:tx>
          <c:spPr>
            <a:ln w="41275" cap="rnd">
              <a:solidFill>
                <a:schemeClr val="accent6">
                  <a:lumMod val="60000"/>
                  <a:lumOff val="40000"/>
                </a:schemeClr>
              </a:solidFill>
              <a:round/>
            </a:ln>
            <a:effectLst/>
          </c:spPr>
          <c:marker>
            <c:symbol val="diamond"/>
            <c:size val="7"/>
            <c:spPr>
              <a:solidFill>
                <a:schemeClr val="bg1"/>
              </a:solidFill>
              <a:ln w="19050">
                <a:solidFill>
                  <a:schemeClr val="accent6">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'Rent &amp; Insurance By Country'!$A$4:$A$9</c:f>
              <c:strCache>
                <c:ptCount val="5"/>
                <c:pt idx="0">
                  <c:v>New York</c:v>
                </c:pt>
                <c:pt idx="1">
                  <c:v>San Francisco</c:v>
                </c:pt>
                <c:pt idx="2">
                  <c:v>Stanford</c:v>
                </c:pt>
                <c:pt idx="3">
                  <c:v>Los Angeles</c:v>
                </c:pt>
                <c:pt idx="4">
                  <c:v>Boston</c:v>
                </c:pt>
              </c:strCache>
            </c:strRef>
          </c:cat>
          <c:val>
            <c:numRef>
              <c:f>'Rent &amp; Insurance By Country'!$C$4:$C$9</c:f>
              <c:numCache>
                <c:formatCode>[$$-409]#,##0</c:formatCode>
                <c:ptCount val="5"/>
                <c:pt idx="0">
                  <c:v>1500</c:v>
                </c:pt>
                <c:pt idx="1">
                  <c:v>1500</c:v>
                </c:pt>
                <c:pt idx="2">
                  <c:v>1500</c:v>
                </c:pt>
                <c:pt idx="3">
                  <c:v>1500</c:v>
                </c:pt>
                <c:pt idx="4">
                  <c:v>1500</c:v>
                </c:pt>
              </c:numCache>
            </c:numRef>
          </c:val>
          <c:smooth val="0"/>
          <c:extLst>
            <c:ext xmlns:c16="http://schemas.microsoft.com/office/drawing/2014/chart" uri="{C3380CC4-5D6E-409C-BE32-E72D297353CC}">
              <c16:uniqueId val="{00000001-C756-4321-A096-90D40AEF4C68}"/>
            </c:ext>
          </c:extLst>
        </c:ser>
        <c:dLbls>
          <c:showLegendKey val="0"/>
          <c:showVal val="1"/>
          <c:showCatName val="0"/>
          <c:showSerName val="0"/>
          <c:showPercent val="0"/>
          <c:showBubbleSize val="0"/>
        </c:dLbls>
        <c:marker val="1"/>
        <c:smooth val="0"/>
        <c:axId val="554197119"/>
        <c:axId val="554197599"/>
      </c:lineChart>
      <c:catAx>
        <c:axId val="554197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554197599"/>
        <c:crosses val="autoZero"/>
        <c:auto val="1"/>
        <c:lblAlgn val="ctr"/>
        <c:lblOffset val="100"/>
        <c:noMultiLvlLbl val="0"/>
      </c:catAx>
      <c:valAx>
        <c:axId val="554197599"/>
        <c:scaling>
          <c:orientation val="minMax"/>
        </c:scaling>
        <c:delete val="1"/>
        <c:axPos val="l"/>
        <c:numFmt formatCode="[$$-409]#,##0" sourceLinked="1"/>
        <c:majorTickMark val="none"/>
        <c:minorTickMark val="none"/>
        <c:tickLblPos val="nextTo"/>
        <c:crossAx val="554197119"/>
        <c:crosses val="autoZero"/>
        <c:crossBetween val="between"/>
      </c:valAx>
      <c:spPr>
        <a:noFill/>
        <a:ln>
          <a:noFill/>
        </a:ln>
        <a:effectLst/>
      </c:spPr>
    </c:plotArea>
    <c:legend>
      <c:legendPos val="t"/>
      <c:layout>
        <c:manualLayout>
          <c:xMode val="edge"/>
          <c:yMode val="edge"/>
          <c:x val="0.21540113735783026"/>
          <c:y val="0.1388888888888889"/>
          <c:w val="0.7247532808398949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6.png"/><Relationship Id="rId18" Type="http://schemas.openxmlformats.org/officeDocument/2006/relationships/image" Target="../media/image11.svg"/><Relationship Id="rId26" Type="http://schemas.openxmlformats.org/officeDocument/2006/relationships/image" Target="../media/image19.svg"/><Relationship Id="rId3" Type="http://schemas.openxmlformats.org/officeDocument/2006/relationships/chart" Target="../charts/chart2.xml"/><Relationship Id="rId21" Type="http://schemas.openxmlformats.org/officeDocument/2006/relationships/image" Target="../media/image14.png"/><Relationship Id="rId7" Type="http://schemas.openxmlformats.org/officeDocument/2006/relationships/chart" Target="../charts/chart6.xml"/><Relationship Id="rId12" Type="http://schemas.openxmlformats.org/officeDocument/2006/relationships/image" Target="../media/image5.svg"/><Relationship Id="rId17" Type="http://schemas.openxmlformats.org/officeDocument/2006/relationships/image" Target="../media/image10.png"/><Relationship Id="rId25" Type="http://schemas.openxmlformats.org/officeDocument/2006/relationships/image" Target="../media/image18.png"/><Relationship Id="rId2" Type="http://schemas.openxmlformats.org/officeDocument/2006/relationships/chart" Target="../charts/chart1.xml"/><Relationship Id="rId16" Type="http://schemas.openxmlformats.org/officeDocument/2006/relationships/image" Target="../media/image9.svg"/><Relationship Id="rId20" Type="http://schemas.openxmlformats.org/officeDocument/2006/relationships/image" Target="../media/image13.svg"/><Relationship Id="rId29" Type="http://schemas.openxmlformats.org/officeDocument/2006/relationships/image" Target="../media/image21.sv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4.png"/><Relationship Id="rId24" Type="http://schemas.openxmlformats.org/officeDocument/2006/relationships/image" Target="../media/image17.svg"/><Relationship Id="rId5" Type="http://schemas.openxmlformats.org/officeDocument/2006/relationships/chart" Target="../charts/chart4.xml"/><Relationship Id="rId15" Type="http://schemas.openxmlformats.org/officeDocument/2006/relationships/image" Target="../media/image8.png"/><Relationship Id="rId23" Type="http://schemas.openxmlformats.org/officeDocument/2006/relationships/image" Target="../media/image16.png"/><Relationship Id="rId28" Type="http://schemas.openxmlformats.org/officeDocument/2006/relationships/image" Target="../media/image20.png"/><Relationship Id="rId10" Type="http://schemas.openxmlformats.org/officeDocument/2006/relationships/hyperlink" Target="#'Post Analysis Board'!A1"/><Relationship Id="rId19" Type="http://schemas.openxmlformats.org/officeDocument/2006/relationships/image" Target="../media/image12.png"/><Relationship Id="rId4" Type="http://schemas.openxmlformats.org/officeDocument/2006/relationships/chart" Target="../charts/chart3.xml"/><Relationship Id="rId9" Type="http://schemas.openxmlformats.org/officeDocument/2006/relationships/image" Target="../media/image3.svg"/><Relationship Id="rId14" Type="http://schemas.openxmlformats.org/officeDocument/2006/relationships/image" Target="../media/image7.svg"/><Relationship Id="rId22" Type="http://schemas.openxmlformats.org/officeDocument/2006/relationships/image" Target="../media/image15.svg"/><Relationship Id="rId27" Type="http://schemas.openxmlformats.org/officeDocument/2006/relationships/hyperlink" Target="#'Pre-analysis board'!A1"/></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158750</xdr:colOff>
      <xdr:row>0</xdr:row>
      <xdr:rowOff>116417</xdr:rowOff>
    </xdr:from>
    <xdr:to>
      <xdr:col>7</xdr:col>
      <xdr:colOff>232834</xdr:colOff>
      <xdr:row>20</xdr:row>
      <xdr:rowOff>74083</xdr:rowOff>
    </xdr:to>
    <xdr:sp macro="" textlink="">
      <xdr:nvSpPr>
        <xdr:cNvPr id="4" name="Rectangle: Rounded Corners 3">
          <a:extLst>
            <a:ext uri="{FF2B5EF4-FFF2-40B4-BE49-F238E27FC236}">
              <a16:creationId xmlns:a16="http://schemas.microsoft.com/office/drawing/2014/main" id="{BB07F1D6-C9A2-5158-BD02-68E5A3D66CB6}"/>
            </a:ext>
          </a:extLst>
        </xdr:cNvPr>
        <xdr:cNvSpPr/>
      </xdr:nvSpPr>
      <xdr:spPr>
        <a:xfrm>
          <a:off x="158750" y="116417"/>
          <a:ext cx="4324615" cy="3767666"/>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PROJECT SPLIT</a:t>
          </a:r>
        </a:p>
        <a:p>
          <a:pPr algn="l"/>
          <a:r>
            <a:rPr lang="en-US" sz="1100"/>
            <a:t>Category1:</a:t>
          </a:r>
          <a:r>
            <a:rPr lang="en-US" sz="1100" baseline="0"/>
            <a:t> Independent Values</a:t>
          </a:r>
        </a:p>
        <a:p>
          <a:pPr algn="l"/>
          <a:r>
            <a:rPr lang="en-US" sz="1100" baseline="0"/>
            <a:t>1. Country</a:t>
          </a:r>
        </a:p>
        <a:p>
          <a:pPr algn="l"/>
          <a:r>
            <a:rPr lang="en-US" sz="1100" baseline="0"/>
            <a:t>2. City</a:t>
          </a:r>
        </a:p>
        <a:p>
          <a:pPr algn="l"/>
          <a:r>
            <a:rPr lang="en-US" sz="1100" baseline="0"/>
            <a:t>3. University</a:t>
          </a:r>
        </a:p>
        <a:p>
          <a:pPr algn="l"/>
          <a:r>
            <a:rPr lang="en-US" sz="1100" baseline="0"/>
            <a:t>4. Program</a:t>
          </a:r>
        </a:p>
        <a:p>
          <a:pPr algn="l"/>
          <a:r>
            <a:rPr lang="en-US" sz="1100" baseline="0"/>
            <a:t>5. Level</a:t>
          </a:r>
        </a:p>
        <a:p>
          <a:pPr algn="l"/>
          <a:r>
            <a:rPr lang="en-US" sz="1100" baseline="0"/>
            <a:t>6. Duration_Year</a:t>
          </a:r>
        </a:p>
        <a:p>
          <a:pPr algn="l"/>
          <a:endParaRPr lang="en-US" sz="1100" baseline="0"/>
        </a:p>
        <a:p>
          <a:pPr algn="l"/>
          <a:r>
            <a:rPr lang="en-US" sz="1100" baseline="0"/>
            <a:t>Category2: Dependent Values</a:t>
          </a:r>
        </a:p>
        <a:p>
          <a:pPr algn="l"/>
          <a:r>
            <a:rPr lang="en-US" sz="1100" baseline="0"/>
            <a:t>1. Living_Cost_Index</a:t>
          </a:r>
        </a:p>
        <a:p>
          <a:pPr algn="l"/>
          <a:r>
            <a:rPr lang="en-US" sz="1100" baseline="0"/>
            <a:t>2. Tuition_USD</a:t>
          </a:r>
        </a:p>
        <a:p>
          <a:pPr algn="l"/>
          <a:r>
            <a:rPr lang="en-US" sz="1100" baseline="0"/>
            <a:t>3. Rent_USD</a:t>
          </a:r>
        </a:p>
        <a:p>
          <a:pPr algn="l"/>
          <a:r>
            <a:rPr lang="en-US" sz="1100" baseline="0"/>
            <a:t>4. Visa_fee_USD</a:t>
          </a:r>
        </a:p>
        <a:p>
          <a:pPr algn="l"/>
          <a:r>
            <a:rPr lang="en-US" sz="1100" baseline="0"/>
            <a:t>5. Insurance_USD</a:t>
          </a:r>
        </a:p>
        <a:p>
          <a:pPr algn="l"/>
          <a:r>
            <a:rPr lang="en-US" sz="1100" baseline="0"/>
            <a:t>6. Exchange_Rate</a:t>
          </a:r>
          <a:endParaRPr lang="en-NG" sz="1100"/>
        </a:p>
      </xdr:txBody>
    </xdr:sp>
    <xdr:clientData/>
  </xdr:twoCellAnchor>
  <xdr:twoCellAnchor>
    <xdr:from>
      <xdr:col>7</xdr:col>
      <xdr:colOff>385234</xdr:colOff>
      <xdr:row>0</xdr:row>
      <xdr:rowOff>162984</xdr:rowOff>
    </xdr:from>
    <xdr:to>
      <xdr:col>14</xdr:col>
      <xdr:colOff>459317</xdr:colOff>
      <xdr:row>20</xdr:row>
      <xdr:rowOff>120650</xdr:rowOff>
    </xdr:to>
    <xdr:sp macro="" textlink="">
      <xdr:nvSpPr>
        <xdr:cNvPr id="5" name="Rectangle: Rounded Corners 4">
          <a:extLst>
            <a:ext uri="{FF2B5EF4-FFF2-40B4-BE49-F238E27FC236}">
              <a16:creationId xmlns:a16="http://schemas.microsoft.com/office/drawing/2014/main" id="{6BF0EE1D-843C-DC42-C4F4-49DE52F4BEA8}"/>
            </a:ext>
          </a:extLst>
        </xdr:cNvPr>
        <xdr:cNvSpPr/>
      </xdr:nvSpPr>
      <xdr:spPr>
        <a:xfrm>
          <a:off x="4682067" y="162984"/>
          <a:ext cx="4370917" cy="3767666"/>
        </a:xfrm>
        <a:prstGeom prst="roundRect">
          <a:avLst/>
        </a:prstGeom>
        <a:solidFill>
          <a:schemeClr val="bg1"/>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6">
                  <a:lumMod val="50000"/>
                </a:schemeClr>
              </a:solidFill>
            </a:rPr>
            <a:t>POTENTIAL</a:t>
          </a:r>
          <a:r>
            <a:rPr lang="en-US" sz="1100" b="1" baseline="0">
              <a:solidFill>
                <a:schemeClr val="accent6">
                  <a:lumMod val="50000"/>
                </a:schemeClr>
              </a:solidFill>
            </a:rPr>
            <a:t> ANALYSIS/QUESTIONS</a:t>
          </a:r>
          <a:endParaRPr lang="en-US" sz="1100" b="1">
            <a:solidFill>
              <a:schemeClr val="accent6">
                <a:lumMod val="50000"/>
              </a:schemeClr>
            </a:solidFill>
          </a:endParaRPr>
        </a:p>
        <a:p>
          <a:pPr algn="l"/>
          <a:r>
            <a:rPr lang="en-US" sz="1100">
              <a:solidFill>
                <a:schemeClr val="accent6">
                  <a:lumMod val="50000"/>
                </a:schemeClr>
              </a:solidFill>
            </a:rPr>
            <a:t>1.</a:t>
          </a:r>
          <a:r>
            <a:rPr lang="en-US" sz="1100" baseline="0">
              <a:solidFill>
                <a:schemeClr val="accent6">
                  <a:lumMod val="50000"/>
                </a:schemeClr>
              </a:solidFill>
            </a:rPr>
            <a:t> What is the living_cost_index of each country?</a:t>
          </a:r>
        </a:p>
        <a:p>
          <a:pPr algn="l"/>
          <a:r>
            <a:rPr lang="en-US" sz="1100" baseline="0">
              <a:solidFill>
                <a:schemeClr val="accent6">
                  <a:lumMod val="50000"/>
                </a:schemeClr>
              </a:solidFill>
            </a:rPr>
            <a:t>2. What are the top ten cities with high tuition fee?</a:t>
          </a:r>
        </a:p>
        <a:p>
          <a:pPr algn="l"/>
          <a:r>
            <a:rPr lang="en-US" sz="1100" baseline="0">
              <a:solidFill>
                <a:schemeClr val="accent6">
                  <a:lumMod val="50000"/>
                </a:schemeClr>
              </a:solidFill>
            </a:rPr>
            <a:t>3. What are the top ten cities with low tuition fee?</a:t>
          </a:r>
        </a:p>
        <a:p>
          <a:pPr algn="l"/>
          <a:r>
            <a:rPr lang="en-US" sz="1100" baseline="0">
              <a:solidFill>
                <a:schemeClr val="accent6">
                  <a:lumMod val="50000"/>
                </a:schemeClr>
              </a:solidFill>
            </a:rPr>
            <a:t>4. How does University offer </a:t>
          </a:r>
        </a:p>
        <a:p>
          <a:pPr algn="l"/>
          <a:r>
            <a:rPr lang="en-US" sz="1100" baseline="0">
              <a:solidFill>
                <a:schemeClr val="accent6">
                  <a:lumMod val="50000"/>
                </a:schemeClr>
              </a:solidFill>
            </a:rPr>
            <a:t>5. Evaluate the performance of Level by Living_cost_index or tuition fee?</a:t>
          </a:r>
        </a:p>
        <a:p>
          <a:pPr algn="l"/>
          <a:r>
            <a:rPr lang="en-US" sz="1100" baseline="0">
              <a:solidFill>
                <a:schemeClr val="accent6">
                  <a:lumMod val="50000"/>
                </a:schemeClr>
              </a:solidFill>
            </a:rPr>
            <a:t>6. Assess the prformance of country by Visa_fee_USD</a:t>
          </a:r>
        </a:p>
        <a:p>
          <a:pPr algn="l"/>
          <a:r>
            <a:rPr lang="en-US" sz="1100" baseline="0">
              <a:solidFill>
                <a:schemeClr val="accent6">
                  <a:lumMod val="50000"/>
                </a:schemeClr>
              </a:solidFill>
            </a:rPr>
            <a:t>7. Assess the perfomance of country by Exchange_Rate</a:t>
          </a:r>
        </a:p>
        <a:p>
          <a:pPr algn="l"/>
          <a:r>
            <a:rPr lang="en-US" sz="1100" baseline="0">
              <a:solidFill>
                <a:schemeClr val="accent6">
                  <a:lumMod val="50000"/>
                </a:schemeClr>
              </a:solidFill>
            </a:rPr>
            <a:t>8. Does Duration_Year have an effect on Rent_USD?</a:t>
          </a:r>
        </a:p>
        <a:p>
          <a:pPr algn="l"/>
          <a:r>
            <a:rPr lang="en-US" sz="1100" baseline="0">
              <a:solidFill>
                <a:schemeClr val="accent6">
                  <a:lumMod val="50000"/>
                </a:schemeClr>
              </a:solidFill>
            </a:rPr>
            <a:t>9. What is the correlation between visa and insurance across top ten counties?</a:t>
          </a:r>
        </a:p>
        <a:p>
          <a:pPr algn="l"/>
          <a:r>
            <a:rPr lang="en-US" sz="1100" baseline="0">
              <a:solidFill>
                <a:schemeClr val="accent6">
                  <a:lumMod val="50000"/>
                </a:schemeClr>
              </a:solidFill>
            </a:rPr>
            <a:t>10.  How does Level and Duration year correlate or have a meaning?</a:t>
          </a:r>
        </a:p>
        <a:p>
          <a:pPr algn="l"/>
          <a:r>
            <a:rPr lang="en-US" sz="1100" baseline="0">
              <a:solidFill>
                <a:schemeClr val="accent6">
                  <a:lumMod val="50000"/>
                </a:schemeClr>
              </a:solidFill>
            </a:rPr>
            <a:t>COLUMNS TO APPEND</a:t>
          </a:r>
        </a:p>
        <a:p>
          <a:pPr algn="l"/>
          <a:r>
            <a:rPr lang="en-US" sz="1100" baseline="0">
              <a:solidFill>
                <a:schemeClr val="accent6">
                  <a:lumMod val="50000"/>
                </a:schemeClr>
              </a:solidFill>
            </a:rPr>
            <a:t>1. Monthly_Estimated_Living_Cost</a:t>
          </a:r>
        </a:p>
        <a:p>
          <a:pPr algn="l"/>
          <a:r>
            <a:rPr lang="en-US" sz="1100" baseline="0">
              <a:solidFill>
                <a:schemeClr val="accent6">
                  <a:lumMod val="50000"/>
                </a:schemeClr>
              </a:solidFill>
            </a:rPr>
            <a:t>2. Annual_living_Cost</a:t>
          </a:r>
        </a:p>
        <a:p>
          <a:pPr algn="l"/>
          <a:r>
            <a:rPr lang="en-US" sz="1100" baseline="0">
              <a:solidFill>
                <a:schemeClr val="accent6">
                  <a:lumMod val="50000"/>
                </a:schemeClr>
              </a:solidFill>
            </a:rPr>
            <a:t>3. Total_Cost</a:t>
          </a:r>
        </a:p>
        <a:p>
          <a:pPr algn="l"/>
          <a:r>
            <a:rPr lang="en-US" sz="1100" baseline="0">
              <a:solidFill>
                <a:schemeClr val="accent6">
                  <a:lumMod val="50000"/>
                </a:schemeClr>
              </a:solidFill>
            </a:rPr>
            <a:t>4. Exchange_rate_marker</a:t>
          </a:r>
        </a:p>
        <a:p>
          <a:pPr algn="l"/>
          <a:endParaRPr lang="en-NG" sz="1100">
            <a:solidFill>
              <a:schemeClr val="accent6">
                <a:lumMod val="50000"/>
              </a:schemeClr>
            </a:solidFill>
          </a:endParaRPr>
        </a:p>
      </xdr:txBody>
    </xdr:sp>
    <xdr:clientData/>
  </xdr:twoCellAnchor>
  <xdr:twoCellAnchor>
    <xdr:from>
      <xdr:col>0</xdr:col>
      <xdr:colOff>365654</xdr:colOff>
      <xdr:row>21</xdr:row>
      <xdr:rowOff>93135</xdr:rowOff>
    </xdr:from>
    <xdr:to>
      <xdr:col>7</xdr:col>
      <xdr:colOff>439738</xdr:colOff>
      <xdr:row>41</xdr:row>
      <xdr:rowOff>50801</xdr:rowOff>
    </xdr:to>
    <xdr:sp macro="" textlink="">
      <xdr:nvSpPr>
        <xdr:cNvPr id="2" name="Rectangle: Rounded Corners 1">
          <a:extLst>
            <a:ext uri="{FF2B5EF4-FFF2-40B4-BE49-F238E27FC236}">
              <a16:creationId xmlns:a16="http://schemas.microsoft.com/office/drawing/2014/main" id="{BF996740-7EBC-2E56-4827-ACBEFCB24C5F}"/>
            </a:ext>
          </a:extLst>
        </xdr:cNvPr>
        <xdr:cNvSpPr/>
      </xdr:nvSpPr>
      <xdr:spPr>
        <a:xfrm>
          <a:off x="365654" y="4093635"/>
          <a:ext cx="4324615" cy="3767666"/>
        </a:xfrm>
        <a:prstGeom prst="roundRect">
          <a:avLst/>
        </a:prstGeom>
        <a:solidFill>
          <a:schemeClr val="bg1"/>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6">
                  <a:lumMod val="50000"/>
                </a:schemeClr>
              </a:solidFill>
            </a:rPr>
            <a:t>INDUSTRY</a:t>
          </a:r>
          <a:r>
            <a:rPr lang="en-US" sz="1100" b="1" baseline="0">
              <a:solidFill>
                <a:schemeClr val="accent6">
                  <a:lumMod val="50000"/>
                </a:schemeClr>
              </a:solidFill>
            </a:rPr>
            <a:t> TYPE</a:t>
          </a:r>
        </a:p>
        <a:p>
          <a:pPr algn="l"/>
          <a:r>
            <a:rPr lang="en-US" sz="1100" b="0" baseline="0">
              <a:solidFill>
                <a:schemeClr val="accent6">
                  <a:lumMod val="50000"/>
                </a:schemeClr>
              </a:solidFill>
            </a:rPr>
            <a:t>Internaltional Educational Consultnat company which provides information to potential study abroad students.</a:t>
          </a:r>
        </a:p>
        <a:p>
          <a:pPr algn="l"/>
          <a:endParaRPr lang="en-US" sz="1100" b="0" baseline="0">
            <a:solidFill>
              <a:schemeClr val="accent6">
                <a:lumMod val="50000"/>
              </a:schemeClr>
            </a:solidFill>
          </a:endParaRPr>
        </a:p>
        <a:p>
          <a:pPr algn="ctr"/>
          <a:r>
            <a:rPr lang="en-US" sz="1100" b="1" baseline="0">
              <a:solidFill>
                <a:schemeClr val="accent6">
                  <a:lumMod val="50000"/>
                </a:schemeClr>
              </a:solidFill>
            </a:rPr>
            <a:t>STORY OF DATA</a:t>
          </a:r>
        </a:p>
        <a:p>
          <a:pPr algn="l"/>
          <a:r>
            <a:rPr lang="en-US" sz="1100" b="0" baseline="0">
              <a:solidFill>
                <a:schemeClr val="accent6">
                  <a:lumMod val="50000"/>
                </a:schemeClr>
              </a:solidFill>
            </a:rPr>
            <a:t>The dataset is consisting of  12 columns which are  country, city, university, alongside program-specific information (program name, degree level, duration, tuition fees, living cost index, rent fees, visa fees, insurance, and exchange rates.  These are all in USD.</a:t>
          </a:r>
        </a:p>
        <a:p>
          <a:pPr algn="l"/>
          <a:endParaRPr lang="en-US" sz="1100" b="0" baseline="0">
            <a:solidFill>
              <a:schemeClr val="accent6">
                <a:lumMod val="50000"/>
              </a:schemeClr>
            </a:solidFill>
          </a:endParaRPr>
        </a:p>
        <a:p>
          <a:pPr algn="ctr"/>
          <a:r>
            <a:rPr lang="en-US" sz="1100" b="1" baseline="0">
              <a:solidFill>
                <a:schemeClr val="accent6">
                  <a:lumMod val="50000"/>
                </a:schemeClr>
              </a:solidFill>
            </a:rPr>
            <a:t>STAKEHOLDERS OF PROJECT</a:t>
          </a:r>
        </a:p>
        <a:p>
          <a:pPr algn="l"/>
          <a:r>
            <a:rPr lang="en-US" sz="1100" b="0" baseline="0">
              <a:solidFill>
                <a:schemeClr val="accent6">
                  <a:lumMod val="50000"/>
                </a:schemeClr>
              </a:solidFill>
            </a:rPr>
            <a:t>Educational consultants/experts, college admissions advisors, recent graduates with Bachelor degree who are determined to further their studies in foreign countries and scholarship firms. </a:t>
          </a:r>
        </a:p>
        <a:p>
          <a:pPr algn="l"/>
          <a:endParaRPr lang="en-US" sz="1100" b="0" baseline="0">
            <a:solidFill>
              <a:schemeClr val="accent6">
                <a:lumMod val="50000"/>
              </a:schemeClr>
            </a:solidFill>
          </a:endParaRPr>
        </a:p>
        <a:p>
          <a:pPr algn="ctr"/>
          <a:r>
            <a:rPr lang="en-US" sz="1100" b="1" baseline="0">
              <a:solidFill>
                <a:schemeClr val="accent6">
                  <a:lumMod val="50000"/>
                </a:schemeClr>
              </a:solidFill>
            </a:rPr>
            <a:t>WHAT SUCCESS MEANS TO THE COMPANY</a:t>
          </a:r>
          <a:endParaRPr lang="en-US" sz="1100" b="1">
            <a:solidFill>
              <a:schemeClr val="accent6">
                <a:lumMod val="50000"/>
              </a:schemeClr>
            </a:solidFill>
          </a:endParaRPr>
        </a:p>
        <a:p>
          <a:pPr algn="l"/>
          <a:r>
            <a:rPr lang="en-US" sz="1100" baseline="0">
              <a:solidFill>
                <a:schemeClr val="accent6">
                  <a:lumMod val="50000"/>
                </a:schemeClr>
              </a:solidFill>
            </a:rPr>
            <a:t>To  plan, strategise or advise potential international student based on their financial capacity on the best choice to make for their plans to study abroad.</a:t>
          </a:r>
          <a:endParaRPr lang="en-NG" sz="1100">
            <a:solidFill>
              <a:schemeClr val="accent6">
                <a:lumMod val="50000"/>
              </a:schemeClr>
            </a:solidFill>
          </a:endParaRPr>
        </a:p>
      </xdr:txBody>
    </xdr:sp>
    <xdr:clientData/>
  </xdr:twoCellAnchor>
  <xdr:twoCellAnchor>
    <xdr:from>
      <xdr:col>7</xdr:col>
      <xdr:colOff>584994</xdr:colOff>
      <xdr:row>21</xdr:row>
      <xdr:rowOff>137849</xdr:rowOff>
    </xdr:from>
    <xdr:to>
      <xdr:col>15</xdr:col>
      <xdr:colOff>51859</xdr:colOff>
      <xdr:row>41</xdr:row>
      <xdr:rowOff>95515</xdr:rowOff>
    </xdr:to>
    <xdr:sp macro="" textlink="">
      <xdr:nvSpPr>
        <xdr:cNvPr id="6" name="Rectangle: Rounded Corners 5">
          <a:extLst>
            <a:ext uri="{FF2B5EF4-FFF2-40B4-BE49-F238E27FC236}">
              <a16:creationId xmlns:a16="http://schemas.microsoft.com/office/drawing/2014/main" id="{C210CEB4-8099-2DD9-F797-A4E48BA3D635}"/>
            </a:ext>
          </a:extLst>
        </xdr:cNvPr>
        <xdr:cNvSpPr/>
      </xdr:nvSpPr>
      <xdr:spPr>
        <a:xfrm>
          <a:off x="4835525" y="4138349"/>
          <a:ext cx="4324615" cy="3767666"/>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POTENTIAL</a:t>
          </a:r>
          <a:r>
            <a:rPr lang="en-US" sz="1100" baseline="0"/>
            <a:t> INSIGHTS</a:t>
          </a:r>
        </a:p>
        <a:p>
          <a:pPr algn="l"/>
          <a:r>
            <a:rPr lang="en-US" sz="1100" baseline="0"/>
            <a:t>1. Finetune affordable tuitions based on potential student financial budget and eliminate </a:t>
          </a:r>
        </a:p>
        <a:p>
          <a:pPr algn="l"/>
          <a:r>
            <a:rPr lang="en-US" sz="1100" baseline="0"/>
            <a:t>2. To finetune the top three options to consider in terms of exchange rate.</a:t>
          </a:r>
        </a:p>
        <a:p>
          <a:pPr algn="l"/>
          <a:r>
            <a:rPr lang="en-US" sz="1100" baseline="0"/>
            <a:t>3. To finetune how program duration would affect living cost during study which helps to improve zeal during studies.</a:t>
          </a:r>
        </a:p>
        <a:p>
          <a:pPr algn="l"/>
          <a:r>
            <a:rPr lang="en-US" sz="1100" baseline="0"/>
            <a:t>4. To finetune the best University for a particular course of interest by the potential international student.</a:t>
          </a:r>
        </a:p>
        <a:p>
          <a:pPr algn="l"/>
          <a:r>
            <a:rPr lang="en-US" sz="1100" baseline="0"/>
            <a:t>5. Finetune the effect of insurance by each country and check out for the top three and least three countries.</a:t>
          </a:r>
          <a:endParaRPr lang="en-NG"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250031</xdr:colOff>
      <xdr:row>0</xdr:row>
      <xdr:rowOff>111125</xdr:rowOff>
    </xdr:from>
    <xdr:to>
      <xdr:col>23</xdr:col>
      <xdr:colOff>297656</xdr:colOff>
      <xdr:row>3</xdr:row>
      <xdr:rowOff>35719</xdr:rowOff>
    </xdr:to>
    <xdr:sp macro="" textlink="">
      <xdr:nvSpPr>
        <xdr:cNvPr id="3" name="Rectangle: Rounded Corners 2">
          <a:extLst>
            <a:ext uri="{FF2B5EF4-FFF2-40B4-BE49-F238E27FC236}">
              <a16:creationId xmlns:a16="http://schemas.microsoft.com/office/drawing/2014/main" id="{780813AD-676E-9494-8D59-95E4697A817A}"/>
            </a:ext>
          </a:extLst>
        </xdr:cNvPr>
        <xdr:cNvSpPr/>
      </xdr:nvSpPr>
      <xdr:spPr>
        <a:xfrm>
          <a:off x="1464469" y="111125"/>
          <a:ext cx="12799218" cy="496094"/>
        </a:xfrm>
        <a:prstGeom prst="roundRect">
          <a:avLst/>
        </a:prstGeom>
        <a:solidFill>
          <a:schemeClr val="bg1"/>
        </a:solidFill>
        <a:ln w="38100">
          <a:solidFill>
            <a:schemeClr val="accent6">
              <a:lumMod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300" b="1" i="0" baseline="0">
              <a:solidFill>
                <a:schemeClr val="accent6">
                  <a:lumMod val="50000"/>
                </a:schemeClr>
              </a:solidFill>
              <a:latin typeface="Georgia" panose="02040502050405020303" pitchFamily="18" charset="0"/>
            </a:rPr>
            <a:t> INTERNATIONAL STUDENT COST REPORT FOR THE YEAR 2023</a:t>
          </a:r>
        </a:p>
      </xdr:txBody>
    </xdr:sp>
    <xdr:clientData/>
  </xdr:twoCellAnchor>
  <xdr:twoCellAnchor>
    <xdr:from>
      <xdr:col>0</xdr:col>
      <xdr:colOff>57148</xdr:colOff>
      <xdr:row>0</xdr:row>
      <xdr:rowOff>57148</xdr:rowOff>
    </xdr:from>
    <xdr:to>
      <xdr:col>2</xdr:col>
      <xdr:colOff>190499</xdr:colOff>
      <xdr:row>33</xdr:row>
      <xdr:rowOff>16648</xdr:rowOff>
    </xdr:to>
    <xdr:sp macro="" textlink="">
      <xdr:nvSpPr>
        <xdr:cNvPr id="4" name="Rectangle: Rounded Corners 3">
          <a:extLst>
            <a:ext uri="{FF2B5EF4-FFF2-40B4-BE49-F238E27FC236}">
              <a16:creationId xmlns:a16="http://schemas.microsoft.com/office/drawing/2014/main" id="{228A399D-8F49-1F60-828C-B251A1DA410E}"/>
            </a:ext>
          </a:extLst>
        </xdr:cNvPr>
        <xdr:cNvSpPr/>
      </xdr:nvSpPr>
      <xdr:spPr>
        <a:xfrm>
          <a:off x="57148" y="57148"/>
          <a:ext cx="1347789" cy="6246000"/>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23</xdr:col>
      <xdr:colOff>357191</xdr:colOff>
      <xdr:row>0</xdr:row>
      <xdr:rowOff>77256</xdr:rowOff>
    </xdr:from>
    <xdr:to>
      <xdr:col>25</xdr:col>
      <xdr:colOff>489153</xdr:colOff>
      <xdr:row>33</xdr:row>
      <xdr:rowOff>35718</xdr:rowOff>
    </xdr:to>
    <xdr:sp macro="" textlink="">
      <xdr:nvSpPr>
        <xdr:cNvPr id="5" name="Rectangle: Rounded Corners 4">
          <a:extLst>
            <a:ext uri="{FF2B5EF4-FFF2-40B4-BE49-F238E27FC236}">
              <a16:creationId xmlns:a16="http://schemas.microsoft.com/office/drawing/2014/main" id="{FB82ED57-46FB-2D1E-302F-F46609D32644}"/>
            </a:ext>
          </a:extLst>
        </xdr:cNvPr>
        <xdr:cNvSpPr/>
      </xdr:nvSpPr>
      <xdr:spPr>
        <a:xfrm>
          <a:off x="14323222" y="77256"/>
          <a:ext cx="1346400" cy="6244962"/>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NG" sz="1100"/>
        </a:p>
      </xdr:txBody>
    </xdr:sp>
    <xdr:clientData/>
  </xdr:twoCellAnchor>
  <xdr:twoCellAnchor editAs="oneCell">
    <xdr:from>
      <xdr:col>0</xdr:col>
      <xdr:colOff>261935</xdr:colOff>
      <xdr:row>1</xdr:row>
      <xdr:rowOff>0</xdr:rowOff>
    </xdr:from>
    <xdr:to>
      <xdr:col>2</xdr:col>
      <xdr:colOff>47624</xdr:colOff>
      <xdr:row>6</xdr:row>
      <xdr:rowOff>130969</xdr:rowOff>
    </xdr:to>
    <xdr:pic>
      <xdr:nvPicPr>
        <xdr:cNvPr id="7" name="Picture 6" descr="Haven International School – SchoolCred">
          <a:extLst>
            <a:ext uri="{FF2B5EF4-FFF2-40B4-BE49-F238E27FC236}">
              <a16:creationId xmlns:a16="http://schemas.microsoft.com/office/drawing/2014/main" id="{72F9DD65-B4B3-7C34-71E6-E1CB033F37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1935" y="190500"/>
          <a:ext cx="1000127" cy="1083469"/>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xdr:row>
      <xdr:rowOff>95249</xdr:rowOff>
    </xdr:from>
    <xdr:to>
      <xdr:col>2</xdr:col>
      <xdr:colOff>285748</xdr:colOff>
      <xdr:row>11</xdr:row>
      <xdr:rowOff>107156</xdr:rowOff>
    </xdr:to>
    <xdr:sp macro="" textlink="">
      <xdr:nvSpPr>
        <xdr:cNvPr id="8" name="TextBox 7">
          <a:extLst>
            <a:ext uri="{FF2B5EF4-FFF2-40B4-BE49-F238E27FC236}">
              <a16:creationId xmlns:a16="http://schemas.microsoft.com/office/drawing/2014/main" id="{B7FFD718-E084-A36B-8449-B3D03ADABC7A}"/>
            </a:ext>
          </a:extLst>
        </xdr:cNvPr>
        <xdr:cNvSpPr txBox="1"/>
      </xdr:nvSpPr>
      <xdr:spPr>
        <a:xfrm>
          <a:off x="0" y="1047749"/>
          <a:ext cx="1500186" cy="1154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Georgia" panose="02040502050405020303" pitchFamily="18" charset="0"/>
            </a:rPr>
            <a:t>HAVEN INTERNATIONAL </a:t>
          </a:r>
        </a:p>
        <a:p>
          <a:pPr algn="ctr"/>
          <a:r>
            <a:rPr lang="en-US" sz="1100" b="1">
              <a:solidFill>
                <a:schemeClr val="bg1"/>
              </a:solidFill>
              <a:latin typeface="Georgia" panose="02040502050405020303" pitchFamily="18" charset="0"/>
            </a:rPr>
            <a:t>SCHOOL</a:t>
          </a:r>
          <a:endParaRPr lang="en-NG" sz="1100" b="1">
            <a:solidFill>
              <a:schemeClr val="bg1"/>
            </a:solidFill>
            <a:latin typeface="Georgia" panose="02040502050405020303" pitchFamily="18" charset="0"/>
          </a:endParaRPr>
        </a:p>
      </xdr:txBody>
    </xdr:sp>
    <xdr:clientData/>
  </xdr:twoCellAnchor>
  <xdr:twoCellAnchor>
    <xdr:from>
      <xdr:col>2</xdr:col>
      <xdr:colOff>265907</xdr:colOff>
      <xdr:row>7</xdr:row>
      <xdr:rowOff>146840</xdr:rowOff>
    </xdr:from>
    <xdr:to>
      <xdr:col>10</xdr:col>
      <xdr:colOff>488156</xdr:colOff>
      <xdr:row>19</xdr:row>
      <xdr:rowOff>154781</xdr:rowOff>
    </xdr:to>
    <xdr:graphicFrame macro="">
      <xdr:nvGraphicFramePr>
        <xdr:cNvPr id="9" name="Chart 8">
          <a:extLst>
            <a:ext uri="{FF2B5EF4-FFF2-40B4-BE49-F238E27FC236}">
              <a16:creationId xmlns:a16="http://schemas.microsoft.com/office/drawing/2014/main" id="{41BEFC7F-9D90-4A35-BD70-0F5A593FD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559595</xdr:colOff>
      <xdr:row>7</xdr:row>
      <xdr:rowOff>166687</xdr:rowOff>
    </xdr:from>
    <xdr:to>
      <xdr:col>15</xdr:col>
      <xdr:colOff>166688</xdr:colOff>
      <xdr:row>19</xdr:row>
      <xdr:rowOff>142875</xdr:rowOff>
    </xdr:to>
    <xdr:graphicFrame macro="">
      <xdr:nvGraphicFramePr>
        <xdr:cNvPr id="10" name="Chart 9">
          <a:extLst>
            <a:ext uri="{FF2B5EF4-FFF2-40B4-BE49-F238E27FC236}">
              <a16:creationId xmlns:a16="http://schemas.microsoft.com/office/drawing/2014/main" id="{BC092962-2EB5-41D7-938D-3C42FAC7A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226219</xdr:colOff>
      <xdr:row>7</xdr:row>
      <xdr:rowOff>174626</xdr:rowOff>
    </xdr:from>
    <xdr:to>
      <xdr:col>23</xdr:col>
      <xdr:colOff>285750</xdr:colOff>
      <xdr:row>19</xdr:row>
      <xdr:rowOff>142876</xdr:rowOff>
    </xdr:to>
    <xdr:graphicFrame macro="">
      <xdr:nvGraphicFramePr>
        <xdr:cNvPr id="11" name="Chart 10">
          <a:extLst>
            <a:ext uri="{FF2B5EF4-FFF2-40B4-BE49-F238E27FC236}">
              <a16:creationId xmlns:a16="http://schemas.microsoft.com/office/drawing/2014/main" id="{9B15B35A-4FA5-401F-B42E-22C38DEEC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35719</xdr:colOff>
      <xdr:row>20</xdr:row>
      <xdr:rowOff>35719</xdr:rowOff>
    </xdr:from>
    <xdr:to>
      <xdr:col>23</xdr:col>
      <xdr:colOff>297656</xdr:colOff>
      <xdr:row>33</xdr:row>
      <xdr:rowOff>51595</xdr:rowOff>
    </xdr:to>
    <xdr:graphicFrame macro="">
      <xdr:nvGraphicFramePr>
        <xdr:cNvPr id="12" name="Chart 11">
          <a:extLst>
            <a:ext uri="{FF2B5EF4-FFF2-40B4-BE49-F238E27FC236}">
              <a16:creationId xmlns:a16="http://schemas.microsoft.com/office/drawing/2014/main" id="{82D26FB4-41C1-4D8E-9A3B-501B2F878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261937</xdr:colOff>
      <xdr:row>20</xdr:row>
      <xdr:rowOff>47625</xdr:rowOff>
    </xdr:from>
    <xdr:to>
      <xdr:col>9</xdr:col>
      <xdr:colOff>412750</xdr:colOff>
      <xdr:row>33</xdr:row>
      <xdr:rowOff>15875</xdr:rowOff>
    </xdr:to>
    <xdr:graphicFrame macro="">
      <xdr:nvGraphicFramePr>
        <xdr:cNvPr id="13" name="Chart 12">
          <a:extLst>
            <a:ext uri="{FF2B5EF4-FFF2-40B4-BE49-F238E27FC236}">
              <a16:creationId xmlns:a16="http://schemas.microsoft.com/office/drawing/2014/main" id="{BBC10DCF-506F-4711-B9EA-92494294D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257175</xdr:colOff>
      <xdr:row>3</xdr:row>
      <xdr:rowOff>95250</xdr:rowOff>
    </xdr:from>
    <xdr:to>
      <xdr:col>5</xdr:col>
      <xdr:colOff>523519</xdr:colOff>
      <xdr:row>7</xdr:row>
      <xdr:rowOff>89250</xdr:rowOff>
    </xdr:to>
    <xdr:sp macro="" textlink="">
      <xdr:nvSpPr>
        <xdr:cNvPr id="14" name="Rectangle: Rounded Corners 13">
          <a:extLst>
            <a:ext uri="{FF2B5EF4-FFF2-40B4-BE49-F238E27FC236}">
              <a16:creationId xmlns:a16="http://schemas.microsoft.com/office/drawing/2014/main" id="{62809C2C-EF30-8762-62B7-664D80A43B25}"/>
            </a:ext>
          </a:extLst>
        </xdr:cNvPr>
        <xdr:cNvSpPr/>
      </xdr:nvSpPr>
      <xdr:spPr>
        <a:xfrm>
          <a:off x="1463675" y="666750"/>
          <a:ext cx="2076094" cy="756000"/>
        </a:xfrm>
        <a:prstGeom prst="roundRect">
          <a:avLst/>
        </a:prstGeom>
        <a:solidFill>
          <a:schemeClr val="accent6">
            <a:lumMod val="5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576264</xdr:colOff>
      <xdr:row>3</xdr:row>
      <xdr:rowOff>92869</xdr:rowOff>
    </xdr:from>
    <xdr:to>
      <xdr:col>9</xdr:col>
      <xdr:colOff>235389</xdr:colOff>
      <xdr:row>7</xdr:row>
      <xdr:rowOff>86869</xdr:rowOff>
    </xdr:to>
    <xdr:sp macro="" textlink="">
      <xdr:nvSpPr>
        <xdr:cNvPr id="15" name="Rectangle: Rounded Corners 14">
          <a:extLst>
            <a:ext uri="{FF2B5EF4-FFF2-40B4-BE49-F238E27FC236}">
              <a16:creationId xmlns:a16="http://schemas.microsoft.com/office/drawing/2014/main" id="{8D0D93FA-88A7-3DD0-8500-87021D6B9313}"/>
            </a:ext>
          </a:extLst>
        </xdr:cNvPr>
        <xdr:cNvSpPr/>
      </xdr:nvSpPr>
      <xdr:spPr>
        <a:xfrm>
          <a:off x="3592514" y="664369"/>
          <a:ext cx="2072125" cy="756000"/>
        </a:xfrm>
        <a:prstGeom prst="roundRect">
          <a:avLst/>
        </a:prstGeom>
        <a:solidFill>
          <a:schemeClr val="accent6">
            <a:lumMod val="5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300038</xdr:colOff>
      <xdr:row>3</xdr:row>
      <xdr:rowOff>90488</xdr:rowOff>
    </xdr:from>
    <xdr:to>
      <xdr:col>12</xdr:col>
      <xdr:colOff>566382</xdr:colOff>
      <xdr:row>7</xdr:row>
      <xdr:rowOff>84488</xdr:rowOff>
    </xdr:to>
    <xdr:sp macro="" textlink="">
      <xdr:nvSpPr>
        <xdr:cNvPr id="16" name="Rectangle: Rounded Corners 15">
          <a:extLst>
            <a:ext uri="{FF2B5EF4-FFF2-40B4-BE49-F238E27FC236}">
              <a16:creationId xmlns:a16="http://schemas.microsoft.com/office/drawing/2014/main" id="{C2CFCE04-D068-1B1B-E14A-7741B581645A}"/>
            </a:ext>
          </a:extLst>
        </xdr:cNvPr>
        <xdr:cNvSpPr/>
      </xdr:nvSpPr>
      <xdr:spPr>
        <a:xfrm>
          <a:off x="5729288" y="661988"/>
          <a:ext cx="2076094" cy="756000"/>
        </a:xfrm>
        <a:prstGeom prst="roundRect">
          <a:avLst/>
        </a:prstGeom>
        <a:solidFill>
          <a:schemeClr val="accent6">
            <a:lumMod val="5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23817</xdr:colOff>
      <xdr:row>3</xdr:row>
      <xdr:rowOff>100013</xdr:rowOff>
    </xdr:from>
    <xdr:to>
      <xdr:col>16</xdr:col>
      <xdr:colOff>290161</xdr:colOff>
      <xdr:row>7</xdr:row>
      <xdr:rowOff>94013</xdr:rowOff>
    </xdr:to>
    <xdr:sp macro="" textlink="">
      <xdr:nvSpPr>
        <xdr:cNvPr id="17" name="Rectangle: Rounded Corners 16">
          <a:extLst>
            <a:ext uri="{FF2B5EF4-FFF2-40B4-BE49-F238E27FC236}">
              <a16:creationId xmlns:a16="http://schemas.microsoft.com/office/drawing/2014/main" id="{CE7542A1-D41B-0678-935A-C9B0FC87EF18}"/>
            </a:ext>
          </a:extLst>
        </xdr:cNvPr>
        <xdr:cNvSpPr/>
      </xdr:nvSpPr>
      <xdr:spPr>
        <a:xfrm>
          <a:off x="7866067" y="671513"/>
          <a:ext cx="2076094" cy="756000"/>
        </a:xfrm>
        <a:prstGeom prst="roundRect">
          <a:avLst/>
        </a:prstGeom>
        <a:solidFill>
          <a:schemeClr val="accent6">
            <a:lumMod val="5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330993</xdr:colOff>
      <xdr:row>3</xdr:row>
      <xdr:rowOff>97632</xdr:rowOff>
    </xdr:from>
    <xdr:to>
      <xdr:col>19</xdr:col>
      <xdr:colOff>597337</xdr:colOff>
      <xdr:row>7</xdr:row>
      <xdr:rowOff>91632</xdr:rowOff>
    </xdr:to>
    <xdr:sp macro="" textlink="">
      <xdr:nvSpPr>
        <xdr:cNvPr id="18" name="Rectangle: Rounded Corners 17">
          <a:extLst>
            <a:ext uri="{FF2B5EF4-FFF2-40B4-BE49-F238E27FC236}">
              <a16:creationId xmlns:a16="http://schemas.microsoft.com/office/drawing/2014/main" id="{22693B7F-A6F3-4B49-6610-62170F679E40}"/>
            </a:ext>
          </a:extLst>
        </xdr:cNvPr>
        <xdr:cNvSpPr/>
      </xdr:nvSpPr>
      <xdr:spPr>
        <a:xfrm>
          <a:off x="9982993" y="669132"/>
          <a:ext cx="2076094" cy="756000"/>
        </a:xfrm>
        <a:prstGeom prst="roundRect">
          <a:avLst/>
        </a:prstGeom>
        <a:solidFill>
          <a:schemeClr val="accent6">
            <a:lumMod val="5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20</xdr:col>
      <xdr:colOff>30961</xdr:colOff>
      <xdr:row>3</xdr:row>
      <xdr:rowOff>95251</xdr:rowOff>
    </xdr:from>
    <xdr:to>
      <xdr:col>23</xdr:col>
      <xdr:colOff>297305</xdr:colOff>
      <xdr:row>7</xdr:row>
      <xdr:rowOff>89251</xdr:rowOff>
    </xdr:to>
    <xdr:sp macro="" textlink="">
      <xdr:nvSpPr>
        <xdr:cNvPr id="19" name="Rectangle: Rounded Corners 18">
          <a:extLst>
            <a:ext uri="{FF2B5EF4-FFF2-40B4-BE49-F238E27FC236}">
              <a16:creationId xmlns:a16="http://schemas.microsoft.com/office/drawing/2014/main" id="{05C7F5BC-FC45-BCA4-8E72-0732ECAE3113}"/>
            </a:ext>
          </a:extLst>
        </xdr:cNvPr>
        <xdr:cNvSpPr/>
      </xdr:nvSpPr>
      <xdr:spPr>
        <a:xfrm>
          <a:off x="12095961" y="666751"/>
          <a:ext cx="2076094" cy="756000"/>
        </a:xfrm>
        <a:prstGeom prst="roundRect">
          <a:avLst/>
        </a:prstGeom>
        <a:solidFill>
          <a:schemeClr val="accent6">
            <a:lumMod val="5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23813</xdr:colOff>
      <xdr:row>31</xdr:row>
      <xdr:rowOff>83344</xdr:rowOff>
    </xdr:from>
    <xdr:to>
      <xdr:col>3</xdr:col>
      <xdr:colOff>154782</xdr:colOff>
      <xdr:row>33</xdr:row>
      <xdr:rowOff>95250</xdr:rowOff>
    </xdr:to>
    <xdr:sp macro="" textlink="">
      <xdr:nvSpPr>
        <xdr:cNvPr id="23" name="TextBox 22">
          <a:extLst>
            <a:ext uri="{FF2B5EF4-FFF2-40B4-BE49-F238E27FC236}">
              <a16:creationId xmlns:a16="http://schemas.microsoft.com/office/drawing/2014/main" id="{56C6F2BF-52BA-A039-70A2-3DAF19543ECA}"/>
            </a:ext>
          </a:extLst>
        </xdr:cNvPr>
        <xdr:cNvSpPr txBox="1"/>
      </xdr:nvSpPr>
      <xdr:spPr>
        <a:xfrm>
          <a:off x="23813" y="5988844"/>
          <a:ext cx="1952625"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latin typeface="Georgia" panose="02040502050405020303" pitchFamily="18" charset="0"/>
            </a:rPr>
            <a:t>Dorcas Analytics</a:t>
          </a:r>
          <a:endParaRPr lang="en-NG" sz="1050" b="1">
            <a:solidFill>
              <a:schemeClr val="bg1"/>
            </a:solidFill>
            <a:latin typeface="Georgia" panose="02040502050405020303" pitchFamily="18" charset="0"/>
          </a:endParaRPr>
        </a:p>
      </xdr:txBody>
    </xdr:sp>
    <xdr:clientData/>
  </xdr:twoCellAnchor>
  <xdr:twoCellAnchor>
    <xdr:from>
      <xdr:col>2</xdr:col>
      <xdr:colOff>142876</xdr:colOff>
      <xdr:row>7</xdr:row>
      <xdr:rowOff>107155</xdr:rowOff>
    </xdr:from>
    <xdr:to>
      <xdr:col>11</xdr:col>
      <xdr:colOff>35721</xdr:colOff>
      <xdr:row>10</xdr:row>
      <xdr:rowOff>95249</xdr:rowOff>
    </xdr:to>
    <xdr:sp macro="" textlink="">
      <xdr:nvSpPr>
        <xdr:cNvPr id="24" name="TextBox 23">
          <a:extLst>
            <a:ext uri="{FF2B5EF4-FFF2-40B4-BE49-F238E27FC236}">
              <a16:creationId xmlns:a16="http://schemas.microsoft.com/office/drawing/2014/main" id="{49E3028E-4164-47C6-B0E5-7635FF2E2C9A}"/>
            </a:ext>
          </a:extLst>
        </xdr:cNvPr>
        <xdr:cNvSpPr txBox="1"/>
      </xdr:nvSpPr>
      <xdr:spPr>
        <a:xfrm>
          <a:off x="1357314" y="1440655"/>
          <a:ext cx="5357813" cy="559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solidFill>
                <a:schemeClr val="accent6">
                  <a:lumMod val="50000"/>
                </a:schemeClr>
              </a:solidFill>
              <a:latin typeface="Georgia" panose="02040502050405020303" pitchFamily="18" charset="0"/>
            </a:rPr>
            <a:t>Top</a:t>
          </a:r>
          <a:r>
            <a:rPr lang="en-US" sz="1300" b="1" baseline="0">
              <a:solidFill>
                <a:schemeClr val="accent6">
                  <a:lumMod val="50000"/>
                </a:schemeClr>
              </a:solidFill>
              <a:latin typeface="Georgia" panose="02040502050405020303" pitchFamily="18" charset="0"/>
            </a:rPr>
            <a:t> 6 Universities By Average Tuition And Average Living Cost</a:t>
          </a:r>
          <a:endParaRPr lang="en-NG" sz="1300" b="1">
            <a:solidFill>
              <a:schemeClr val="accent6">
                <a:lumMod val="50000"/>
              </a:schemeClr>
            </a:solidFill>
            <a:latin typeface="Georgia" panose="02040502050405020303" pitchFamily="18" charset="0"/>
          </a:endParaRPr>
        </a:p>
      </xdr:txBody>
    </xdr:sp>
    <xdr:clientData/>
  </xdr:twoCellAnchor>
  <xdr:twoCellAnchor>
    <xdr:from>
      <xdr:col>10</xdr:col>
      <xdr:colOff>583406</xdr:colOff>
      <xdr:row>7</xdr:row>
      <xdr:rowOff>134145</xdr:rowOff>
    </xdr:from>
    <xdr:to>
      <xdr:col>15</xdr:col>
      <xdr:colOff>166689</xdr:colOff>
      <xdr:row>9</xdr:row>
      <xdr:rowOff>7938</xdr:rowOff>
    </xdr:to>
    <xdr:sp macro="" textlink="">
      <xdr:nvSpPr>
        <xdr:cNvPr id="25" name="TextBox 24">
          <a:extLst>
            <a:ext uri="{FF2B5EF4-FFF2-40B4-BE49-F238E27FC236}">
              <a16:creationId xmlns:a16="http://schemas.microsoft.com/office/drawing/2014/main" id="{5E99A804-680D-E82C-6313-8ED2C712D1E4}"/>
            </a:ext>
          </a:extLst>
        </xdr:cNvPr>
        <xdr:cNvSpPr txBox="1"/>
      </xdr:nvSpPr>
      <xdr:spPr>
        <a:xfrm>
          <a:off x="6655594" y="1467645"/>
          <a:ext cx="2619376" cy="254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300" b="1">
              <a:solidFill>
                <a:schemeClr val="accent6">
                  <a:lumMod val="50000"/>
                </a:schemeClr>
              </a:solidFill>
              <a:latin typeface="Georgia" panose="02040502050405020303" pitchFamily="18" charset="0"/>
              <a:ea typeface="+mn-ea"/>
              <a:cs typeface="+mn-cs"/>
            </a:rPr>
            <a:t>Program Level By Total Cost</a:t>
          </a:r>
          <a:endParaRPr lang="en-NG" sz="1300" b="1">
            <a:solidFill>
              <a:schemeClr val="accent6">
                <a:lumMod val="50000"/>
              </a:schemeClr>
            </a:solidFill>
            <a:latin typeface="Georgia" panose="02040502050405020303" pitchFamily="18" charset="0"/>
            <a:ea typeface="+mn-ea"/>
            <a:cs typeface="+mn-cs"/>
          </a:endParaRPr>
        </a:p>
      </xdr:txBody>
    </xdr:sp>
    <xdr:clientData/>
  </xdr:twoCellAnchor>
  <xdr:twoCellAnchor>
    <xdr:from>
      <xdr:col>15</xdr:col>
      <xdr:colOff>185209</xdr:colOff>
      <xdr:row>7</xdr:row>
      <xdr:rowOff>140759</xdr:rowOff>
    </xdr:from>
    <xdr:to>
      <xdr:col>23</xdr:col>
      <xdr:colOff>232835</xdr:colOff>
      <xdr:row>9</xdr:row>
      <xdr:rowOff>26459</xdr:rowOff>
    </xdr:to>
    <xdr:sp macro="" textlink="">
      <xdr:nvSpPr>
        <xdr:cNvPr id="26" name="TextBox 25">
          <a:extLst>
            <a:ext uri="{FF2B5EF4-FFF2-40B4-BE49-F238E27FC236}">
              <a16:creationId xmlns:a16="http://schemas.microsoft.com/office/drawing/2014/main" id="{44E9C4E2-3F63-CCBF-4377-504BE966B437}"/>
            </a:ext>
          </a:extLst>
        </xdr:cNvPr>
        <xdr:cNvSpPr txBox="1"/>
      </xdr:nvSpPr>
      <xdr:spPr>
        <a:xfrm>
          <a:off x="9293490" y="1474259"/>
          <a:ext cx="490537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300" b="1">
              <a:solidFill>
                <a:schemeClr val="accent6">
                  <a:lumMod val="50000"/>
                </a:schemeClr>
              </a:solidFill>
              <a:latin typeface="Georgia" panose="02040502050405020303" pitchFamily="18" charset="0"/>
              <a:ea typeface="+mn-ea"/>
              <a:cs typeface="+mn-cs"/>
            </a:rPr>
            <a:t>Top 6 Countries By Visa Fee</a:t>
          </a:r>
          <a:endParaRPr lang="en-NG" sz="1300" b="1">
            <a:solidFill>
              <a:schemeClr val="accent6">
                <a:lumMod val="50000"/>
              </a:schemeClr>
            </a:solidFill>
            <a:latin typeface="Georgia" panose="02040502050405020303" pitchFamily="18" charset="0"/>
            <a:ea typeface="+mn-ea"/>
            <a:cs typeface="+mn-cs"/>
          </a:endParaRPr>
        </a:p>
      </xdr:txBody>
    </xdr:sp>
    <xdr:clientData/>
  </xdr:twoCellAnchor>
  <xdr:twoCellAnchor editAs="oneCell">
    <xdr:from>
      <xdr:col>23</xdr:col>
      <xdr:colOff>451114</xdr:colOff>
      <xdr:row>16</xdr:row>
      <xdr:rowOff>35720</xdr:rowOff>
    </xdr:from>
    <xdr:to>
      <xdr:col>25</xdr:col>
      <xdr:colOff>482864</xdr:colOff>
      <xdr:row>32</xdr:row>
      <xdr:rowOff>83344</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6F151707-4AF7-6E76-0AF2-9678AA0CC4B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569281" y="3270250"/>
              <a:ext cx="1259416" cy="290909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437886</xdr:colOff>
      <xdr:row>1</xdr:row>
      <xdr:rowOff>35719</xdr:rowOff>
    </xdr:from>
    <xdr:to>
      <xdr:col>25</xdr:col>
      <xdr:colOff>469635</xdr:colOff>
      <xdr:row>9</xdr:row>
      <xdr:rowOff>23812</xdr:rowOff>
    </xdr:to>
    <mc:AlternateContent xmlns:mc="http://schemas.openxmlformats.org/markup-compatibility/2006" xmlns:a14="http://schemas.microsoft.com/office/drawing/2010/main">
      <mc:Choice Requires="a14">
        <xdr:graphicFrame macro="">
          <xdr:nvGraphicFramePr>
            <xdr:cNvPr id="6" name="Years">
              <a:extLst>
                <a:ext uri="{FF2B5EF4-FFF2-40B4-BE49-F238E27FC236}">
                  <a16:creationId xmlns:a16="http://schemas.microsoft.com/office/drawing/2014/main" id="{8265DB35-9B56-9839-1969-B61EC475DA7F}"/>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4556053" y="657489"/>
              <a:ext cx="1259415" cy="11747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449792</xdr:colOff>
      <xdr:row>9</xdr:row>
      <xdr:rowOff>107156</xdr:rowOff>
    </xdr:from>
    <xdr:to>
      <xdr:col>25</xdr:col>
      <xdr:colOff>481541</xdr:colOff>
      <xdr:row>15</xdr:row>
      <xdr:rowOff>154781</xdr:rowOff>
    </xdr:to>
    <mc:AlternateContent xmlns:mc="http://schemas.openxmlformats.org/markup-compatibility/2006" xmlns:a14="http://schemas.microsoft.com/office/drawing/2010/main">
      <mc:Choice Requires="a14">
        <xdr:graphicFrame macro="">
          <xdr:nvGraphicFramePr>
            <xdr:cNvPr id="27" name="Affordability_marker">
              <a:extLst>
                <a:ext uri="{FF2B5EF4-FFF2-40B4-BE49-F238E27FC236}">
                  <a16:creationId xmlns:a16="http://schemas.microsoft.com/office/drawing/2014/main" id="{6D2EF664-EE59-52EC-F9F6-58C6E600DFDC}"/>
                </a:ext>
              </a:extLst>
            </xdr:cNvPr>
            <xdr:cNvGraphicFramePr/>
          </xdr:nvGraphicFramePr>
          <xdr:xfrm>
            <a:off x="0" y="0"/>
            <a:ext cx="0" cy="0"/>
          </xdr:xfrm>
          <a:graphic>
            <a:graphicData uri="http://schemas.microsoft.com/office/drawing/2010/slicer">
              <sle:slicer xmlns:sle="http://schemas.microsoft.com/office/drawing/2010/slicer" name="Affordability_marker"/>
            </a:graphicData>
          </a:graphic>
        </xdr:graphicFrame>
      </mc:Choice>
      <mc:Fallback xmlns="">
        <xdr:sp macro="" textlink="">
          <xdr:nvSpPr>
            <xdr:cNvPr id="0" name=""/>
            <xdr:cNvSpPr>
              <a:spLocks noTextEdit="1"/>
            </xdr:cNvSpPr>
          </xdr:nvSpPr>
          <xdr:spPr>
            <a:xfrm>
              <a:off x="14567959" y="1957917"/>
              <a:ext cx="1259415" cy="116416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297658</xdr:colOff>
      <xdr:row>3</xdr:row>
      <xdr:rowOff>119065</xdr:rowOff>
    </xdr:from>
    <xdr:to>
      <xdr:col>5</xdr:col>
      <xdr:colOff>559596</xdr:colOff>
      <xdr:row>5</xdr:row>
      <xdr:rowOff>47627</xdr:rowOff>
    </xdr:to>
    <xdr:sp macro="" textlink="">
      <xdr:nvSpPr>
        <xdr:cNvPr id="20" name="TextBox 19">
          <a:extLst>
            <a:ext uri="{FF2B5EF4-FFF2-40B4-BE49-F238E27FC236}">
              <a16:creationId xmlns:a16="http://schemas.microsoft.com/office/drawing/2014/main" id="{76102977-26DC-4A2E-28DD-32EF0E7FBBC7}"/>
            </a:ext>
          </a:extLst>
        </xdr:cNvPr>
        <xdr:cNvSpPr txBox="1"/>
      </xdr:nvSpPr>
      <xdr:spPr>
        <a:xfrm>
          <a:off x="1512096" y="690565"/>
          <a:ext cx="2083594"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chemeClr val="bg1"/>
              </a:solidFill>
              <a:latin typeface="Georgia" panose="02040502050405020303" pitchFamily="18" charset="0"/>
            </a:rPr>
            <a:t>Top</a:t>
          </a:r>
          <a:r>
            <a:rPr lang="en-US" sz="1400" b="0" baseline="0">
              <a:solidFill>
                <a:schemeClr val="bg1"/>
              </a:solidFill>
              <a:latin typeface="Georgia" panose="02040502050405020303" pitchFamily="18" charset="0"/>
            </a:rPr>
            <a:t> University</a:t>
          </a:r>
          <a:endParaRPr lang="en-US" sz="1400" b="0">
            <a:solidFill>
              <a:schemeClr val="bg1"/>
            </a:solidFill>
            <a:latin typeface="Georgia" panose="02040502050405020303" pitchFamily="18" charset="0"/>
          </a:endParaRPr>
        </a:p>
      </xdr:txBody>
    </xdr:sp>
    <xdr:clientData/>
  </xdr:twoCellAnchor>
  <xdr:twoCellAnchor>
    <xdr:from>
      <xdr:col>5</xdr:col>
      <xdr:colOff>559593</xdr:colOff>
      <xdr:row>3</xdr:row>
      <xdr:rowOff>116682</xdr:rowOff>
    </xdr:from>
    <xdr:to>
      <xdr:col>9</xdr:col>
      <xdr:colOff>250031</xdr:colOff>
      <xdr:row>5</xdr:row>
      <xdr:rowOff>142875</xdr:rowOff>
    </xdr:to>
    <xdr:sp macro="" textlink="">
      <xdr:nvSpPr>
        <xdr:cNvPr id="21" name="TextBox 20">
          <a:extLst>
            <a:ext uri="{FF2B5EF4-FFF2-40B4-BE49-F238E27FC236}">
              <a16:creationId xmlns:a16="http://schemas.microsoft.com/office/drawing/2014/main" id="{5F341521-2E6D-3B6E-8F3C-2CBBB0658C2D}"/>
            </a:ext>
          </a:extLst>
        </xdr:cNvPr>
        <xdr:cNvSpPr txBox="1"/>
      </xdr:nvSpPr>
      <xdr:spPr>
        <a:xfrm>
          <a:off x="3595687" y="688182"/>
          <a:ext cx="2119313" cy="40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chemeClr val="bg1"/>
              </a:solidFill>
              <a:latin typeface="Georgia" panose="02040502050405020303" pitchFamily="18" charset="0"/>
            </a:rPr>
            <a:t>Chief</a:t>
          </a:r>
          <a:r>
            <a:rPr lang="en-US" sz="1400" b="0" baseline="0">
              <a:solidFill>
                <a:schemeClr val="bg1"/>
              </a:solidFill>
              <a:latin typeface="Georgia" panose="02040502050405020303" pitchFamily="18" charset="0"/>
            </a:rPr>
            <a:t> Program Level</a:t>
          </a:r>
          <a:endParaRPr lang="en-US" sz="1400" b="0">
            <a:solidFill>
              <a:schemeClr val="bg1"/>
            </a:solidFill>
            <a:latin typeface="Georgia" panose="02040502050405020303" pitchFamily="18" charset="0"/>
          </a:endParaRPr>
        </a:p>
      </xdr:txBody>
    </xdr:sp>
    <xdr:clientData/>
  </xdr:twoCellAnchor>
  <xdr:twoCellAnchor>
    <xdr:from>
      <xdr:col>9</xdr:col>
      <xdr:colOff>333375</xdr:colOff>
      <xdr:row>3</xdr:row>
      <xdr:rowOff>114301</xdr:rowOff>
    </xdr:from>
    <xdr:to>
      <xdr:col>12</xdr:col>
      <xdr:colOff>571499</xdr:colOff>
      <xdr:row>5</xdr:row>
      <xdr:rowOff>130969</xdr:rowOff>
    </xdr:to>
    <xdr:sp macro="" textlink="">
      <xdr:nvSpPr>
        <xdr:cNvPr id="22" name="TextBox 21">
          <a:extLst>
            <a:ext uri="{FF2B5EF4-FFF2-40B4-BE49-F238E27FC236}">
              <a16:creationId xmlns:a16="http://schemas.microsoft.com/office/drawing/2014/main" id="{697BCE9F-669C-7F05-1BBD-014E82E82CEA}"/>
            </a:ext>
          </a:extLst>
        </xdr:cNvPr>
        <xdr:cNvSpPr txBox="1"/>
      </xdr:nvSpPr>
      <xdr:spPr>
        <a:xfrm>
          <a:off x="5798344" y="685801"/>
          <a:ext cx="2059780" cy="397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chemeClr val="bg1"/>
              </a:solidFill>
              <a:latin typeface="Georgia" panose="02040502050405020303" pitchFamily="18" charset="0"/>
            </a:rPr>
            <a:t>Premier</a:t>
          </a:r>
          <a:r>
            <a:rPr lang="en-US" sz="1400" b="0" baseline="0">
              <a:solidFill>
                <a:schemeClr val="bg1"/>
              </a:solidFill>
              <a:latin typeface="Georgia" panose="02040502050405020303" pitchFamily="18" charset="0"/>
            </a:rPr>
            <a:t> Country </a:t>
          </a:r>
          <a:endParaRPr lang="en-US" sz="1400" b="0">
            <a:solidFill>
              <a:schemeClr val="bg1"/>
            </a:solidFill>
            <a:latin typeface="Georgia" panose="02040502050405020303" pitchFamily="18" charset="0"/>
          </a:endParaRPr>
        </a:p>
      </xdr:txBody>
    </xdr:sp>
    <xdr:clientData/>
  </xdr:twoCellAnchor>
  <xdr:twoCellAnchor>
    <xdr:from>
      <xdr:col>12</xdr:col>
      <xdr:colOff>516733</xdr:colOff>
      <xdr:row>3</xdr:row>
      <xdr:rowOff>111920</xdr:rowOff>
    </xdr:from>
    <xdr:to>
      <xdr:col>16</xdr:col>
      <xdr:colOff>319087</xdr:colOff>
      <xdr:row>5</xdr:row>
      <xdr:rowOff>40482</xdr:rowOff>
    </xdr:to>
    <xdr:sp macro="" textlink="">
      <xdr:nvSpPr>
        <xdr:cNvPr id="29" name="TextBox 28">
          <a:extLst>
            <a:ext uri="{FF2B5EF4-FFF2-40B4-BE49-F238E27FC236}">
              <a16:creationId xmlns:a16="http://schemas.microsoft.com/office/drawing/2014/main" id="{0C6C2791-C62C-B188-0853-227B31BDEE33}"/>
            </a:ext>
          </a:extLst>
        </xdr:cNvPr>
        <xdr:cNvSpPr txBox="1"/>
      </xdr:nvSpPr>
      <xdr:spPr>
        <a:xfrm>
          <a:off x="7803358" y="683420"/>
          <a:ext cx="2231229"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baseline="0">
              <a:solidFill>
                <a:schemeClr val="bg1"/>
              </a:solidFill>
              <a:latin typeface="Georgia" panose="02040502050405020303" pitchFamily="18" charset="0"/>
            </a:rPr>
            <a:t>Leading City By Rent </a:t>
          </a:r>
          <a:endParaRPr lang="en-US" sz="1400" b="0">
            <a:solidFill>
              <a:schemeClr val="bg1"/>
            </a:solidFill>
            <a:latin typeface="Georgia" panose="02040502050405020303" pitchFamily="18" charset="0"/>
          </a:endParaRPr>
        </a:p>
      </xdr:txBody>
    </xdr:sp>
    <xdr:clientData/>
  </xdr:twoCellAnchor>
  <xdr:twoCellAnchor>
    <xdr:from>
      <xdr:col>16</xdr:col>
      <xdr:colOff>264321</xdr:colOff>
      <xdr:row>3</xdr:row>
      <xdr:rowOff>85724</xdr:rowOff>
    </xdr:from>
    <xdr:to>
      <xdr:col>20</xdr:col>
      <xdr:colOff>66675</xdr:colOff>
      <xdr:row>6</xdr:row>
      <xdr:rowOff>35719</xdr:rowOff>
    </xdr:to>
    <xdr:sp macro="" textlink="">
      <xdr:nvSpPr>
        <xdr:cNvPr id="30" name="TextBox 29">
          <a:extLst>
            <a:ext uri="{FF2B5EF4-FFF2-40B4-BE49-F238E27FC236}">
              <a16:creationId xmlns:a16="http://schemas.microsoft.com/office/drawing/2014/main" id="{81DECED0-1F15-8451-4D6A-12BAE8200C46}"/>
            </a:ext>
          </a:extLst>
        </xdr:cNvPr>
        <xdr:cNvSpPr txBox="1"/>
      </xdr:nvSpPr>
      <xdr:spPr>
        <a:xfrm>
          <a:off x="9979821" y="657224"/>
          <a:ext cx="2231229" cy="521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chemeClr val="bg1"/>
              </a:solidFill>
              <a:latin typeface="Georgia" panose="02040502050405020303" pitchFamily="18" charset="0"/>
            </a:rPr>
            <a:t>Finest</a:t>
          </a:r>
          <a:r>
            <a:rPr lang="en-US" sz="1400" b="0" baseline="0">
              <a:solidFill>
                <a:schemeClr val="bg1"/>
              </a:solidFill>
              <a:latin typeface="Georgia" panose="02040502050405020303" pitchFamily="18" charset="0"/>
            </a:rPr>
            <a:t> Country By Living Index</a:t>
          </a:r>
          <a:endParaRPr lang="en-US" sz="1400" b="0">
            <a:solidFill>
              <a:schemeClr val="bg1"/>
            </a:solidFill>
            <a:latin typeface="Georgia" panose="02040502050405020303" pitchFamily="18" charset="0"/>
          </a:endParaRPr>
        </a:p>
      </xdr:txBody>
    </xdr:sp>
    <xdr:clientData/>
  </xdr:twoCellAnchor>
  <xdr:twoCellAnchor>
    <xdr:from>
      <xdr:col>20</xdr:col>
      <xdr:colOff>47625</xdr:colOff>
      <xdr:row>3</xdr:row>
      <xdr:rowOff>95250</xdr:rowOff>
    </xdr:from>
    <xdr:to>
      <xdr:col>23</xdr:col>
      <xdr:colOff>290513</xdr:colOff>
      <xdr:row>5</xdr:row>
      <xdr:rowOff>83344</xdr:rowOff>
    </xdr:to>
    <xdr:sp macro="" textlink="">
      <xdr:nvSpPr>
        <xdr:cNvPr id="31" name="TextBox 30">
          <a:extLst>
            <a:ext uri="{FF2B5EF4-FFF2-40B4-BE49-F238E27FC236}">
              <a16:creationId xmlns:a16="http://schemas.microsoft.com/office/drawing/2014/main" id="{8664CE5B-1984-E38F-CC9B-B164CB685409}"/>
            </a:ext>
          </a:extLst>
        </xdr:cNvPr>
        <xdr:cNvSpPr txBox="1"/>
      </xdr:nvSpPr>
      <xdr:spPr>
        <a:xfrm>
          <a:off x="12192000" y="666750"/>
          <a:ext cx="2064544" cy="369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chemeClr val="bg1"/>
              </a:solidFill>
              <a:latin typeface="Georgia" panose="02040502050405020303" pitchFamily="18" charset="0"/>
            </a:rPr>
            <a:t>Chief</a:t>
          </a:r>
          <a:r>
            <a:rPr lang="en-US" sz="1400" b="0" baseline="0">
              <a:solidFill>
                <a:schemeClr val="bg1"/>
              </a:solidFill>
              <a:latin typeface="Georgia" panose="02040502050405020303" pitchFamily="18" charset="0"/>
            </a:rPr>
            <a:t> Program</a:t>
          </a:r>
        </a:p>
        <a:p>
          <a:pPr algn="ctr"/>
          <a:endParaRPr lang="en-US" sz="1400" b="0" baseline="0">
            <a:solidFill>
              <a:schemeClr val="bg1"/>
            </a:solidFill>
            <a:latin typeface="Georgia" panose="02040502050405020303" pitchFamily="18" charset="0"/>
          </a:endParaRPr>
        </a:p>
        <a:p>
          <a:pPr algn="ctr"/>
          <a:endParaRPr lang="en-US" sz="1400" b="0">
            <a:solidFill>
              <a:schemeClr val="bg1"/>
            </a:solidFill>
            <a:latin typeface="Georgia" panose="02040502050405020303" pitchFamily="18" charset="0"/>
          </a:endParaRPr>
        </a:p>
      </xdr:txBody>
    </xdr:sp>
    <xdr:clientData/>
  </xdr:twoCellAnchor>
  <xdr:twoCellAnchor>
    <xdr:from>
      <xdr:col>2</xdr:col>
      <xdr:colOff>295273</xdr:colOff>
      <xdr:row>5</xdr:row>
      <xdr:rowOff>40480</xdr:rowOff>
    </xdr:from>
    <xdr:to>
      <xdr:col>5</xdr:col>
      <xdr:colOff>488155</xdr:colOff>
      <xdr:row>7</xdr:row>
      <xdr:rowOff>35718</xdr:rowOff>
    </xdr:to>
    <xdr:sp macro="" textlink="">
      <xdr:nvSpPr>
        <xdr:cNvPr id="32" name="TextBox 31">
          <a:extLst>
            <a:ext uri="{FF2B5EF4-FFF2-40B4-BE49-F238E27FC236}">
              <a16:creationId xmlns:a16="http://schemas.microsoft.com/office/drawing/2014/main" id="{6E1A024D-7F2D-EB8B-AE35-BCFD120AA662}"/>
            </a:ext>
          </a:extLst>
        </xdr:cNvPr>
        <xdr:cNvSpPr txBox="1"/>
      </xdr:nvSpPr>
      <xdr:spPr>
        <a:xfrm>
          <a:off x="1509711" y="992980"/>
          <a:ext cx="2014538" cy="376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300" b="1">
              <a:solidFill>
                <a:schemeClr val="bg1"/>
              </a:solidFill>
              <a:latin typeface="Georgia" panose="02040502050405020303" pitchFamily="18" charset="0"/>
            </a:rPr>
            <a:t>Columbia University</a:t>
          </a:r>
          <a:endParaRPr lang="en-NG" sz="1300" b="1">
            <a:solidFill>
              <a:schemeClr val="bg1"/>
            </a:solidFill>
            <a:latin typeface="Georgia" panose="02040502050405020303" pitchFamily="18" charset="0"/>
          </a:endParaRPr>
        </a:p>
      </xdr:txBody>
    </xdr:sp>
    <xdr:clientData/>
  </xdr:twoCellAnchor>
  <xdr:twoCellAnchor>
    <xdr:from>
      <xdr:col>9</xdr:col>
      <xdr:colOff>476250</xdr:colOff>
      <xdr:row>20</xdr:row>
      <xdr:rowOff>42335</xdr:rowOff>
    </xdr:from>
    <xdr:to>
      <xdr:col>15</xdr:col>
      <xdr:colOff>571500</xdr:colOff>
      <xdr:row>33</xdr:row>
      <xdr:rowOff>31753</xdr:rowOff>
    </xdr:to>
    <xdr:graphicFrame macro="">
      <xdr:nvGraphicFramePr>
        <xdr:cNvPr id="33" name="Chart 32">
          <a:extLst>
            <a:ext uri="{FF2B5EF4-FFF2-40B4-BE49-F238E27FC236}">
              <a16:creationId xmlns:a16="http://schemas.microsoft.com/office/drawing/2014/main" id="{B5980F07-7666-44F3-B540-489517C04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309563</xdr:colOff>
      <xdr:row>5</xdr:row>
      <xdr:rowOff>83343</xdr:rowOff>
    </xdr:from>
    <xdr:to>
      <xdr:col>12</xdr:col>
      <xdr:colOff>559595</xdr:colOff>
      <xdr:row>7</xdr:row>
      <xdr:rowOff>80963</xdr:rowOff>
    </xdr:to>
    <xdr:sp macro="" textlink="">
      <xdr:nvSpPr>
        <xdr:cNvPr id="34" name="TextBox 33">
          <a:extLst>
            <a:ext uri="{FF2B5EF4-FFF2-40B4-BE49-F238E27FC236}">
              <a16:creationId xmlns:a16="http://schemas.microsoft.com/office/drawing/2014/main" id="{00549983-6335-AC93-81F2-FBF6D5805A90}"/>
            </a:ext>
          </a:extLst>
        </xdr:cNvPr>
        <xdr:cNvSpPr txBox="1"/>
      </xdr:nvSpPr>
      <xdr:spPr>
        <a:xfrm>
          <a:off x="5774532" y="1035843"/>
          <a:ext cx="2071688" cy="37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Georgia" panose="02040502050405020303" pitchFamily="18" charset="0"/>
            </a:rPr>
            <a:t>UK</a:t>
          </a:r>
        </a:p>
      </xdr:txBody>
    </xdr:sp>
    <xdr:clientData/>
  </xdr:twoCellAnchor>
  <xdr:twoCellAnchor>
    <xdr:from>
      <xdr:col>13</xdr:col>
      <xdr:colOff>54769</xdr:colOff>
      <xdr:row>5</xdr:row>
      <xdr:rowOff>128587</xdr:rowOff>
    </xdr:from>
    <xdr:to>
      <xdr:col>16</xdr:col>
      <xdr:colOff>261937</xdr:colOff>
      <xdr:row>7</xdr:row>
      <xdr:rowOff>126207</xdr:rowOff>
    </xdr:to>
    <xdr:sp macro="" textlink="">
      <xdr:nvSpPr>
        <xdr:cNvPr id="35" name="TextBox 34">
          <a:extLst>
            <a:ext uri="{FF2B5EF4-FFF2-40B4-BE49-F238E27FC236}">
              <a16:creationId xmlns:a16="http://schemas.microsoft.com/office/drawing/2014/main" id="{FE5E435D-829D-550F-B500-A0E9D0B44CB4}"/>
            </a:ext>
          </a:extLst>
        </xdr:cNvPr>
        <xdr:cNvSpPr txBox="1"/>
      </xdr:nvSpPr>
      <xdr:spPr>
        <a:xfrm>
          <a:off x="7948613" y="1081087"/>
          <a:ext cx="2028824" cy="37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Georgia" panose="02040502050405020303" pitchFamily="18" charset="0"/>
            </a:rPr>
            <a:t>New</a:t>
          </a:r>
          <a:r>
            <a:rPr lang="en-US" sz="1400" b="1" baseline="0">
              <a:solidFill>
                <a:schemeClr val="bg1"/>
              </a:solidFill>
              <a:latin typeface="Georgia" panose="02040502050405020303" pitchFamily="18" charset="0"/>
            </a:rPr>
            <a:t> York</a:t>
          </a:r>
          <a:endParaRPr lang="en-US" sz="1400" b="1">
            <a:solidFill>
              <a:schemeClr val="bg1"/>
            </a:solidFill>
            <a:latin typeface="Georgia" panose="02040502050405020303" pitchFamily="18" charset="0"/>
          </a:endParaRPr>
        </a:p>
      </xdr:txBody>
    </xdr:sp>
    <xdr:clientData/>
  </xdr:twoCellAnchor>
  <xdr:twoCellAnchor>
    <xdr:from>
      <xdr:col>16</xdr:col>
      <xdr:colOff>350044</xdr:colOff>
      <xdr:row>5</xdr:row>
      <xdr:rowOff>130968</xdr:rowOff>
    </xdr:from>
    <xdr:to>
      <xdr:col>19</xdr:col>
      <xdr:colOff>571500</xdr:colOff>
      <xdr:row>7</xdr:row>
      <xdr:rowOff>40481</xdr:rowOff>
    </xdr:to>
    <xdr:sp macro="" textlink="">
      <xdr:nvSpPr>
        <xdr:cNvPr id="36" name="TextBox 35">
          <a:extLst>
            <a:ext uri="{FF2B5EF4-FFF2-40B4-BE49-F238E27FC236}">
              <a16:creationId xmlns:a16="http://schemas.microsoft.com/office/drawing/2014/main" id="{9682FBBA-9907-D873-3950-D0F8F1D142A4}"/>
            </a:ext>
          </a:extLst>
        </xdr:cNvPr>
        <xdr:cNvSpPr txBox="1"/>
      </xdr:nvSpPr>
      <xdr:spPr>
        <a:xfrm>
          <a:off x="10065544" y="1083468"/>
          <a:ext cx="2043112" cy="29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Georgia" panose="02040502050405020303" pitchFamily="18" charset="0"/>
            </a:rPr>
            <a:t>Switzerland</a:t>
          </a:r>
        </a:p>
      </xdr:txBody>
    </xdr:sp>
    <xdr:clientData/>
  </xdr:twoCellAnchor>
  <xdr:twoCellAnchor>
    <xdr:from>
      <xdr:col>20</xdr:col>
      <xdr:colOff>105569</xdr:colOff>
      <xdr:row>5</xdr:row>
      <xdr:rowOff>124618</xdr:rowOff>
    </xdr:from>
    <xdr:to>
      <xdr:col>23</xdr:col>
      <xdr:colOff>327025</xdr:colOff>
      <xdr:row>7</xdr:row>
      <xdr:rowOff>34131</xdr:rowOff>
    </xdr:to>
    <xdr:sp macro="" textlink="">
      <xdr:nvSpPr>
        <xdr:cNvPr id="37" name="TextBox 36">
          <a:extLst>
            <a:ext uri="{FF2B5EF4-FFF2-40B4-BE49-F238E27FC236}">
              <a16:creationId xmlns:a16="http://schemas.microsoft.com/office/drawing/2014/main" id="{F238DDB7-E5A6-3F39-7B0E-5ABDD6AFC88A}"/>
            </a:ext>
          </a:extLst>
        </xdr:cNvPr>
        <xdr:cNvSpPr txBox="1"/>
      </xdr:nvSpPr>
      <xdr:spPr>
        <a:xfrm>
          <a:off x="12170569" y="1077118"/>
          <a:ext cx="2031206" cy="29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Georgia" panose="02040502050405020303" pitchFamily="18" charset="0"/>
            </a:rPr>
            <a:t>Machine</a:t>
          </a:r>
          <a:r>
            <a:rPr lang="en-US" sz="1400" b="1" baseline="0">
              <a:solidFill>
                <a:schemeClr val="bg1"/>
              </a:solidFill>
              <a:latin typeface="Georgia" panose="02040502050405020303" pitchFamily="18" charset="0"/>
            </a:rPr>
            <a:t> Learning</a:t>
          </a:r>
          <a:endParaRPr lang="en-US" sz="1400" b="1">
            <a:solidFill>
              <a:schemeClr val="bg1"/>
            </a:solidFill>
            <a:latin typeface="Georgia" panose="02040502050405020303" pitchFamily="18" charset="0"/>
          </a:endParaRPr>
        </a:p>
      </xdr:txBody>
    </xdr:sp>
    <xdr:clientData/>
  </xdr:twoCellAnchor>
  <xdr:twoCellAnchor>
    <xdr:from>
      <xdr:col>5</xdr:col>
      <xdr:colOff>592932</xdr:colOff>
      <xdr:row>5</xdr:row>
      <xdr:rowOff>45244</xdr:rowOff>
    </xdr:from>
    <xdr:to>
      <xdr:col>9</xdr:col>
      <xdr:colOff>235745</xdr:colOff>
      <xdr:row>7</xdr:row>
      <xdr:rowOff>42864</xdr:rowOff>
    </xdr:to>
    <xdr:sp macro="" textlink="">
      <xdr:nvSpPr>
        <xdr:cNvPr id="38" name="TextBox 37">
          <a:extLst>
            <a:ext uri="{FF2B5EF4-FFF2-40B4-BE49-F238E27FC236}">
              <a16:creationId xmlns:a16="http://schemas.microsoft.com/office/drawing/2014/main" id="{AD51B03F-12FB-3D31-A9B4-05B16345DF15}"/>
            </a:ext>
          </a:extLst>
        </xdr:cNvPr>
        <xdr:cNvSpPr txBox="1"/>
      </xdr:nvSpPr>
      <xdr:spPr>
        <a:xfrm>
          <a:off x="3629026" y="997744"/>
          <a:ext cx="2071688" cy="37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a:solidFill>
                <a:schemeClr val="bg1"/>
              </a:solidFill>
              <a:latin typeface="Georgia" panose="02040502050405020303" pitchFamily="18" charset="0"/>
            </a:rPr>
            <a:t>Bachelor</a:t>
          </a:r>
        </a:p>
      </xdr:txBody>
    </xdr:sp>
    <xdr:clientData/>
  </xdr:twoCellAnchor>
  <xdr:twoCellAnchor editAs="oneCell">
    <xdr:from>
      <xdr:col>0</xdr:col>
      <xdr:colOff>333374</xdr:colOff>
      <xdr:row>25</xdr:row>
      <xdr:rowOff>134941</xdr:rowOff>
    </xdr:from>
    <xdr:to>
      <xdr:col>1</xdr:col>
      <xdr:colOff>374155</xdr:colOff>
      <xdr:row>29</xdr:row>
      <xdr:rowOff>20197</xdr:rowOff>
    </xdr:to>
    <xdr:pic>
      <xdr:nvPicPr>
        <xdr:cNvPr id="41" name="Graphic 40" descr="Email with solid fill">
          <a:extLst>
            <a:ext uri="{FF2B5EF4-FFF2-40B4-BE49-F238E27FC236}">
              <a16:creationId xmlns:a16="http://schemas.microsoft.com/office/drawing/2014/main" id="{61C38D46-91AC-F797-0A94-8CDC7718885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33374" y="4897441"/>
          <a:ext cx="648000" cy="647256"/>
        </a:xfrm>
        <a:prstGeom prst="rect">
          <a:avLst/>
        </a:prstGeom>
      </xdr:spPr>
    </xdr:pic>
    <xdr:clientData/>
  </xdr:twoCellAnchor>
  <xdr:twoCellAnchor editAs="oneCell">
    <xdr:from>
      <xdr:col>0</xdr:col>
      <xdr:colOff>317498</xdr:colOff>
      <xdr:row>20</xdr:row>
      <xdr:rowOff>51594</xdr:rowOff>
    </xdr:from>
    <xdr:to>
      <xdr:col>1</xdr:col>
      <xdr:colOff>358279</xdr:colOff>
      <xdr:row>23</xdr:row>
      <xdr:rowOff>124863</xdr:rowOff>
    </xdr:to>
    <xdr:pic>
      <xdr:nvPicPr>
        <xdr:cNvPr id="43" name="Graphic 42" descr="Head with gears with solid fill">
          <a:hlinkClick xmlns:r="http://schemas.openxmlformats.org/officeDocument/2006/relationships" r:id="rId10"/>
          <a:extLst>
            <a:ext uri="{FF2B5EF4-FFF2-40B4-BE49-F238E27FC236}">
              <a16:creationId xmlns:a16="http://schemas.microsoft.com/office/drawing/2014/main" id="{C09F8DD5-C38B-5071-77E3-70B26A2C2F0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17498" y="3861594"/>
          <a:ext cx="648000" cy="644769"/>
        </a:xfrm>
        <a:prstGeom prst="rect">
          <a:avLst/>
        </a:prstGeom>
      </xdr:spPr>
    </xdr:pic>
    <xdr:clientData/>
  </xdr:twoCellAnchor>
  <xdr:twoCellAnchor editAs="oneCell">
    <xdr:from>
      <xdr:col>2</xdr:col>
      <xdr:colOff>301625</xdr:colOff>
      <xdr:row>4</xdr:row>
      <xdr:rowOff>31750</xdr:rowOff>
    </xdr:from>
    <xdr:to>
      <xdr:col>3</xdr:col>
      <xdr:colOff>58375</xdr:colOff>
      <xdr:row>6</xdr:row>
      <xdr:rowOff>10750</xdr:rowOff>
    </xdr:to>
    <xdr:pic>
      <xdr:nvPicPr>
        <xdr:cNvPr id="58" name="Graphic 57" descr="Schoolhouse with solid fill">
          <a:extLst>
            <a:ext uri="{FF2B5EF4-FFF2-40B4-BE49-F238E27FC236}">
              <a16:creationId xmlns:a16="http://schemas.microsoft.com/office/drawing/2014/main" id="{8E71B0C8-55C1-0BCB-E934-6C9797F02C6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08125" y="793750"/>
          <a:ext cx="360000" cy="360000"/>
        </a:xfrm>
        <a:prstGeom prst="rect">
          <a:avLst/>
        </a:prstGeom>
      </xdr:spPr>
    </xdr:pic>
    <xdr:clientData/>
  </xdr:twoCellAnchor>
  <xdr:twoCellAnchor editAs="oneCell">
    <xdr:from>
      <xdr:col>20</xdr:col>
      <xdr:colOff>31750</xdr:colOff>
      <xdr:row>4</xdr:row>
      <xdr:rowOff>95250</xdr:rowOff>
    </xdr:from>
    <xdr:to>
      <xdr:col>20</xdr:col>
      <xdr:colOff>391750</xdr:colOff>
      <xdr:row>6</xdr:row>
      <xdr:rowOff>74250</xdr:rowOff>
    </xdr:to>
    <xdr:pic>
      <xdr:nvPicPr>
        <xdr:cNvPr id="60" name="Graphic 59" descr="Diploma roll with solid fill">
          <a:extLst>
            <a:ext uri="{FF2B5EF4-FFF2-40B4-BE49-F238E27FC236}">
              <a16:creationId xmlns:a16="http://schemas.microsoft.com/office/drawing/2014/main" id="{217AE77F-428D-3E06-D4CB-E4B908E066E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096750" y="857250"/>
          <a:ext cx="360000" cy="360000"/>
        </a:xfrm>
        <a:prstGeom prst="rect">
          <a:avLst/>
        </a:prstGeom>
      </xdr:spPr>
    </xdr:pic>
    <xdr:clientData/>
  </xdr:twoCellAnchor>
  <xdr:twoCellAnchor editAs="oneCell">
    <xdr:from>
      <xdr:col>6</xdr:col>
      <xdr:colOff>63500</xdr:colOff>
      <xdr:row>4</xdr:row>
      <xdr:rowOff>142875</xdr:rowOff>
    </xdr:from>
    <xdr:to>
      <xdr:col>6</xdr:col>
      <xdr:colOff>423500</xdr:colOff>
      <xdr:row>6</xdr:row>
      <xdr:rowOff>121875</xdr:rowOff>
    </xdr:to>
    <xdr:pic>
      <xdr:nvPicPr>
        <xdr:cNvPr id="62" name="Graphic 61" descr="Graduation cap with solid fill">
          <a:extLst>
            <a:ext uri="{FF2B5EF4-FFF2-40B4-BE49-F238E27FC236}">
              <a16:creationId xmlns:a16="http://schemas.microsoft.com/office/drawing/2014/main" id="{6D169E69-63D9-EB1F-6A9D-23A94D1A28D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683000" y="904875"/>
          <a:ext cx="360000" cy="360000"/>
        </a:xfrm>
        <a:prstGeom prst="rect">
          <a:avLst/>
        </a:prstGeom>
      </xdr:spPr>
    </xdr:pic>
    <xdr:clientData/>
  </xdr:twoCellAnchor>
  <xdr:twoCellAnchor editAs="oneCell">
    <xdr:from>
      <xdr:col>9</xdr:col>
      <xdr:colOff>365125</xdr:colOff>
      <xdr:row>5</xdr:row>
      <xdr:rowOff>0</xdr:rowOff>
    </xdr:from>
    <xdr:to>
      <xdr:col>10</xdr:col>
      <xdr:colOff>121875</xdr:colOff>
      <xdr:row>6</xdr:row>
      <xdr:rowOff>169500</xdr:rowOff>
    </xdr:to>
    <xdr:pic>
      <xdr:nvPicPr>
        <xdr:cNvPr id="64" name="Graphic 63" descr="Africa with solid fill">
          <a:extLst>
            <a:ext uri="{FF2B5EF4-FFF2-40B4-BE49-F238E27FC236}">
              <a16:creationId xmlns:a16="http://schemas.microsoft.com/office/drawing/2014/main" id="{3FBD541D-E05F-AC7C-820C-BD2617FB088A}"/>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5794375" y="952500"/>
          <a:ext cx="360000" cy="360000"/>
        </a:xfrm>
        <a:prstGeom prst="rect">
          <a:avLst/>
        </a:prstGeom>
      </xdr:spPr>
    </xdr:pic>
    <xdr:clientData/>
  </xdr:twoCellAnchor>
  <xdr:twoCellAnchor editAs="oneCell">
    <xdr:from>
      <xdr:col>13</xdr:col>
      <xdr:colOff>127000</xdr:colOff>
      <xdr:row>5</xdr:row>
      <xdr:rowOff>15875</xdr:rowOff>
    </xdr:from>
    <xdr:to>
      <xdr:col>13</xdr:col>
      <xdr:colOff>487000</xdr:colOff>
      <xdr:row>6</xdr:row>
      <xdr:rowOff>185375</xdr:rowOff>
    </xdr:to>
    <xdr:pic>
      <xdr:nvPicPr>
        <xdr:cNvPr id="66" name="Graphic 65" descr="City with solid fill">
          <a:extLst>
            <a:ext uri="{FF2B5EF4-FFF2-40B4-BE49-F238E27FC236}">
              <a16:creationId xmlns:a16="http://schemas.microsoft.com/office/drawing/2014/main" id="{429C11BE-98C1-B695-7E07-93AD0C84D02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7969250" y="968375"/>
          <a:ext cx="360000" cy="360000"/>
        </a:xfrm>
        <a:prstGeom prst="rect">
          <a:avLst/>
        </a:prstGeom>
      </xdr:spPr>
    </xdr:pic>
    <xdr:clientData/>
  </xdr:twoCellAnchor>
  <xdr:twoCellAnchor editAs="oneCell">
    <xdr:from>
      <xdr:col>16</xdr:col>
      <xdr:colOff>412750</xdr:colOff>
      <xdr:row>4</xdr:row>
      <xdr:rowOff>174625</xdr:rowOff>
    </xdr:from>
    <xdr:to>
      <xdr:col>17</xdr:col>
      <xdr:colOff>169500</xdr:colOff>
      <xdr:row>6</xdr:row>
      <xdr:rowOff>153625</xdr:rowOff>
    </xdr:to>
    <xdr:pic>
      <xdr:nvPicPr>
        <xdr:cNvPr id="68" name="Graphic 67" descr="Coins with solid fill">
          <a:extLst>
            <a:ext uri="{FF2B5EF4-FFF2-40B4-BE49-F238E27FC236}">
              <a16:creationId xmlns:a16="http://schemas.microsoft.com/office/drawing/2014/main" id="{BFF53ABC-0935-7510-2946-034594B84E3E}"/>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0064750" y="936625"/>
          <a:ext cx="360000" cy="360000"/>
        </a:xfrm>
        <a:prstGeom prst="rect">
          <a:avLst/>
        </a:prstGeom>
      </xdr:spPr>
    </xdr:pic>
    <xdr:clientData/>
  </xdr:twoCellAnchor>
  <xdr:twoCellAnchor editAs="oneCell">
    <xdr:from>
      <xdr:col>0</xdr:col>
      <xdr:colOff>361155</xdr:colOff>
      <xdr:row>15</xdr:row>
      <xdr:rowOff>3971</xdr:rowOff>
    </xdr:from>
    <xdr:to>
      <xdr:col>1</xdr:col>
      <xdr:colOff>401936</xdr:colOff>
      <xdr:row>18</xdr:row>
      <xdr:rowOff>76918</xdr:rowOff>
    </xdr:to>
    <xdr:pic>
      <xdr:nvPicPr>
        <xdr:cNvPr id="70" name="Graphic 69" descr="Research with solid fill">
          <a:extLst>
            <a:ext uri="{FF2B5EF4-FFF2-40B4-BE49-F238E27FC236}">
              <a16:creationId xmlns:a16="http://schemas.microsoft.com/office/drawing/2014/main" id="{D6F55B0D-5A68-6C51-1162-B0A811AFF37C}"/>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61155" y="2861471"/>
          <a:ext cx="648000" cy="644447"/>
        </a:xfrm>
        <a:prstGeom prst="rect">
          <a:avLst/>
        </a:prstGeom>
      </xdr:spPr>
    </xdr:pic>
    <xdr:clientData/>
  </xdr:twoCellAnchor>
  <xdr:twoCellAnchor editAs="oneCell">
    <xdr:from>
      <xdr:col>0</xdr:col>
      <xdr:colOff>380998</xdr:colOff>
      <xdr:row>10</xdr:row>
      <xdr:rowOff>79377</xdr:rowOff>
    </xdr:from>
    <xdr:to>
      <xdr:col>1</xdr:col>
      <xdr:colOff>421779</xdr:colOff>
      <xdr:row>13</xdr:row>
      <xdr:rowOff>152324</xdr:rowOff>
    </xdr:to>
    <xdr:pic>
      <xdr:nvPicPr>
        <xdr:cNvPr id="72" name="Graphic 71" descr="Advertising with solid fill">
          <a:hlinkClick xmlns:r="http://schemas.openxmlformats.org/officeDocument/2006/relationships" r:id="rId27"/>
          <a:extLst>
            <a:ext uri="{FF2B5EF4-FFF2-40B4-BE49-F238E27FC236}">
              <a16:creationId xmlns:a16="http://schemas.microsoft.com/office/drawing/2014/main" id="{22A32BC5-B2D8-A2AD-9439-638B24AF4FB2}"/>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380998" y="1984377"/>
          <a:ext cx="648000" cy="644447"/>
        </a:xfrm>
        <a:prstGeom prst="rect">
          <a:avLst/>
        </a:prstGeom>
      </xdr:spPr>
    </xdr:pic>
    <xdr:clientData/>
  </xdr:twoCellAnchor>
  <xdr:twoCellAnchor>
    <xdr:from>
      <xdr:col>2</xdr:col>
      <xdr:colOff>254000</xdr:colOff>
      <xdr:row>20</xdr:row>
      <xdr:rowOff>29635</xdr:rowOff>
    </xdr:from>
    <xdr:to>
      <xdr:col>9</xdr:col>
      <xdr:colOff>412750</xdr:colOff>
      <xdr:row>21</xdr:row>
      <xdr:rowOff>63502</xdr:rowOff>
    </xdr:to>
    <xdr:sp macro="" textlink="">
      <xdr:nvSpPr>
        <xdr:cNvPr id="28" name="TextBox 27">
          <a:extLst>
            <a:ext uri="{FF2B5EF4-FFF2-40B4-BE49-F238E27FC236}">
              <a16:creationId xmlns:a16="http://schemas.microsoft.com/office/drawing/2014/main" id="{7C711B20-3BA1-400E-9312-B1EEB9EC2FFE}"/>
            </a:ext>
          </a:extLst>
        </xdr:cNvPr>
        <xdr:cNvSpPr txBox="1"/>
      </xdr:nvSpPr>
      <xdr:spPr>
        <a:xfrm>
          <a:off x="1468438" y="3839635"/>
          <a:ext cx="4409281" cy="22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300" b="1">
              <a:solidFill>
                <a:schemeClr val="accent6">
                  <a:lumMod val="50000"/>
                </a:schemeClr>
              </a:solidFill>
              <a:latin typeface="Georgia" panose="02040502050405020303" pitchFamily="18" charset="0"/>
              <a:ea typeface="+mn-ea"/>
              <a:cs typeface="+mn-cs"/>
            </a:rPr>
            <a:t>Top 10 Countries By Average Living Index </a:t>
          </a:r>
          <a:endParaRPr lang="en-NG" sz="1300" b="1">
            <a:solidFill>
              <a:schemeClr val="accent6">
                <a:lumMod val="50000"/>
              </a:schemeClr>
            </a:solidFill>
            <a:latin typeface="Georgia" panose="02040502050405020303" pitchFamily="18" charset="0"/>
            <a:ea typeface="+mn-ea"/>
            <a:cs typeface="+mn-cs"/>
          </a:endParaRPr>
        </a:p>
      </xdr:txBody>
    </xdr:sp>
    <xdr:clientData/>
  </xdr:twoCellAnchor>
  <xdr:twoCellAnchor>
    <xdr:from>
      <xdr:col>9</xdr:col>
      <xdr:colOff>497416</xdr:colOff>
      <xdr:row>20</xdr:row>
      <xdr:rowOff>7409</xdr:rowOff>
    </xdr:from>
    <xdr:to>
      <xdr:col>15</xdr:col>
      <xdr:colOff>582084</xdr:colOff>
      <xdr:row>21</xdr:row>
      <xdr:rowOff>79376</xdr:rowOff>
    </xdr:to>
    <xdr:sp macro="" textlink="">
      <xdr:nvSpPr>
        <xdr:cNvPr id="40" name="TextBox 39">
          <a:extLst>
            <a:ext uri="{FF2B5EF4-FFF2-40B4-BE49-F238E27FC236}">
              <a16:creationId xmlns:a16="http://schemas.microsoft.com/office/drawing/2014/main" id="{23AF8D19-1636-4C71-B63B-CB803D556E30}"/>
            </a:ext>
          </a:extLst>
        </xdr:cNvPr>
        <xdr:cNvSpPr txBox="1"/>
      </xdr:nvSpPr>
      <xdr:spPr>
        <a:xfrm>
          <a:off x="5962385" y="3817409"/>
          <a:ext cx="3727980" cy="26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300" b="1">
              <a:solidFill>
                <a:schemeClr val="accent6">
                  <a:lumMod val="50000"/>
                </a:schemeClr>
              </a:solidFill>
              <a:latin typeface="Georgia" panose="02040502050405020303" pitchFamily="18" charset="0"/>
              <a:ea typeface="+mn-ea"/>
              <a:cs typeface="+mn-cs"/>
            </a:rPr>
            <a:t>Top 8 Cities By Rent &amp; Insurance fee</a:t>
          </a:r>
          <a:endParaRPr lang="en-NG" sz="1300" b="1">
            <a:solidFill>
              <a:schemeClr val="accent6">
                <a:lumMod val="50000"/>
              </a:schemeClr>
            </a:solidFill>
            <a:latin typeface="Georgia" panose="02040502050405020303" pitchFamily="18" charset="0"/>
            <a:ea typeface="+mn-ea"/>
            <a:cs typeface="+mn-cs"/>
          </a:endParaRPr>
        </a:p>
      </xdr:txBody>
    </xdr:sp>
    <xdr:clientData/>
  </xdr:twoCellAnchor>
  <xdr:twoCellAnchor>
    <xdr:from>
      <xdr:col>16</xdr:col>
      <xdr:colOff>95249</xdr:colOff>
      <xdr:row>19</xdr:row>
      <xdr:rowOff>188914</xdr:rowOff>
    </xdr:from>
    <xdr:to>
      <xdr:col>23</xdr:col>
      <xdr:colOff>232832</xdr:colOff>
      <xdr:row>21</xdr:row>
      <xdr:rowOff>70381</xdr:rowOff>
    </xdr:to>
    <xdr:sp macro="" textlink="">
      <xdr:nvSpPr>
        <xdr:cNvPr id="42" name="TextBox 41">
          <a:extLst>
            <a:ext uri="{FF2B5EF4-FFF2-40B4-BE49-F238E27FC236}">
              <a16:creationId xmlns:a16="http://schemas.microsoft.com/office/drawing/2014/main" id="{D7D6F193-1AC3-05F4-A174-C95AF42EA118}"/>
            </a:ext>
          </a:extLst>
        </xdr:cNvPr>
        <xdr:cNvSpPr txBox="1"/>
      </xdr:nvSpPr>
      <xdr:spPr>
        <a:xfrm>
          <a:off x="9810749" y="3808414"/>
          <a:ext cx="4388114" cy="26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300" b="1">
              <a:solidFill>
                <a:schemeClr val="accent6">
                  <a:lumMod val="50000"/>
                </a:schemeClr>
              </a:solidFill>
              <a:latin typeface="Georgia" panose="02040502050405020303" pitchFamily="18" charset="0"/>
              <a:ea typeface="+mn-ea"/>
              <a:cs typeface="+mn-cs"/>
            </a:rPr>
            <a:t>Top 10 Programs By Average Total Cost</a:t>
          </a:r>
          <a:endParaRPr lang="en-NG" sz="1300" b="1">
            <a:solidFill>
              <a:schemeClr val="accent6">
                <a:lumMod val="50000"/>
              </a:schemeClr>
            </a:solidFill>
            <a:latin typeface="Georgia" panose="02040502050405020303" pitchFamily="18" charset="0"/>
            <a:ea typeface="+mn-ea"/>
            <a:cs typeface="+mn-cs"/>
          </a:endParaRPr>
        </a:p>
      </xdr:txBody>
    </xdr:sp>
    <xdr:clientData/>
  </xdr:twoCellAnchor>
  <xdr:twoCellAnchor>
    <xdr:from>
      <xdr:col>0</xdr:col>
      <xdr:colOff>83344</xdr:colOff>
      <xdr:row>18</xdr:row>
      <xdr:rowOff>57152</xdr:rowOff>
    </xdr:from>
    <xdr:to>
      <xdr:col>2</xdr:col>
      <xdr:colOff>261937</xdr:colOff>
      <xdr:row>19</xdr:row>
      <xdr:rowOff>176214</xdr:rowOff>
    </xdr:to>
    <xdr:sp macro="" textlink="">
      <xdr:nvSpPr>
        <xdr:cNvPr id="44" name="TextBox 43">
          <a:extLst>
            <a:ext uri="{FF2B5EF4-FFF2-40B4-BE49-F238E27FC236}">
              <a16:creationId xmlns:a16="http://schemas.microsoft.com/office/drawing/2014/main" id="{3984EB50-2192-2C3A-CF9B-9DC30802DE7D}"/>
            </a:ext>
          </a:extLst>
        </xdr:cNvPr>
        <xdr:cNvSpPr txBox="1"/>
      </xdr:nvSpPr>
      <xdr:spPr>
        <a:xfrm>
          <a:off x="83344" y="3486152"/>
          <a:ext cx="1393031"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bg1"/>
              </a:solidFill>
              <a:latin typeface="Georgia" panose="02040502050405020303" pitchFamily="18" charset="0"/>
            </a:rPr>
            <a:t>In-analysis</a:t>
          </a:r>
          <a:r>
            <a:rPr lang="en-US" sz="1100" b="0" baseline="0">
              <a:solidFill>
                <a:schemeClr val="bg1"/>
              </a:solidFill>
              <a:latin typeface="Georgia" panose="02040502050405020303" pitchFamily="18" charset="0"/>
            </a:rPr>
            <a:t> Board</a:t>
          </a:r>
          <a:endParaRPr lang="en-US" sz="1100" b="0">
            <a:solidFill>
              <a:schemeClr val="bg1"/>
            </a:solidFill>
            <a:latin typeface="Georgia" panose="02040502050405020303" pitchFamily="18" charset="0"/>
          </a:endParaRPr>
        </a:p>
      </xdr:txBody>
    </xdr:sp>
    <xdr:clientData/>
  </xdr:twoCellAnchor>
  <xdr:twoCellAnchor>
    <xdr:from>
      <xdr:col>0</xdr:col>
      <xdr:colOff>92869</xdr:colOff>
      <xdr:row>13</xdr:row>
      <xdr:rowOff>150021</xdr:rowOff>
    </xdr:from>
    <xdr:to>
      <xdr:col>2</xdr:col>
      <xdr:colOff>271462</xdr:colOff>
      <xdr:row>15</xdr:row>
      <xdr:rowOff>78583</xdr:rowOff>
    </xdr:to>
    <xdr:sp macro="" textlink="">
      <xdr:nvSpPr>
        <xdr:cNvPr id="45" name="TextBox 44">
          <a:extLst>
            <a:ext uri="{FF2B5EF4-FFF2-40B4-BE49-F238E27FC236}">
              <a16:creationId xmlns:a16="http://schemas.microsoft.com/office/drawing/2014/main" id="{914458FD-1EDD-B764-723B-7871527D9ECC}"/>
            </a:ext>
          </a:extLst>
        </xdr:cNvPr>
        <xdr:cNvSpPr txBox="1"/>
      </xdr:nvSpPr>
      <xdr:spPr>
        <a:xfrm>
          <a:off x="92869" y="2626521"/>
          <a:ext cx="1393031"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bg1"/>
              </a:solidFill>
              <a:latin typeface="Georgia" panose="02040502050405020303" pitchFamily="18" charset="0"/>
            </a:rPr>
            <a:t>Pre-analysis</a:t>
          </a:r>
          <a:r>
            <a:rPr lang="en-US" sz="1100" b="0" baseline="0">
              <a:solidFill>
                <a:schemeClr val="bg1"/>
              </a:solidFill>
              <a:latin typeface="Georgia" panose="02040502050405020303" pitchFamily="18" charset="0"/>
            </a:rPr>
            <a:t> Board</a:t>
          </a:r>
          <a:endParaRPr lang="en-US" sz="1100" b="0">
            <a:solidFill>
              <a:schemeClr val="bg1"/>
            </a:solidFill>
            <a:latin typeface="Georgia" panose="02040502050405020303" pitchFamily="18" charset="0"/>
          </a:endParaRPr>
        </a:p>
      </xdr:txBody>
    </xdr:sp>
    <xdr:clientData/>
  </xdr:twoCellAnchor>
  <xdr:twoCellAnchor>
    <xdr:from>
      <xdr:col>0</xdr:col>
      <xdr:colOff>23813</xdr:colOff>
      <xdr:row>23</xdr:row>
      <xdr:rowOff>123828</xdr:rowOff>
    </xdr:from>
    <xdr:to>
      <xdr:col>2</xdr:col>
      <xdr:colOff>221457</xdr:colOff>
      <xdr:row>25</xdr:row>
      <xdr:rowOff>52390</xdr:rowOff>
    </xdr:to>
    <xdr:sp macro="" textlink="">
      <xdr:nvSpPr>
        <xdr:cNvPr id="46" name="TextBox 45">
          <a:extLst>
            <a:ext uri="{FF2B5EF4-FFF2-40B4-BE49-F238E27FC236}">
              <a16:creationId xmlns:a16="http://schemas.microsoft.com/office/drawing/2014/main" id="{58372693-DFB8-F122-6104-69B4AA604B59}"/>
            </a:ext>
          </a:extLst>
        </xdr:cNvPr>
        <xdr:cNvSpPr txBox="1"/>
      </xdr:nvSpPr>
      <xdr:spPr>
        <a:xfrm>
          <a:off x="23813" y="4505328"/>
          <a:ext cx="1412082"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bg1"/>
              </a:solidFill>
              <a:latin typeface="Georgia" panose="02040502050405020303" pitchFamily="18" charset="0"/>
            </a:rPr>
            <a:t>Post-analysis</a:t>
          </a:r>
          <a:r>
            <a:rPr lang="en-US" sz="1100" b="0" baseline="0">
              <a:solidFill>
                <a:schemeClr val="bg1"/>
              </a:solidFill>
              <a:latin typeface="Georgia" panose="02040502050405020303" pitchFamily="18" charset="0"/>
            </a:rPr>
            <a:t> Board</a:t>
          </a:r>
          <a:endParaRPr lang="en-US" sz="1100" b="0">
            <a:solidFill>
              <a:schemeClr val="bg1"/>
            </a:solidFill>
            <a:latin typeface="Georgia" panose="02040502050405020303" pitchFamily="18" charset="0"/>
          </a:endParaRPr>
        </a:p>
      </xdr:txBody>
    </xdr:sp>
    <xdr:clientData/>
  </xdr:twoCellAnchor>
  <xdr:twoCellAnchor>
    <xdr:from>
      <xdr:col>0</xdr:col>
      <xdr:colOff>71437</xdr:colOff>
      <xdr:row>29</xdr:row>
      <xdr:rowOff>85729</xdr:rowOff>
    </xdr:from>
    <xdr:to>
      <xdr:col>2</xdr:col>
      <xdr:colOff>223838</xdr:colOff>
      <xdr:row>31</xdr:row>
      <xdr:rowOff>14291</xdr:rowOff>
    </xdr:to>
    <xdr:sp macro="" textlink="">
      <xdr:nvSpPr>
        <xdr:cNvPr id="47" name="TextBox 46">
          <a:extLst>
            <a:ext uri="{FF2B5EF4-FFF2-40B4-BE49-F238E27FC236}">
              <a16:creationId xmlns:a16="http://schemas.microsoft.com/office/drawing/2014/main" id="{55158353-B449-BC5E-D9BE-A5C2D3B4A629}"/>
            </a:ext>
          </a:extLst>
        </xdr:cNvPr>
        <xdr:cNvSpPr txBox="1"/>
      </xdr:nvSpPr>
      <xdr:spPr>
        <a:xfrm>
          <a:off x="71437" y="5610229"/>
          <a:ext cx="1366839"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bg1"/>
              </a:solidFill>
              <a:latin typeface="Georgia" panose="02040502050405020303" pitchFamily="18" charset="0"/>
            </a:rPr>
            <a:t>Email</a:t>
          </a:r>
          <a:r>
            <a:rPr lang="en-US" sz="1100" b="0" baseline="0">
              <a:solidFill>
                <a:schemeClr val="bg1"/>
              </a:solidFill>
              <a:latin typeface="Georgia" panose="02040502050405020303" pitchFamily="18" charset="0"/>
            </a:rPr>
            <a:t> For Enquiry</a:t>
          </a:r>
          <a:endParaRPr lang="en-US" sz="1100" b="0">
            <a:solidFill>
              <a:schemeClr val="bg1"/>
            </a:solidFill>
            <a:latin typeface="Georgia" panose="02040502050405020303"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0</xdr:row>
      <xdr:rowOff>95249</xdr:rowOff>
    </xdr:from>
    <xdr:to>
      <xdr:col>9</xdr:col>
      <xdr:colOff>85725</xdr:colOff>
      <xdr:row>23</xdr:row>
      <xdr:rowOff>19048</xdr:rowOff>
    </xdr:to>
    <xdr:sp macro="" textlink="">
      <xdr:nvSpPr>
        <xdr:cNvPr id="2" name="Rectangle: Rounded Corners 1">
          <a:extLst>
            <a:ext uri="{FF2B5EF4-FFF2-40B4-BE49-F238E27FC236}">
              <a16:creationId xmlns:a16="http://schemas.microsoft.com/office/drawing/2014/main" id="{D549F18E-ED8D-42CA-960F-B4130C77C843}"/>
            </a:ext>
          </a:extLst>
        </xdr:cNvPr>
        <xdr:cNvSpPr/>
      </xdr:nvSpPr>
      <xdr:spPr>
        <a:xfrm>
          <a:off x="85725" y="95249"/>
          <a:ext cx="5486400" cy="4305299"/>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GENERAL OBSERVATIONS</a:t>
          </a:r>
        </a:p>
        <a:p>
          <a:pPr algn="l"/>
          <a:r>
            <a:rPr lang="en-US" sz="1100" b="0"/>
            <a:t>1One-year Masters programs in the UK, Netherlands, and Ireland are popular but costly, especially in fields like Data Science and Cybersecurity, with visa fees highest in the UK.</a:t>
          </a:r>
        </a:p>
        <a:p>
          <a:pPr algn="l"/>
          <a:endParaRPr lang="en-US" sz="1100" b="0"/>
        </a:p>
        <a:p>
          <a:pPr algn="l"/>
          <a:r>
            <a:rPr lang="en-US" sz="1100" b="0"/>
            <a:t>2. Singapore’s 1.5-year Masters programs, especially in Finance at NUS, balance high tuition and living costs with moderate visa fees.</a:t>
          </a:r>
        </a:p>
        <a:p>
          <a:pPr algn="l"/>
          <a:endParaRPr lang="en-US" sz="1100" b="0"/>
        </a:p>
        <a:p>
          <a:pPr algn="l"/>
          <a:r>
            <a:rPr lang="en-US" sz="1100" b="0"/>
            <a:t>3. Two-year Masters programs at Columbia and MIT are very expensive, with Switzerland having the highest living index and NYC carrying steep rent and insurance costs.</a:t>
          </a:r>
        </a:p>
        <a:p>
          <a:pPr algn="l"/>
          <a:endParaRPr lang="en-US" sz="1100" b="0"/>
        </a:p>
        <a:p>
          <a:pPr algn="l"/>
          <a:r>
            <a:rPr lang="en-US" sz="1100" b="0"/>
            <a:t>4. In China, 2.5-year Masters programs at Tsinghua and Shanghai Jiao Tong offer lower costs than Western universities, though rent and insurance in Beijing and Shanghai remain high.</a:t>
          </a:r>
        </a:p>
        <a:p>
          <a:pPr algn="l"/>
          <a:endParaRPr lang="en-US" sz="1100" b="0"/>
        </a:p>
        <a:p>
          <a:pPr algn="l"/>
          <a:r>
            <a:rPr lang="en-US" sz="1100" b="0"/>
            <a:t>5. Three-year Bachelors programs, such as at the University of Melbourne, face high tuition and living expenses in cities like London and Geneva.</a:t>
          </a:r>
        </a:p>
        <a:p>
          <a:pPr algn="l"/>
          <a:endParaRPr lang="en-US" sz="1100" b="0"/>
        </a:p>
        <a:p>
          <a:pPr algn="l"/>
          <a:r>
            <a:rPr lang="en-US" sz="1100" b="0"/>
            <a:t>6. Four-year Bachelors and PhDs at Stanford and MIT carry heavy costs in the US, UK, and Australia, with Switzerland leading in living expenses.</a:t>
          </a:r>
        </a:p>
        <a:p>
          <a:pPr algn="l"/>
          <a:endParaRPr lang="en-US" sz="1100" b="0"/>
        </a:p>
        <a:p>
          <a:pPr algn="l"/>
          <a:r>
            <a:rPr lang="en-US" sz="1100" b="0"/>
            <a:t>7. Five-year PhDs at MIT and Massachusetts universities are cost-intensive, especially in US cities like Stanford and Boston, though Argentina offers a lower-cost alternative.</a:t>
          </a:r>
        </a:p>
        <a:p>
          <a:pPr algn="l"/>
          <a:endParaRPr lang="en-NG" sz="1100"/>
        </a:p>
      </xdr:txBody>
    </xdr:sp>
    <xdr:clientData/>
  </xdr:twoCellAnchor>
  <xdr:twoCellAnchor>
    <xdr:from>
      <xdr:col>9</xdr:col>
      <xdr:colOff>247650</xdr:colOff>
      <xdr:row>0</xdr:row>
      <xdr:rowOff>104774</xdr:rowOff>
    </xdr:from>
    <xdr:to>
      <xdr:col>18</xdr:col>
      <xdr:colOff>247650</xdr:colOff>
      <xdr:row>23</xdr:row>
      <xdr:rowOff>28573</xdr:rowOff>
    </xdr:to>
    <xdr:sp macro="" textlink="">
      <xdr:nvSpPr>
        <xdr:cNvPr id="3" name="Rectangle: Rounded Corners 2">
          <a:extLst>
            <a:ext uri="{FF2B5EF4-FFF2-40B4-BE49-F238E27FC236}">
              <a16:creationId xmlns:a16="http://schemas.microsoft.com/office/drawing/2014/main" id="{93316464-7B54-8407-0174-07F9FA8DC979}"/>
            </a:ext>
          </a:extLst>
        </xdr:cNvPr>
        <xdr:cNvSpPr/>
      </xdr:nvSpPr>
      <xdr:spPr>
        <a:xfrm>
          <a:off x="5734050" y="104774"/>
          <a:ext cx="5486400" cy="4305299"/>
        </a:xfrm>
        <a:prstGeom prst="roundRect">
          <a:avLst/>
        </a:prstGeom>
        <a:no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6">
                  <a:lumMod val="50000"/>
                </a:schemeClr>
              </a:solidFill>
            </a:rPr>
            <a:t>GENERAL RECOMMENDATIONS</a:t>
          </a:r>
        </a:p>
        <a:p>
          <a:pPr algn="l"/>
          <a:r>
            <a:rPr lang="en-US" sz="1100" b="0">
              <a:solidFill>
                <a:schemeClr val="accent6">
                  <a:lumMod val="50000"/>
                </a:schemeClr>
              </a:solidFill>
            </a:rPr>
            <a:t>1. Consultants and advisors should highlight the trade-off between program length and cost, steering students toward options that align with both budget and career goals.</a:t>
          </a:r>
        </a:p>
        <a:p>
          <a:pPr algn="l"/>
          <a:endParaRPr lang="en-US" sz="1100" b="0">
            <a:solidFill>
              <a:schemeClr val="accent6">
                <a:lumMod val="50000"/>
              </a:schemeClr>
            </a:solidFill>
          </a:endParaRPr>
        </a:p>
        <a:p>
          <a:pPr algn="l"/>
          <a:r>
            <a:rPr lang="en-US" sz="1100" b="0">
              <a:solidFill>
                <a:schemeClr val="accent6">
                  <a:lumMod val="50000"/>
                </a:schemeClr>
              </a:solidFill>
            </a:rPr>
            <a:t>2. Admissions advisors need to guide students on balancing total study costs with post-graduation opportunities while clarifying visa processes.</a:t>
          </a:r>
        </a:p>
        <a:p>
          <a:pPr algn="l"/>
          <a:endParaRPr lang="en-US" sz="1100" b="0">
            <a:solidFill>
              <a:schemeClr val="accent6">
                <a:lumMod val="50000"/>
              </a:schemeClr>
            </a:solidFill>
          </a:endParaRPr>
        </a:p>
        <a:p>
          <a:pPr algn="l"/>
          <a:r>
            <a:rPr lang="en-US" sz="1100" b="0">
              <a:solidFill>
                <a:schemeClr val="accent6">
                  <a:lumMod val="50000"/>
                </a:schemeClr>
              </a:solidFill>
            </a:rPr>
            <a:t>3. Recent graduates should evaluate affordability, career outcomes, and emerging study destinations before committing to programs.</a:t>
          </a:r>
        </a:p>
        <a:p>
          <a:pPr algn="l"/>
          <a:endParaRPr lang="en-US" sz="1100" b="0">
            <a:solidFill>
              <a:schemeClr val="accent6">
                <a:lumMod val="50000"/>
              </a:schemeClr>
            </a:solidFill>
          </a:endParaRPr>
        </a:p>
        <a:p>
          <a:pPr algn="l"/>
          <a:r>
            <a:rPr lang="en-US" sz="1100" b="0">
              <a:solidFill>
                <a:schemeClr val="accent6">
                  <a:lumMod val="50000"/>
                </a:schemeClr>
              </a:solidFill>
            </a:rPr>
            <a:t>4. Scholarship firms should prioritize funding for high-demand fields and offer grants that support both expensive and cost-effective study destinations.</a:t>
          </a:r>
        </a:p>
        <a:p>
          <a:pPr algn="l"/>
          <a:endParaRPr lang="en-NG" sz="1100">
            <a:solidFill>
              <a:schemeClr val="accent6">
                <a:lumMod val="50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57149</xdr:colOff>
      <xdr:row>2</xdr:row>
      <xdr:rowOff>61912</xdr:rowOff>
    </xdr:from>
    <xdr:to>
      <xdr:col>12</xdr:col>
      <xdr:colOff>219074</xdr:colOff>
      <xdr:row>16</xdr:row>
      <xdr:rowOff>138112</xdr:rowOff>
    </xdr:to>
    <xdr:graphicFrame macro="">
      <xdr:nvGraphicFramePr>
        <xdr:cNvPr id="2" name="Chart 1">
          <a:extLst>
            <a:ext uri="{FF2B5EF4-FFF2-40B4-BE49-F238E27FC236}">
              <a16:creationId xmlns:a16="http://schemas.microsoft.com/office/drawing/2014/main" id="{3C33ED09-531B-43E9-91F1-661ADBE1E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152400</xdr:colOff>
      <xdr:row>2</xdr:row>
      <xdr:rowOff>71437</xdr:rowOff>
    </xdr:from>
    <xdr:to>
      <xdr:col>7</xdr:col>
      <xdr:colOff>600075</xdr:colOff>
      <xdr:row>16</xdr:row>
      <xdr:rowOff>147637</xdr:rowOff>
    </xdr:to>
    <xdr:graphicFrame macro="">
      <xdr:nvGraphicFramePr>
        <xdr:cNvPr id="2" name="Chart 1">
          <a:extLst>
            <a:ext uri="{FF2B5EF4-FFF2-40B4-BE49-F238E27FC236}">
              <a16:creationId xmlns:a16="http://schemas.microsoft.com/office/drawing/2014/main" id="{30DC6501-D752-4234-9308-0427C3C84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1295400</xdr:colOff>
      <xdr:row>2</xdr:row>
      <xdr:rowOff>71437</xdr:rowOff>
    </xdr:from>
    <xdr:to>
      <xdr:col>7</xdr:col>
      <xdr:colOff>600075</xdr:colOff>
      <xdr:row>17</xdr:row>
      <xdr:rowOff>28575</xdr:rowOff>
    </xdr:to>
    <xdr:graphicFrame macro="">
      <xdr:nvGraphicFramePr>
        <xdr:cNvPr id="2" name="Chart 1">
          <a:extLst>
            <a:ext uri="{FF2B5EF4-FFF2-40B4-BE49-F238E27FC236}">
              <a16:creationId xmlns:a16="http://schemas.microsoft.com/office/drawing/2014/main" id="{0E25C295-3D8E-4CE7-A1AC-362417721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1171574</xdr:colOff>
      <xdr:row>2</xdr:row>
      <xdr:rowOff>71437</xdr:rowOff>
    </xdr:from>
    <xdr:to>
      <xdr:col>8</xdr:col>
      <xdr:colOff>485774</xdr:colOff>
      <xdr:row>17</xdr:row>
      <xdr:rowOff>28575</xdr:rowOff>
    </xdr:to>
    <xdr:graphicFrame macro="">
      <xdr:nvGraphicFramePr>
        <xdr:cNvPr id="2" name="Chart 1">
          <a:extLst>
            <a:ext uri="{FF2B5EF4-FFF2-40B4-BE49-F238E27FC236}">
              <a16:creationId xmlns:a16="http://schemas.microsoft.com/office/drawing/2014/main" id="{914C9B13-0719-444E-A1AC-861C6E5AF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1571625</xdr:colOff>
      <xdr:row>2</xdr:row>
      <xdr:rowOff>100012</xdr:rowOff>
    </xdr:from>
    <xdr:to>
      <xdr:col>8</xdr:col>
      <xdr:colOff>266700</xdr:colOff>
      <xdr:row>16</xdr:row>
      <xdr:rowOff>176212</xdr:rowOff>
    </xdr:to>
    <xdr:graphicFrame macro="">
      <xdr:nvGraphicFramePr>
        <xdr:cNvPr id="2" name="Chart 1">
          <a:extLst>
            <a:ext uri="{FF2B5EF4-FFF2-40B4-BE49-F238E27FC236}">
              <a16:creationId xmlns:a16="http://schemas.microsoft.com/office/drawing/2014/main" id="{5139B0B3-3BF5-4802-B270-D1FF1F449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628650</xdr:colOff>
      <xdr:row>2</xdr:row>
      <xdr:rowOff>33337</xdr:rowOff>
    </xdr:from>
    <xdr:to>
      <xdr:col>9</xdr:col>
      <xdr:colOff>266700</xdr:colOff>
      <xdr:row>16</xdr:row>
      <xdr:rowOff>109537</xdr:rowOff>
    </xdr:to>
    <xdr:graphicFrame macro="">
      <xdr:nvGraphicFramePr>
        <xdr:cNvPr id="2" name="Chart 1">
          <a:extLst>
            <a:ext uri="{FF2B5EF4-FFF2-40B4-BE49-F238E27FC236}">
              <a16:creationId xmlns:a16="http://schemas.microsoft.com/office/drawing/2014/main" id="{1AF17C64-F551-7853-D1FA-15091B11A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rca" refreshedDate="45918.523424074076" createdVersion="8" refreshedVersion="8" minRefreshableVersion="3" recordCount="907" xr:uid="{84B75F11-0146-438D-A8ED-9C706B7611E6}">
  <cacheSource type="worksheet">
    <worksheetSource name="Table1"/>
  </cacheSource>
  <cacheFields count="17">
    <cacheField name="Country" numFmtId="0">
      <sharedItems count="71">
        <s v="USA"/>
        <s v="UK"/>
        <s v="Canada"/>
        <s v="Australia"/>
        <s v="Germany"/>
        <s v="Japan"/>
        <s v="Netherlands"/>
        <s v="Singapore"/>
        <s v="France"/>
        <s v="Switzerland"/>
        <s v="Sweden"/>
        <s v="Denmark"/>
        <s v="China"/>
        <s v="South Korea"/>
        <s v="Ireland"/>
        <s v="New Zealand"/>
        <s v="Austria"/>
        <s v="Belgium"/>
        <s v="Hong Kong"/>
        <s v="Portugal"/>
        <s v="Israel"/>
        <s v="Taiwan"/>
        <s v="Czech Republic"/>
        <s v="India"/>
        <s v="Poland"/>
        <s v="Malaysia"/>
        <s v="Spain"/>
        <s v="Italy"/>
        <s v="Finland"/>
        <s v="Norway"/>
        <s v="Brazil"/>
        <s v="Turkey"/>
        <s v="Russia"/>
        <s v="Mexico"/>
        <s v="Greece"/>
        <s v="Thailand"/>
        <s v="UAE"/>
        <s v="South Africa"/>
        <s v="Egypt"/>
        <s v="Argentina"/>
        <s v="Indonesia"/>
        <s v="Saudi Arabia"/>
        <s v="Nigeria"/>
        <s v="Vietnam"/>
        <s v="Hungary"/>
        <s v="Iceland"/>
        <s v="Colombia"/>
        <s v="Romania"/>
        <s v="Luxembourg"/>
        <s v="Tunisia"/>
        <s v="Cyprus"/>
        <s v="Croatia"/>
        <s v="Dominican Republic"/>
        <s v="Morocco"/>
        <s v="Peru"/>
        <s v="Ecuador"/>
        <s v="Lebanon"/>
        <s v="Bahrain"/>
        <s v="Uruguay"/>
        <s v="Bulgaria"/>
        <s v="Ghana"/>
        <s v="Algeria"/>
        <s v="Panama"/>
        <s v="Bangladesh"/>
        <s v="Kuwait"/>
        <s v="Ukraine"/>
        <s v="Slovenia"/>
        <s v="Serbia"/>
        <s v="Iran"/>
        <s v="Uzbekistan"/>
        <s v="El Salvador"/>
      </sharedItems>
    </cacheField>
    <cacheField name="City" numFmtId="0">
      <sharedItems count="557">
        <s v="Cambridge"/>
        <s v="London"/>
        <s v="Toronto"/>
        <s v="Melbourne"/>
        <s v="Munich"/>
        <s v="Tokyo"/>
        <s v="Amsterdam"/>
        <s v="Singapore"/>
        <s v="Paris city tower"/>
        <s v="Zurich"/>
        <s v="Stockholm"/>
        <s v="Copenhagen"/>
        <s v="Beijing"/>
        <s v="Seoul"/>
        <s v="Dublin"/>
        <s v="Busan"/>
        <s v="Auckland"/>
        <s v="Vienna"/>
        <s v="Brussels"/>
        <s v="Ann Arbor"/>
        <s v="Atlanta"/>
        <s v="Austin"/>
        <s v="Bristol"/>
        <s v="Ottawa"/>
        <s v="Hong Kong"/>
        <s v="Lisbon"/>
        <s v="Tel Aviv"/>
        <s v="Taipei"/>
        <s v="Prague"/>
        <s v="Stanford"/>
        <s v="Boston"/>
        <s v="Oxford"/>
        <s v="Heidelberg"/>
        <s v="Basel"/>
        <s v="Delft"/>
        <s v="Waterloo"/>
        <s v="Canberra"/>
        <s v="Lund"/>
        <s v="San Diego"/>
        <s v="Seattle"/>
        <s v="Edmonton"/>
        <s v="Glasgow"/>
        <s v="Bangalore"/>
        <s v="Aalborg"/>
        <s v="Warsaw"/>
        <s v="Galway"/>
        <s v="Daejeon"/>
        <s v="Kuala Lumpur"/>
        <s v="Berkeley"/>
        <s v="Manchester"/>
        <s v="Vancouver"/>
        <s v="Sydney"/>
        <s v="Berlin"/>
        <s v="Barcelona"/>
        <s v="Milan"/>
        <s v="Rotterdam"/>
        <s v="Helsinki"/>
        <s v="Oslo"/>
        <s v="Osaka"/>
        <s v="Kyoto"/>
        <s v="Nagoya"/>
        <s v="Sendai"/>
        <s v="Fukuoka"/>
        <s v="Sapporo"/>
        <s v="Tsukuba"/>
        <s v="Kobe"/>
        <s v="Kanazawa"/>
        <s v="Hiroshima"/>
        <s v="Adelaide"/>
        <s v="Perth"/>
        <s v="Gold Coast"/>
        <s v="Hobart"/>
        <s v="Newcastle"/>
        <s v="Wollongong"/>
        <s v="Darwin"/>
        <s v="Townsville"/>
        <s v="Sunshine Coast"/>
        <s v="Armidale"/>
        <s v="Dresden"/>
        <s v="Stuttgart"/>
        <s v="Hamburg"/>
        <s v="Aachen"/>
        <s v="Karlsruhe"/>
        <s v="Darmstadt"/>
        <s v="Braunschweig"/>
        <s v="Jena"/>
        <s v="Hannover"/>
        <s v="Freiburg"/>
        <s v="Philadelphia"/>
        <s v="Chicago"/>
        <s v="Baltimore"/>
        <s v="Nashville"/>
        <s v="Durham"/>
        <s v="Madison"/>
        <s v="Tempe"/>
        <s v="Boulder"/>
        <s v="Minneapolis"/>
        <s v="Davis"/>
        <s v="Leeds"/>
        <s v="Warwick"/>
        <s v="Sheffield"/>
        <s v="Birmingham"/>
        <s v="Southampton"/>
        <s v="Nottingham"/>
        <s v="Cardiff"/>
        <s v="Belfast"/>
        <s v="Hamilton"/>
        <s v="London ON"/>
        <s v="Halifax"/>
        <s v="Victoria"/>
        <s v="Quebec City"/>
        <s v="Winnipeg"/>
        <s v="Regina"/>
        <s v="St. John's"/>
        <s v="Saskatoon"/>
        <s v="Sherbrooke"/>
        <s v="Pittsburgh"/>
        <s v="Urbana-Champaign"/>
        <s v="Calgary"/>
        <s v="Sao Paulo"/>
        <s v="Istanbul"/>
        <s v="Moscow"/>
        <s v="Mexico City"/>
        <s v="Athens"/>
        <s v="Bangkok"/>
        <s v="Dubai"/>
        <s v="New York"/>
        <s v="Ithaca"/>
        <s v="Shenzhen"/>
        <s v="Cape Town"/>
        <s v="Cairo"/>
        <s v="Buenos Aires"/>
        <s v="Jakarta"/>
        <s v="Riyadh"/>
        <s v="Lagos"/>
        <s v="Ho Chi Minh City"/>
        <s v="Eindhoven"/>
        <s v="Enschede"/>
        <s v="Groningen"/>
        <s v="Maastricht"/>
        <s v="Nijmegen"/>
        <s v="Tilburg"/>
        <s v="Utrecht"/>
        <s v="Leiden"/>
        <s v="Wageningen"/>
        <s v="Paris"/>
        <s v="Toulouse"/>
        <s v="Lyon"/>
        <s v="Grenoble"/>
        <s v="Nice"/>
        <s v="Bordeaux"/>
        <s v="Lille"/>
        <s v="Rennes"/>
        <s v="Strasbourg"/>
        <s v="Montpellier"/>
        <s v="Lausanne"/>
        <s v="Geneva"/>
        <s v="Bern"/>
        <s v="St. Gallen"/>
        <s v="Lugano"/>
        <s v="Fribourg"/>
        <s v="Neuchatel"/>
        <s v="Lucerne"/>
        <s v="Winterthur"/>
        <s v="Aarhus"/>
        <s v="Shanghai"/>
        <s v="Hangzhou"/>
        <s v="Nanjing"/>
        <s v="Guangzhou"/>
        <s v="Wuhan"/>
        <s v="Xi'an"/>
        <s v="Chengdu"/>
        <s v="Daegu"/>
        <s v="Gwangju"/>
        <s v="Ulsan"/>
        <s v="Pohang"/>
        <s v="Incheon"/>
        <s v="Suwon"/>
        <s v="Cheongju"/>
        <s v="New Haven"/>
        <s v="Princeton"/>
        <s v="Los Angeles"/>
        <s v="Urbana"/>
        <s v="Columbus"/>
        <s v="West Lafayette"/>
        <s v="Gainesville"/>
        <s v="Raleigh"/>
        <s v="College Station"/>
        <s v="Corvallis"/>
        <s v="Edinburgh"/>
        <s v="Liverpool"/>
        <s v="Aberdeen"/>
        <s v="Leicester"/>
        <s v="Reading"/>
        <s v="Sussex"/>
        <s v="Essex"/>
        <s v="Bath"/>
        <s v="Surrey"/>
        <s v="Exeter"/>
        <s v="Kent"/>
        <s v="Dundee"/>
        <s v="Strathclyde"/>
        <s v="Heriot-Watt"/>
        <s v="Loughborough"/>
        <s v="Brunel"/>
        <s v="Queen Mary"/>
        <s v="Royal Holloway"/>
        <s v="Lancaster"/>
        <s v="Swansea"/>
        <s v="Aston"/>
        <s v="Hull"/>
        <s v="Keele"/>
        <s v="Plymouth"/>
        <s v="Portsmouth"/>
        <s v="Ulster"/>
        <s v="Northumbria"/>
        <s v="Coventry"/>
        <s v="Oxford Brookes"/>
        <s v="De Montfort"/>
        <s v="Westminster"/>
        <s v="Greenwich"/>
        <s v="Kingston"/>
        <s v="Montreal"/>
        <s v="Windsor"/>
        <s v="Moncton"/>
        <s v="Trois-Rivieres"/>
        <s v="Thunder Bay"/>
        <s v="Sudbury"/>
        <s v="Prince George"/>
        <s v="Brisbane"/>
        <s v="Toowoomba"/>
        <s v="Ballarat"/>
        <s v="Lismore"/>
        <s v="Frankfurt"/>
        <s v="Cologne"/>
        <s v="Bonn"/>
        <s v="San Francisco"/>
        <s v="Cork"/>
        <s v="Limerick"/>
        <s v="Maynooth"/>
        <s v="Denver"/>
        <s v="Waterford"/>
        <s v="Portland"/>
        <s v="Sligo"/>
        <s v="Athlone"/>
        <s v="Trondheim"/>
        <s v="Espoo"/>
        <s v="Bergen"/>
        <s v="Tampere"/>
        <s v="Odense"/>
        <s v="TromsÃ¸"/>
        <s v="Turku"/>
        <s v="Stavanger"/>
        <s v="Oulu"/>
        <s v="Roskilde"/>
        <s v="Ã…s"/>
        <s v="Vaasa"/>
        <s v="Lyngby"/>
        <s v="BodÃ¸"/>
        <s v="JyvÃ¤skylÃ¤"/>
        <s v="Kolding"/>
        <s v="GjÃ¸vik"/>
        <s v="Lappeenranta"/>
        <s v="Bremen"/>
        <s v="Esbjerg"/>
        <s v="Kristiansand"/>
        <s v="Kuopio"/>
        <s v="Slagelse"/>
        <s v="Horten"/>
        <s v="Joensuu"/>
        <s v="Herning"/>
        <s v="Wellington"/>
        <s v="Uppsala"/>
        <s v="Porto"/>
        <s v="Christchurch"/>
        <s v="Gothenburg"/>
        <s v="Coimbra"/>
        <s v="Dunedin"/>
        <s v="Braga"/>
        <s v="LinkÃ¶ping"/>
        <s v="Aveiro"/>
        <s v="Palmerston North"/>
        <s v="UmeÃ¥"/>
        <s v="Faro"/>
        <s v="Karlstad"/>
        <s v="Vila Real"/>
        <s v="VÃ¤xjÃ¶"/>
        <s v="Funchal"/>
        <s v="Madrid"/>
        <s v="Rome"/>
        <s v="Thessaloniki"/>
        <s v="Graz"/>
        <s v="Monterrey"/>
        <s v="Valencia"/>
        <s v="Turin"/>
        <s v="Patras"/>
        <s v="Linz"/>
        <s v="Guadalajara"/>
        <s v="Seville"/>
        <s v="Bologna"/>
        <s v="Heraklion"/>
        <s v="Salzburg"/>
        <s v="Puebla"/>
        <s v="Bilbao"/>
        <s v="Florence"/>
        <s v="Volos"/>
        <s v="Innsbruck"/>
        <s v="Queretaro"/>
        <s v="Granada"/>
        <s v="Naples"/>
        <s v="Ioannina"/>
        <s v="Klagenfurt"/>
        <s v="Merida"/>
        <s v="Zaragoza"/>
        <s v="Pisa"/>
        <s v="Rhodes"/>
        <s v="Leoben"/>
        <s v="Tijuana"/>
        <s v="Salamanca"/>
        <s v="Padua"/>
        <s v="Chania"/>
        <s v="Dornbirn"/>
        <s v="San Luis Potosi"/>
        <s v="Leuven"/>
        <s v="Budapest"/>
        <s v="Ankara"/>
        <s v="Ghent"/>
        <s v="Debrecen"/>
        <s v="Saint Petersburg"/>
        <s v="Izmir"/>
        <s v="Szeged"/>
        <s v="Novosibirsk"/>
        <s v="Eskisehir"/>
        <s v="Antwerp"/>
        <s v="Pecs"/>
        <s v="Kazan"/>
        <s v="Bursa"/>
        <s v="Louvain"/>
        <s v="Gyor"/>
        <s v="Tomsk"/>
        <s v="Antalya"/>
        <s v="Piraeus"/>
        <s v="Hasselt"/>
        <s v="Miskolc"/>
        <s v="Yekaterinburg"/>
        <s v="Kayseri"/>
        <s v="Xanthi"/>
        <s v="Liege"/>
        <s v="Veszprem"/>
        <s v="Samara"/>
        <s v="Konya"/>
        <s v="Chios"/>
        <s v="Mons"/>
        <s v="Kecskemet"/>
        <s v="Rostov-on-Don"/>
        <s v="Rio de Janeiro"/>
        <s v="Mumbai"/>
        <s v="Chiang Mai"/>
        <s v="Abu Dhabi"/>
        <s v="Campinas"/>
        <s v="Delhi"/>
        <s v="Khon Kaen"/>
        <s v="Alexandria"/>
        <s v="Sharjah"/>
        <s v="Porto Alegre"/>
        <s v="Chennai"/>
        <s v="Phuket"/>
        <s v="Giza"/>
        <s v="Ajman"/>
        <s v="Recife"/>
        <s v="Hyderabad"/>
        <s v="Hat Yai"/>
        <s v="Port Said"/>
        <s v="Al Ain"/>
        <s v="Florianopolis"/>
        <s v="Pune"/>
        <s v="Nakhon Ratchasima"/>
        <s v="Mansoura"/>
        <s v="Ras Al Khaimah"/>
        <s v="Salvador"/>
        <s v="Kanpur"/>
        <s v="Songkhla"/>
        <s v="Aswan"/>
        <s v="Fujairah"/>
        <s v="Reykjavik"/>
        <s v="Bogota"/>
        <s v="Bucharest"/>
        <s v="Luxembourg City"/>
        <s v="Akureyri"/>
        <s v="Medellin"/>
        <s v="Krakow"/>
        <s v="Cluj-Napoca"/>
        <s v="Esch-sur-Alzette"/>
        <s v="Bandung"/>
        <s v="Cali"/>
        <s v="Wroclaw"/>
        <s v="Timisoara"/>
        <s v="Belval"/>
        <s v="Yogyakarta"/>
        <s v="Hafnarfjordur"/>
        <s v="Barranquilla"/>
        <s v="Poznan"/>
        <s v="Iasi"/>
        <s v="Kirchberg"/>
        <s v="Surabaya"/>
        <s v="Kopavogur"/>
        <s v="Bucaramanga"/>
        <s v="Gdansk"/>
        <s v="Brasov"/>
        <s v="Differdange"/>
        <s v="Malang"/>
        <s v="Lodz"/>
        <s v="Constanta"/>
        <s v="Walferdange"/>
        <s v="Semarang"/>
        <s v="Borgarnes"/>
        <s v="Cartagena"/>
        <s v="Katowice"/>
        <s v="Craiova"/>
        <s v="Bertrange"/>
        <s v="Denpasar"/>
        <s v="Tunis"/>
        <s v="Nicosia"/>
        <s v="Zagreb"/>
        <s v="Santo Domingo"/>
        <s v="Rabat"/>
        <s v="Lima"/>
        <s v="Sfax"/>
        <s v="Limassol"/>
        <s v="Split"/>
        <s v="Santiago"/>
        <s v="Casablanca"/>
        <s v="Arequipa"/>
        <s v="Cordoba"/>
        <s v="Sousse"/>
        <s v="Larnaca"/>
        <s v="Rijeka"/>
        <s v="La Romana"/>
        <s v="Fez"/>
        <s v="Trujillo"/>
        <s v="Rosario"/>
        <s v="Monastir"/>
        <s v="Famagusta"/>
        <s v="Osijek"/>
        <s v="San Pedro"/>
        <s v="Marrakech"/>
        <s v="Cusco"/>
        <s v="La Plata"/>
        <s v="Gabes"/>
        <s v="Zadar"/>
        <s v="Paphos"/>
        <s v="Puerto Plata"/>
        <s v="Tangier"/>
        <s v="Piura"/>
        <s v="Mendoza"/>
        <s v="Bizerte"/>
        <s v="Girne"/>
        <s v="Dubrovnik"/>
        <s v="Oujda"/>
        <s v="Chiclayo"/>
        <s v="Quito"/>
        <s v="Beirut"/>
        <s v="Manama"/>
        <s v="Montevideo"/>
        <s v="Sofia"/>
        <s v="Accra"/>
        <s v="Algiers"/>
        <s v="Panama City"/>
        <s v="Guayaquil"/>
        <s v="Byblos"/>
        <s v="Riffa"/>
        <s v="Salto"/>
        <s v="Plovdiv"/>
        <s v="Kumasi"/>
        <s v="Oran"/>
        <s v="David"/>
        <s v="Cuenca"/>
        <s v="Tripoli"/>
        <s v="Isa Town"/>
        <s v="Maldonado"/>
        <s v="Varna"/>
        <s v="Cape Coast"/>
        <s v="Constantine"/>
        <s v="Loja"/>
        <s v="Jounieh"/>
        <s v="Sakhir"/>
        <s v="Rivera"/>
        <s v="Burgas"/>
        <s v="Tamale"/>
        <s v="Annaba"/>
        <s v="ChitrÃ©"/>
        <s v="Ambato"/>
        <s v="Sidon"/>
        <s v="Muharraq"/>
        <s v="Paysandu"/>
        <s v="Ruse"/>
        <s v="Ho"/>
        <s v="Tlemcen"/>
        <s v="La Chorrera"/>
        <s v="Dhaka"/>
        <s v="Kuwait City"/>
        <s v="Kyiv"/>
        <s v="Ljubljana"/>
        <s v="Belgrade"/>
        <s v="Tehran"/>
        <s v="Tashkent"/>
        <s v="San Salvador"/>
        <s v="Chittagong"/>
        <s v="Hawalli"/>
        <s v="Lviv"/>
        <s v="Maribor"/>
        <s v="Novi Sad"/>
        <s v="Isfahan"/>
        <s v="Samarkand"/>
        <s v="Santa Ana"/>
        <s v="Khulna"/>
        <s v="Al Jahra"/>
        <s v="Kharkiv"/>
        <s v="Koper"/>
        <s v="Nis"/>
        <s v="Mashhad"/>
        <s v="Bukhara"/>
        <s v="San Miguel"/>
        <s v="Rajshahi"/>
        <s v="Salmiya"/>
        <s v="Odesa"/>
        <s v="Nova Gorica"/>
        <s v="Kragujevac"/>
        <s v="Shiraz"/>
        <s v="Namangan"/>
        <s v="Sonsonate"/>
        <s v="Sylhet"/>
        <s v="Al Ahmadi"/>
        <s v="Dnipro"/>
        <s v="Celje"/>
        <s v="Subotica"/>
        <s v="Tabriz"/>
        <s v="Andijan"/>
        <s v="Santa Tecla"/>
        <s v="Penang"/>
        <s v="Jeddah"/>
        <s v="Johor Bahru"/>
        <s v="Dhahran"/>
        <s v="Kuching"/>
        <s v="Medina"/>
        <s v="MIT"/>
        <s v="Marseille"/>
        <s v="Cyberjaya"/>
        <s v="Dammam"/>
        <s v="Bangi"/>
        <s v="Taif"/>
        <s v="Melaka"/>
        <s v="Tabuk"/>
        <s v="Shah Alam"/>
        <s v="Makkah"/>
        <s v="Nilai"/>
        <s v="Al-Ahsa"/>
      </sharedItems>
    </cacheField>
    <cacheField name="University" numFmtId="0">
      <sharedItems count="622">
        <s v="Harvard University"/>
        <s v="Imperial College London"/>
        <s v="University of Toronto"/>
        <s v="University of Melbourne"/>
        <s v="Technical University of Munich"/>
        <s v="University of Tokyo"/>
        <s v="University of Amsterdam"/>
        <s v="National University of Singapore"/>
        <s v="Sorbonne University"/>
        <s v="ETH Zurich"/>
        <s v="KTH Royal Institute"/>
        <s v="University of Copenhagen"/>
        <s v="Tsinghua University"/>
        <s v="Seoul National University"/>
        <s v="Trinity College Dublin"/>
        <s v="Pusan National University"/>
        <s v="University of Auckland"/>
        <s v="University of Vienna"/>
        <s v="KU Leuven"/>
        <s v="University of Michigan"/>
        <s v="Georgia Tech"/>
        <s v="UT Austin"/>
        <s v="University of Bristol"/>
        <s v="University of Ottawa"/>
        <s v="HKUST"/>
        <s v="University of Lisbon"/>
        <s v="Tel Aviv University"/>
        <s v="National Taiwan University"/>
        <s v="Charles University"/>
        <s v="Stanford University"/>
        <s v="MIT"/>
        <s v="University of Oxford"/>
        <s v="University of Cambridge"/>
        <s v="Heidelberg University"/>
        <s v="ETH Basel"/>
        <s v="TU Delft"/>
        <s v="NTU Singapore"/>
        <s v="University of Waterloo"/>
        <s v="Australian National University"/>
        <s v="Lund University"/>
        <s v="UC San Diego"/>
        <s v="University of Washington"/>
        <s v="University of Alberta"/>
        <s v="University of Glasgow"/>
        <s v="Indian Institute of Science"/>
        <s v="Aalborg University"/>
        <s v="University of Warsaw"/>
        <s v="NUI Galway"/>
        <s v="KAIST"/>
        <s v="University of Malaya"/>
        <s v="UC Berkeley"/>
        <s v="University of Manchester"/>
        <s v="University of British Columbia"/>
        <s v="University of Sydney"/>
        <s v="Free University of Berlin"/>
        <s v="University of Barcelona"/>
        <s v="Politecnico di Milano"/>
        <s v="Erasmus University"/>
        <s v="University of Helsinki"/>
        <s v="University of Oslo"/>
        <s v="Osaka University"/>
        <s v="Kyoto University"/>
        <s v="Nagoya University"/>
        <s v="Tohoku University"/>
        <s v="Kyushu University"/>
        <s v="Hokkaido University"/>
        <s v="Tokyo Institute of Technology"/>
        <s v="University of Tsukuba"/>
        <s v="Kobe University"/>
        <s v="Kanazawa University"/>
        <s v="Hiroshima University"/>
        <s v="University of Adelaide"/>
        <s v="University of Western Australia"/>
        <s v="Griffith University"/>
        <s v="University of Tasmania"/>
        <s v="University of Newcastle"/>
        <s v="University of Wollongong"/>
        <s v="Charles Darwin University"/>
        <s v="James Cook University"/>
        <s v="USC"/>
        <s v="University of New England"/>
        <s v="TU Dresden"/>
        <s v="University of Stuttgart"/>
        <s v="TU Hamburg"/>
        <s v="RWTH Aachen"/>
        <s v="KIT"/>
        <s v="TU Darmstadt"/>
        <s v="TU Braunschweig"/>
        <s v="University of Jena"/>
        <s v="Leibniz University"/>
        <s v="University of Freiburg"/>
        <s v="University of Pennsylvania"/>
        <s v="University of Chicago"/>
        <s v="Johns Hopkins"/>
        <s v="Vanderbilt University"/>
        <s v="Duke University"/>
        <s v="University of Wisconsin"/>
        <s v="Arizona State University"/>
        <s v="University of Colorado"/>
        <s v="University of Minnesota"/>
        <s v="UC Davis"/>
        <s v="University College London"/>
        <s v="University of Leeds"/>
        <s v="University of Warwick"/>
        <s v="University of Sheffield"/>
        <s v="University of Birmingham"/>
        <s v="University of Southampton"/>
        <s v="University of Nottingham"/>
        <s v="Cardiff University"/>
        <s v="Queen's University Belfast"/>
        <s v="Newcastle University"/>
        <s v="McMaster University"/>
        <s v="Western University"/>
        <s v="Dalhousie University"/>
        <s v="University of Victoria"/>
        <s v="Laval University"/>
        <s v="University of Manitoba"/>
        <s v="University of Regina"/>
        <s v="Memorial University"/>
        <s v="University of Saskatchewan"/>
        <s v="UniversitÃ© de Sherbrooke"/>
        <s v="Carnegie Mellon"/>
        <s v="UIUC"/>
        <s v="University of Calgary"/>
        <s v="University of Sao Paulo"/>
        <s v="Bogazici University"/>
        <s v="Moscow State University"/>
        <s v="UNAM"/>
        <s v="National Technical University"/>
        <s v="Chulalongkorn University"/>
        <s v="American University in Dubai"/>
        <s v="Columbia University"/>
        <s v="Cornell University"/>
        <s v="SUSTech"/>
        <s v="University of Cape Town"/>
        <s v="American University in Cairo"/>
        <s v="University of Buenos Aires"/>
        <s v="University of Indonesia"/>
        <s v="King Saud University"/>
        <s v="University of Lagos"/>
        <s v="HCMUT"/>
        <s v="TU Eindhoven"/>
        <s v="University of Twente"/>
        <s v="University of Groningen"/>
        <s v="Maastricht University"/>
        <s v="Radboud University"/>
        <s v="Tilburg University"/>
        <s v="Utrecht University"/>
        <s v="Leiden University"/>
        <s v="Wageningen University"/>
        <s v="VU Amsterdam"/>
        <s v="Nanyang Technological University"/>
        <s v="Singapore Management University"/>
        <s v="SUTD"/>
        <s v="SIT"/>
        <s v="NUS"/>
        <s v="NTU"/>
        <s v="SMU"/>
        <s v="Ã‰cole Polytechnique"/>
        <s v="INSA Toulouse"/>
        <s v="Ã‰cole Normale SupÃ©rieure Lyon"/>
        <s v="Grenoble INP"/>
        <s v="UniversitÃ© Nice Sophia Antipolis"/>
        <s v="University of Bordeaux"/>
        <s v="UniversitÃ© de Lille"/>
        <s v="INSA Rennes"/>
        <s v="University of Strasbourg"/>
        <s v="University of Montpellier"/>
        <s v="EPFL"/>
        <s v="University of Geneva"/>
        <s v="University of Bern"/>
        <s v="University of St. Gallen"/>
        <s v="USI"/>
        <s v="University of Fribourg"/>
        <s v="University of Neuchatel"/>
        <s v="University of Basel"/>
        <s v="University of Lucerne"/>
        <s v="ZHAW"/>
        <s v="Aarhus University"/>
        <s v="Peking University"/>
        <s v="Fudan University"/>
        <s v="Shanghai Jiao Tong University"/>
        <s v="Zhejiang University"/>
        <s v="Nanjing University"/>
        <s v="Sun Yat-sen University"/>
        <s v="Wuhan University"/>
        <s v="Xi'an Jiaotong University"/>
        <s v="Sichuan University"/>
        <s v="Korea University"/>
        <s v="Yonsei University"/>
        <s v="Hanyang University"/>
        <s v="Sungkyunkwan University"/>
        <s v="Chungnam National University"/>
        <s v="Dong-A University"/>
        <s v="Kyungpook National University"/>
        <s v="Yeungnam University"/>
        <s v="Chonnam National University"/>
        <s v="Chosun University"/>
        <s v="Ulsan National Institute of Science and Technology"/>
        <s v="University of Ulsan"/>
        <s v="POSTECH"/>
        <s v="Incheon National University"/>
        <s v="Sungkyunkwan University (Suwon)"/>
        <s v="Hanbat National University"/>
        <s v="Chungbuk National University"/>
        <s v="Yale University"/>
        <s v="Princeton University"/>
        <s v="UCLA"/>
        <s v="University of Texas Austin"/>
        <s v="University of Wisconsin-Madison"/>
        <s v="University of Illinois Urbana-Champaign"/>
        <s v="Ohio State University"/>
        <s v="Purdue University"/>
        <s v="University of Florida"/>
        <s v="NC State University"/>
        <s v="Texas A&amp;M University"/>
        <s v="Oregon State University"/>
        <s v="King's College London"/>
        <s v="University of Edinburgh"/>
        <s v="Durham University"/>
        <s v="University of Liverpool"/>
        <s v="University of Aberdeen"/>
        <s v="University of Leicester"/>
        <s v="University of Reading"/>
        <s v="University of Sussex"/>
        <s v="University of Essex"/>
        <s v="University of Bath"/>
        <s v="University of Surrey"/>
        <s v="University of Exeter"/>
        <s v="University of Kent"/>
        <s v="University of Dundee"/>
        <s v="University of Strathclyde"/>
        <s v="Heriot-Watt University"/>
        <s v="Loughborough University"/>
        <s v="Brunel University London"/>
        <s v="Queen Mary University of London"/>
        <s v="Royal Holloway University"/>
        <s v="Lancaster University"/>
        <s v="Swansea University"/>
        <s v="Aston University"/>
        <s v="University of Hull"/>
        <s v="Keele University"/>
        <s v="University of Plymouth"/>
        <s v="University of Portsmouth"/>
        <s v="Ulster University"/>
        <s v="Northumbria University"/>
        <s v="Coventry University"/>
        <s v="Oxford Brookes University"/>
        <s v="De Montfort University"/>
        <s v="University of Westminster"/>
        <s v="University of Greenwich"/>
        <s v="Kingston University"/>
        <s v="McGill University"/>
        <s v="University of Montreal"/>
        <s v="Queen's University"/>
        <s v="University of Sherbrooke"/>
        <s v="University of Windsor"/>
        <s v="University of New Brunswick"/>
        <s v="UQTR"/>
        <s v="Lakehead University"/>
        <s v="Laurentian University"/>
        <s v="UNBC"/>
        <s v="University of Queensland"/>
        <s v="University of New South Wales"/>
        <s v="Monash University"/>
        <s v="Queensland University of Technology"/>
        <s v="University of Technology Sydney"/>
        <s v="RMIT University"/>
        <s v="University of Canberra"/>
        <s v="University of Southern Queensland"/>
        <s v="Federation University"/>
        <s v="Southern Cross University"/>
        <s v="TU Munich"/>
        <s v="Humboldt University"/>
        <s v="University of Hamburg"/>
        <s v="Goethe University"/>
        <s v="University of Cologne"/>
        <s v="University of Bonn"/>
        <s v="UC Berkeley Extension"/>
        <s v="Anglia Ruskin University"/>
        <s v="University of Lyon"/>
        <s v="University College Cork"/>
        <s v="Northeastern University"/>
        <s v="University of Toulouse"/>
        <s v="University of Limerick"/>
        <s v="University of Salford"/>
        <s v="University of Nice"/>
        <s v="Maynooth University"/>
        <s v="University of Denver"/>
        <s v="Leeds Beckett University"/>
        <s v="University of Lille"/>
        <s v="Waterford IT"/>
        <s v="Portland State University"/>
        <s v="UWE Bristol"/>
        <s v="USI Lugano"/>
        <s v="IT Sligo"/>
        <s v="Athlone IT"/>
        <s v="Technical University Berlin"/>
        <s v="NTNU"/>
        <s v="Aalto University"/>
        <s v="LMU Munich"/>
        <s v="University of Bergen"/>
        <s v="Tampere University"/>
        <s v="University of Southern Denmark"/>
        <s v="UiT Arctic University"/>
        <s v="University of Turku"/>
        <s v="University of Stavanger"/>
        <s v="University of Oulu"/>
        <s v="Roskilde University"/>
        <s v="Norwegian University of Life Sciences"/>
        <s v="University of Vaasa"/>
        <s v="Technical University of Denmark"/>
        <s v="Nord University"/>
        <s v="University of JyvÃ¤skylÃ¤"/>
        <s v="NTNU GjÃ¸vik"/>
        <s v="LUT University"/>
        <s v="University of Bremen"/>
        <s v="University of Agder"/>
        <s v="University of Eastern Finland"/>
        <s v="University of South-Eastern Norway"/>
        <s v="Victoria University"/>
        <s v="Uppsala University"/>
        <s v="University of Porto"/>
        <s v="University of Canterbury"/>
        <s v="Chalmers University"/>
        <s v="University of Coimbra"/>
        <s v="University of Otago"/>
        <s v="University of Minho"/>
        <s v="University of Waikato"/>
        <s v="LinkÃ¶ping University"/>
        <s v="University of Aveiro"/>
        <s v="Massey University"/>
        <s v="UmeÃ¥ University"/>
        <s v="University of Algarve"/>
        <s v="AUT University"/>
        <s v="Karlstad University"/>
        <s v="UTAD"/>
        <s v="Lincoln University"/>
        <s v="Linnaeus University"/>
        <s v="University of Madeira"/>
        <s v="Universidad PolitÃ©cnica de Madrid"/>
        <s v="TU Wien"/>
        <s v="Universitat PolitÃ¨cnica Catalunya"/>
        <s v="Sapienza University"/>
        <s v="Aristotle University"/>
        <s v="TU Graz"/>
        <s v="TecnolÃ³gico de Monterrey"/>
        <s v="Universitat de ValÃ¨ncia"/>
        <s v="Politecnico di Torino"/>
        <s v="University of Patras"/>
        <s v="Johannes Kepler University"/>
        <s v="Universidad de Guadalajara"/>
        <s v="Universidad de Sevilla"/>
        <s v="University of Bologna"/>
        <s v="University of Crete"/>
        <s v="University of Salzburg"/>
        <s v="UDLAP"/>
        <s v="University of the Basque Country"/>
        <s v="University of Florence"/>
        <s v="University of Thessaly"/>
        <s v="University of Innsbruck"/>
        <s v="Tecnologico de Monterrey"/>
        <s v="University of Granada"/>
        <s v="University of Naples"/>
        <s v="University of Ioannina"/>
        <s v="University of Klagenfurt"/>
        <s v="Universidad Autonoma de Yucatan"/>
        <s v="University of Zaragoza"/>
        <s v="University of Pisa"/>
        <s v="University of the Aegean"/>
        <s v="MontanuniversitÃ¤t Leoben"/>
        <s v="CETYS Universidad"/>
        <s v="University of Salamanca"/>
        <s v="University of Padua"/>
        <s v="Technical University of Crete"/>
        <s v="FH Vorarlberg"/>
        <s v="UASLP"/>
        <s v="Athens University of Economics"/>
        <s v="Budapest University of Technology"/>
        <s v="Middle East Technical University"/>
        <s v="University of Macedonia"/>
        <s v="Ghent University"/>
        <s v="University of Debrecen"/>
        <s v="ITMO University"/>
        <s v="Ege University"/>
        <s v="Vrije Universiteit Brussel"/>
        <s v="University of Szeged"/>
        <s v="Novosibirsk State University"/>
        <s v="Anadolu University"/>
        <s v="University of Antwerp"/>
        <s v="University of Pecs"/>
        <s v="Kazan Federal University"/>
        <s v="Uludag University"/>
        <s v="UCLouvain"/>
        <s v="Szechenyi Istvan University"/>
        <s v="Tomsk State University"/>
        <s v="Akdeniz University"/>
        <s v="University of Piraeus"/>
        <s v="Hasselt University"/>
        <s v="University of Miskolc"/>
        <s v="Ural Federal University"/>
        <s v="Erciyes University"/>
        <s v="Democritus University"/>
        <s v="University of Liege"/>
        <s v="University of Pannonia"/>
        <s v="Samara State University"/>
        <s v="Selcuk University"/>
        <s v="University of Mons"/>
        <s v="John von Neumann University"/>
        <s v="Southern Federal University"/>
        <s v="Cairo University"/>
        <s v="University of Dubai"/>
        <s v="PUC-Rio"/>
        <s v="IIT Bombay"/>
        <s v="Chiang Mai University"/>
        <s v="Khalifa University"/>
        <s v="UNICAMP"/>
        <s v="IIT Delhi"/>
        <s v="Khon Kaen University"/>
        <s v="Alexandria University"/>
        <s v="American University of Sharjah"/>
        <s v="UFRGS"/>
        <s v="IIT Madras"/>
        <s v="Prince of Songkla University"/>
        <s v="Ain Shams University"/>
        <s v="Singapore University of Technology"/>
        <s v="Ajman University"/>
        <s v="UFPE"/>
        <s v="IIT Hyderabad"/>
        <s v="Port Said University"/>
        <s v="UAE University"/>
        <s v="UFSC"/>
        <s v="IIT Pune"/>
        <s v="Suranaree University"/>
        <s v="Mansoura University"/>
        <s v="SIM Global Education"/>
        <s v="RAK University"/>
        <s v="UFBA"/>
        <s v="IIT Kanpur"/>
        <s v="Thaksin University"/>
        <s v="Aswan University"/>
        <s v="Fujairah University"/>
        <s v="University of Iceland"/>
        <s v="Universidad Nacional"/>
        <s v="University Politehnica"/>
        <s v="University of Luxembourg"/>
        <s v="University of Akureyri"/>
        <s v="Universidad de Antioquia"/>
        <s v="Jagiellonian University"/>
        <s v="Babes-Bolyai University"/>
        <s v="Luxembourg School of Business"/>
        <s v="Institut Teknologi Bandung"/>
        <s v="Reykjavik University"/>
        <s v="Universidad del Valle"/>
        <s v="Wroclaw University of Technology"/>
        <s v="Politehnica University"/>
        <s v="Luxembourg Institute of Science"/>
        <s v="Gadjah Mada University"/>
        <s v="Iceland University of Arts"/>
        <s v="Universidad del Norte"/>
        <s v="Adam Mickiewicz University"/>
        <s v="Alexandru Ioan Cuza University"/>
        <s v="Sacred Heart University"/>
        <s v="Institut Teknologi Sepuluh"/>
        <s v="Bifrost University"/>
        <s v="UIS"/>
        <s v="Gdansk University of Technology"/>
        <s v="Transilvania University"/>
        <s v="Miami University Dolibois"/>
        <s v="Brawijaya University"/>
        <s v="Lodz University of Technology"/>
        <s v="Ovidius University"/>
        <s v="European Business University"/>
        <s v="Diponegoro University"/>
        <s v="Agricultural University"/>
        <s v="Universidad de Cartagena"/>
        <s v="University of Silesia"/>
        <s v="University of Craiova"/>
        <s v="Chamber of Commerce School"/>
        <s v="Udayana University"/>
        <s v="University of Tunis"/>
        <s v="University of Cyprus"/>
        <s v="University of Zagreb"/>
        <s v="INTEC"/>
        <s v="Mohammed V University"/>
        <s v="PUCP"/>
        <s v="University of Sfax"/>
        <s v="Cyprus University of Technology"/>
        <s v="University of Split"/>
        <s v="PUCMM"/>
        <s v="Hassan II University"/>
        <s v="Universidad San Agustin"/>
        <s v="National University of Cordoba"/>
        <s v="University of Sousse"/>
        <s v="American University Cyprus"/>
        <s v="University of Rijeka"/>
        <s v="Universidad Central Este"/>
        <s v="University of Al Quaraouiyine"/>
        <s v="Universidad Nacional de Trujillo"/>
        <s v="National University of Rosario"/>
        <s v="University of Monastir"/>
        <s v="Eastern Mediterranean University"/>
        <s v="University of Osijek"/>
        <s v="UCNE"/>
        <s v="Cadi Ayyad University"/>
        <s v="Universidad San Antonio Abad"/>
        <s v="National University of La Plata"/>
        <s v="University of Gabes"/>
        <s v="University of Zadar"/>
        <s v="Neapolis University"/>
        <s v="UTESA"/>
        <s v="Abdelmalek Essaadi University"/>
        <s v="Universidad de Piura"/>
        <s v="National University of Cuyo"/>
        <s v="University of Carthage"/>
        <s v="Girne American University"/>
        <s v="University of Dubrovnik"/>
        <s v="Mohammed I University"/>
        <s v="Universidad San Martin"/>
        <s v="Universidad San Francisco"/>
        <s v="American University of Beirut"/>
        <s v="University of Bahrain"/>
        <s v="Universidad de la Republica"/>
        <s v="Sofia University"/>
        <s v="University of Ghana"/>
        <s v="University of Science and Technology"/>
        <s v="Universidad Tecnologica"/>
        <s v="ESPOL"/>
        <s v="Lebanese American University"/>
        <s v="Royal University for Women"/>
        <s v="Universidad ORT Uruguay"/>
        <s v="Plovdiv University"/>
        <s v="Kwame Nkrumah University"/>
        <s v="University of Oran"/>
        <s v="ISAE University"/>
        <s v="Universidad de Cuenca"/>
        <s v="Lebanese University"/>
        <s v="Bahrain Polytechnic"/>
        <s v="Universidad Catolica"/>
        <s v="Technical University Varna"/>
        <s v="University of Cape Coast"/>
        <s v="University of Constantine"/>
        <s v="Universidad Latina"/>
        <s v="UTPL"/>
        <s v="Holy Spirit University"/>
        <s v="Arabian Gulf University"/>
        <s v="UTEC"/>
        <s v="Burgas Free University"/>
        <s v="University for Development"/>
        <s v="Badji Mokhtar University"/>
        <s v="Quality Leadership University"/>
        <s v="Universidad Tecnica"/>
        <s v="Lebanese International"/>
        <s v="Applied Science University"/>
        <s v="Universidad de Paysandu"/>
        <s v="University of Ruse"/>
        <s v="University of Health Sciences"/>
        <s v="University of Tlemcen"/>
        <s v="Universidad Metropolitana"/>
        <s v="Bangladesh University of Engineering"/>
        <s v="Kuwait University"/>
        <s v="Igor Sikorsky Kyiv Polytechnic"/>
        <s v="University of Ljubljana"/>
        <s v="University of Belgrade"/>
        <s v="Sharif University of Technology"/>
        <s v="INHA University Tashkent"/>
        <s v="Universidad Don Bosco"/>
        <s v="CUET"/>
        <s v="American University Kuwait"/>
        <s v="Lviv Polytechnic"/>
        <s v="University of Maribor"/>
        <s v="University of Novi Sad"/>
        <s v="Isfahan University of Technology"/>
        <s v="Samarkand State University"/>
        <s v="Khulna University"/>
        <s v="Gulf University for Science"/>
        <s v="Kharkiv Polytechnic"/>
        <s v="University of Primorska"/>
        <s v="University of Nis"/>
        <s v="Ferdowsi University"/>
        <s v="Bukhara State University"/>
        <s v="Universidad de Oriente"/>
        <s v="RUET"/>
        <s v="Australian College Kuwait"/>
        <s v="Odesa Polytechnic"/>
        <s v="University of Nova Gorica"/>
        <s v="University of Kragujevac"/>
        <s v="Shiraz University"/>
        <s v="Namangan Institute"/>
        <s v="Universidad de Sonsonate"/>
        <s v="SUST"/>
        <s v="ACK"/>
        <s v="Dnipro Polytechnic"/>
        <s v="Faculty of Logistics"/>
        <s v="University of Subotica"/>
        <s v="University of Tabriz"/>
        <s v="Andijan State University"/>
        <s v="ITCA-FEPADE"/>
        <s v="Imperial College"/>
        <s v="Universidad Politecnica"/>
        <s v="USM"/>
        <s v="King Abdulaziz University"/>
        <s v="Universitat de Barcelona"/>
        <s v="Ã‰cole Normale SupÃ©rieure"/>
        <s v="UTM"/>
        <s v="KFUPM"/>
        <s v="Universidad de Valencia"/>
        <s v="UNIMAS"/>
        <s v="Islamic University"/>
        <s v="Massachusetts"/>
        <s v="Aix-Marseille University"/>
        <s v="Multimedia University"/>
        <s v="Imam Abdulrahman University"/>
        <s v="Universidad de Granada"/>
        <s v="UKM"/>
        <s v="Taif University"/>
        <s v="UTeM"/>
        <s v="University of Tabuk"/>
        <s v="UiTM"/>
        <s v="Umm Al-Qura University"/>
        <s v="USIM"/>
        <s v="King Faisal University"/>
      </sharedItems>
    </cacheField>
    <cacheField name="Program" numFmtId="0">
      <sharedItems count="92">
        <s v="Computer Science"/>
        <s v="Data Science"/>
        <s v="Business Analytics"/>
        <s v="Engineering"/>
        <s v="Mechanical Engineering"/>
        <s v="Information Science"/>
        <s v="Artificial Intelligence"/>
        <s v="Finance"/>
        <s v="International Relations"/>
        <s v="Physics"/>
        <s v="Sustainable Technology"/>
        <s v="Bioinformatics"/>
        <s v="Computer Engineering"/>
        <s v="Digital Media"/>
        <s v="Data Analytics"/>
        <s v="Business"/>
        <s v="Marine Biology"/>
        <s v="Social Sciences"/>
        <s v="Biomedical Sciences"/>
        <s v="Aerospace Engineering"/>
        <s v="Industrial Engineering"/>
        <s v="Chemical Engineering"/>
        <s v="Mathematics"/>
        <s v="Political Science"/>
        <s v="Architecture"/>
        <s v="Electronics Engineering"/>
        <s v="Medicine"/>
        <s v="Electrical Engineering"/>
        <s v="Molecular Biology"/>
        <s v="Pharmaceutical Sciences"/>
        <s v="Robotics"/>
        <s v="Quantum Computing"/>
        <s v="Climate Science"/>
        <s v="Neuroscience"/>
        <s v="Economics"/>
        <s v="Psychology"/>
        <s v="International Business"/>
        <s v="Design"/>
        <s v="Environmental Science"/>
        <s v="Software Engineering"/>
        <s v="Information Systems"/>
        <s v="Information Technology"/>
        <s v="Software Development"/>
        <s v="Computing Science"/>
        <s v="Data Engineering"/>
        <s v="Software Systems"/>
        <s v="Digital Engineering"/>
        <s v="Robotics &amp; AI"/>
        <s v="Cybersecurity"/>
        <s v="Computing Systems"/>
        <s v="Applied Mathematics"/>
        <s v="Software Science"/>
        <s v="Game Technology"/>
        <s v="Computer Science &amp; Design"/>
        <s v="Data Science &amp; AI"/>
        <s v="Technology &amp; Innovation"/>
        <s v="Computing &amp; Innovation"/>
        <s v="Digital Systems &amp; AI"/>
        <s v="Digital Systems"/>
        <s v="Business Informatics"/>
        <s v="Computational Science"/>
        <s v="Digital Innovation"/>
        <s v="Robotics Engineering"/>
        <s v="AI Engineering"/>
        <s v="Computer Systems"/>
        <s v="Information Security"/>
        <s v="Computer Networks"/>
        <s v="Chemistry"/>
        <s v="Biotechnology"/>
        <s v="Marine Technology"/>
        <s v="Energy Engineering"/>
        <s v="Petroleum Engineering"/>
        <s v="Industrial Management"/>
        <s v="Mechatronics"/>
        <s v="Quantum Engineering"/>
        <s v="Environmental Engineering"/>
        <s v="Renewable Energy"/>
        <s v="Materials Science"/>
        <s v="Systems Engineering"/>
        <s v="Forestry Sciences"/>
        <s v="Photonics"/>
        <s v="Engineering Management"/>
        <s v="Engineering Physics"/>
        <s v="Sustainable Energy"/>
        <s v="Machine Learning"/>
        <s v="Environmental Computing"/>
        <s v="Computing"/>
        <s v="Electronics"/>
        <s v="Electronic Engineering"/>
        <s v="Digital Design"/>
        <s v="Digital Business"/>
        <s v="Data Systems"/>
      </sharedItems>
    </cacheField>
    <cacheField name="Level" numFmtId="0">
      <sharedItems count="3">
        <s v="Ph.D"/>
        <s v="Bachelor"/>
        <s v="Master"/>
      </sharedItems>
    </cacheField>
    <cacheField name="Duration_Years" numFmtId="0">
      <sharedItems containsSemiMixedTypes="0" containsString="0" containsNumber="1" minValue="1" maxValue="5"/>
    </cacheField>
    <cacheField name="Years" numFmtId="0">
      <sharedItems count="7">
        <s v="2 years"/>
        <s v="1 years"/>
        <s v="1.5 years"/>
        <s v="2.5 years"/>
        <s v="4 years"/>
        <s v="3 years"/>
        <s v="5 years"/>
      </sharedItems>
    </cacheField>
    <cacheField name="Tuition_USD" numFmtId="164">
      <sharedItems containsSemiMixedTypes="0" containsString="0" containsNumber="1" containsInteger="1" minValue="0" maxValue="62000"/>
    </cacheField>
    <cacheField name="Living_Cost_Index" numFmtId="0">
      <sharedItems containsSemiMixedTypes="0" containsString="0" containsNumber="1" minValue="27.8" maxValue="122.4"/>
    </cacheField>
    <cacheField name="Rent_USD" numFmtId="164">
      <sharedItems containsSemiMixedTypes="0" containsString="0" containsNumber="1" containsInteger="1" minValue="150" maxValue="2500"/>
    </cacheField>
    <cacheField name="Visa_Fee_USD" numFmtId="164">
      <sharedItems containsSemiMixedTypes="0" containsString="0" containsNumber="1" containsInteger="1" minValue="40" maxValue="490"/>
    </cacheField>
    <cacheField name="Insurance_USD" numFmtId="164">
      <sharedItems containsSemiMixedTypes="0" containsString="0" containsNumber="1" containsInteger="1" minValue="69" maxValue="1500"/>
    </cacheField>
    <cacheField name="Exchange_Rate" numFmtId="0">
      <sharedItems containsSemiMixedTypes="0" containsString="0" containsNumber="1" minValue="0.15" maxValue="42150"/>
    </cacheField>
    <cacheField name="Affordability_marker" numFmtId="0">
      <sharedItems count="3">
        <s v="Strong Currency"/>
        <s v="Medium Currency"/>
        <s v="Weak Currency"/>
      </sharedItems>
    </cacheField>
    <cacheField name="Monthly_Estimated_Living_cost" numFmtId="164">
      <sharedItems containsSemiMixedTypes="0" containsString="0" containsNumber="1" minValue="417.11273317112739" maxValue="1836.4963503649637"/>
    </cacheField>
    <cacheField name="Annual_Estimated_Living_cost" numFmtId="164">
      <sharedItems containsSemiMixedTypes="0" containsString="0" containsNumber="1" minValue="5005.3527980535291" maxValue="22037.956204379567"/>
    </cacheField>
    <cacheField name="Total_Cost" numFmtId="164">
      <sharedItems containsSemiMixedTypes="0" containsString="0" containsNumber="1" minValue="6975.4501216545013" maxValue="84164.866180048659"/>
    </cacheField>
  </cacheFields>
  <extLst>
    <ext xmlns:x14="http://schemas.microsoft.com/office/spreadsheetml/2009/9/main" uri="{725AE2AE-9491-48be-B2B4-4EB974FC3084}">
      <x14:pivotCacheDefinition pivotCacheId="512448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7">
  <r>
    <x v="0"/>
    <x v="0"/>
    <x v="0"/>
    <x v="0"/>
    <x v="0"/>
    <n v="2"/>
    <x v="0"/>
    <n v="55400"/>
    <n v="83.5"/>
    <n v="2200"/>
    <n v="160"/>
    <n v="1500"/>
    <n v="1"/>
    <x v="0"/>
    <n v="1252.8386050283859"/>
    <n v="15034.06326034063"/>
    <n v="74294.063260340627"/>
  </r>
  <r>
    <x v="1"/>
    <x v="1"/>
    <x v="1"/>
    <x v="1"/>
    <x v="1"/>
    <n v="1"/>
    <x v="1"/>
    <n v="41200"/>
    <n v="70"/>
    <n v="1800"/>
    <n v="485"/>
    <n v="800"/>
    <n v="1.1000000000000001"/>
    <x v="0"/>
    <n v="1050.2838605028387"/>
    <n v="12603.406326034064"/>
    <n v="56888.406326034063"/>
  </r>
  <r>
    <x v="2"/>
    <x v="2"/>
    <x v="2"/>
    <x v="2"/>
    <x v="0"/>
    <n v="2"/>
    <x v="0"/>
    <n v="38500"/>
    <n v="72.5"/>
    <n v="1600"/>
    <n v="235"/>
    <n v="900"/>
    <n v="1.35"/>
    <x v="0"/>
    <n v="1087.7939983779399"/>
    <n v="13053.52798053528"/>
    <n v="54288.527980535277"/>
  </r>
  <r>
    <x v="3"/>
    <x v="3"/>
    <x v="3"/>
    <x v="3"/>
    <x v="2"/>
    <n v="2"/>
    <x v="0"/>
    <n v="42000"/>
    <n v="71.2"/>
    <n v="1400"/>
    <n v="450"/>
    <n v="69"/>
    <n v="1.52"/>
    <x v="0"/>
    <n v="1068.2887266828873"/>
    <n v="12819.464720194646"/>
    <n v="56738.46472019465"/>
  </r>
  <r>
    <x v="4"/>
    <x v="4"/>
    <x v="4"/>
    <x v="4"/>
    <x v="2"/>
    <n v="2"/>
    <x v="0"/>
    <n v="500"/>
    <n v="70.5"/>
    <n v="1100"/>
    <n v="100"/>
    <n v="550"/>
    <n v="1.01"/>
    <x v="0"/>
    <n v="1057.7858880778588"/>
    <n v="12693.430656934306"/>
    <n v="14943.430656934306"/>
  </r>
  <r>
    <x v="5"/>
    <x v="5"/>
    <x v="5"/>
    <x v="5"/>
    <x v="2"/>
    <n v="2"/>
    <x v="0"/>
    <n v="8900"/>
    <n v="76.400000000000006"/>
    <n v="1300"/>
    <n v="220"/>
    <n v="750"/>
    <n v="145.80000000000001"/>
    <x v="1"/>
    <n v="1146.3098134630984"/>
    <n v="13755.717761557182"/>
    <n v="24925.717761557182"/>
  </r>
  <r>
    <x v="6"/>
    <x v="6"/>
    <x v="6"/>
    <x v="6"/>
    <x v="2"/>
    <n v="1"/>
    <x v="1"/>
    <n v="15800"/>
    <n v="73.2"/>
    <n v="1500"/>
    <n v="180"/>
    <n v="101"/>
    <n v="0.92"/>
    <x v="0"/>
    <n v="1098.2968369829684"/>
    <n v="13179.56204379562"/>
    <n v="30760.56204379562"/>
  </r>
  <r>
    <x v="7"/>
    <x v="7"/>
    <x v="7"/>
    <x v="7"/>
    <x v="2"/>
    <n v="1.5"/>
    <x v="2"/>
    <n v="35000"/>
    <n v="81.099999999999994"/>
    <n v="1900"/>
    <n v="90"/>
    <n v="800"/>
    <n v="1.34"/>
    <x v="0"/>
    <n v="1216.8288726682888"/>
    <n v="14601.946472019466"/>
    <n v="52391.946472019466"/>
  </r>
  <r>
    <x v="8"/>
    <x v="8"/>
    <x v="8"/>
    <x v="8"/>
    <x v="2"/>
    <n v="2"/>
    <x v="0"/>
    <n v="4500"/>
    <n v="74.599999999999994"/>
    <n v="1400"/>
    <n v="99"/>
    <n v="650"/>
    <n v="0.92"/>
    <x v="0"/>
    <n v="1119.3025141930252"/>
    <n v="13431.630170316303"/>
    <n v="20080.630170316304"/>
  </r>
  <r>
    <x v="9"/>
    <x v="9"/>
    <x v="9"/>
    <x v="9"/>
    <x v="2"/>
    <n v="2"/>
    <x v="0"/>
    <n v="1460"/>
    <n v="91.5"/>
    <n v="2100"/>
    <n v="88"/>
    <n v="1200"/>
    <n v="0.89"/>
    <x v="0"/>
    <n v="1372.8710462287104"/>
    <n v="16474.452554744523"/>
    <n v="21322.452554744523"/>
  </r>
  <r>
    <x v="10"/>
    <x v="10"/>
    <x v="10"/>
    <x v="10"/>
    <x v="2"/>
    <n v="2"/>
    <x v="0"/>
    <n v="100"/>
    <n v="71.8"/>
    <n v="1200"/>
    <n v="110"/>
    <n v="400"/>
    <n v="10.45"/>
    <x v="1"/>
    <n v="1077.2911597729117"/>
    <n v="12927.49391727494"/>
    <n v="14737.49391727494"/>
  </r>
  <r>
    <x v="11"/>
    <x v="11"/>
    <x v="11"/>
    <x v="11"/>
    <x v="2"/>
    <n v="2"/>
    <x v="0"/>
    <n v="0"/>
    <n v="73.400000000000006"/>
    <n v="1300"/>
    <n v="120"/>
    <n v="450"/>
    <n v="6.92"/>
    <x v="1"/>
    <n v="1101.2976480129764"/>
    <n v="13215.571776155717"/>
    <n v="15085.571776155717"/>
  </r>
  <r>
    <x v="12"/>
    <x v="12"/>
    <x v="12"/>
    <x v="12"/>
    <x v="2"/>
    <n v="2.5"/>
    <x v="3"/>
    <n v="8900"/>
    <n v="52.3"/>
    <n v="800"/>
    <n v="140"/>
    <n v="400"/>
    <n v="7.18"/>
    <x v="1"/>
    <n v="784.71208434712082"/>
    <n v="9416.5450121654503"/>
    <n v="19656.54501216545"/>
  </r>
  <r>
    <x v="13"/>
    <x v="13"/>
    <x v="13"/>
    <x v="13"/>
    <x v="2"/>
    <n v="2"/>
    <x v="0"/>
    <n v="7200"/>
    <n v="68.7"/>
    <n v="900"/>
    <n v="130"/>
    <n v="500"/>
    <n v="1320.5"/>
    <x v="2"/>
    <n v="1030.7785888077858"/>
    <n v="12369.343065693429"/>
    <n v="21099.343065693429"/>
  </r>
  <r>
    <x v="14"/>
    <x v="14"/>
    <x v="14"/>
    <x v="14"/>
    <x v="2"/>
    <n v="1"/>
    <x v="1"/>
    <n v="28900"/>
    <n v="72.900000000000006"/>
    <n v="1600"/>
    <n v="150"/>
    <n v="650"/>
    <n v="0.92"/>
    <x v="0"/>
    <n v="1093.7956204379564"/>
    <n v="13125.547445255477"/>
    <n v="44425.547445255477"/>
  </r>
  <r>
    <x v="13"/>
    <x v="15"/>
    <x v="15"/>
    <x v="15"/>
    <x v="1"/>
    <n v="4"/>
    <x v="4"/>
    <n v="5900"/>
    <n v="62.4"/>
    <n v="700"/>
    <n v="130"/>
    <n v="500"/>
    <n v="1320.5"/>
    <x v="2"/>
    <n v="936.25304136253055"/>
    <n v="11235.036496350367"/>
    <n v="18465.036496350367"/>
  </r>
  <r>
    <x v="15"/>
    <x v="16"/>
    <x v="16"/>
    <x v="16"/>
    <x v="1"/>
    <n v="3"/>
    <x v="5"/>
    <n v="28500"/>
    <n v="69.8"/>
    <n v="1200"/>
    <n v="245"/>
    <n v="600"/>
    <n v="1.64"/>
    <x v="0"/>
    <n v="1047.2830494728303"/>
    <n v="12567.396593673962"/>
    <n v="43112.396593673962"/>
  </r>
  <r>
    <x v="16"/>
    <x v="17"/>
    <x v="17"/>
    <x v="17"/>
    <x v="1"/>
    <n v="3"/>
    <x v="5"/>
    <n v="1500"/>
    <n v="67.400000000000006"/>
    <n v="950"/>
    <n v="160"/>
    <n v="500"/>
    <n v="0.92"/>
    <x v="0"/>
    <n v="1011.2733171127333"/>
    <n v="12135.279805352799"/>
    <n v="15245.279805352799"/>
  </r>
  <r>
    <x v="17"/>
    <x v="18"/>
    <x v="18"/>
    <x v="18"/>
    <x v="1"/>
    <n v="3"/>
    <x v="5"/>
    <n v="3500"/>
    <n v="68.900000000000006"/>
    <n v="1000"/>
    <n v="180"/>
    <n v="550"/>
    <n v="0.92"/>
    <x v="0"/>
    <n v="1033.779399837794"/>
    <n v="12405.352798053529"/>
    <n v="17635.352798053529"/>
  </r>
  <r>
    <x v="0"/>
    <x v="19"/>
    <x v="19"/>
    <x v="19"/>
    <x v="1"/>
    <n v="4"/>
    <x v="4"/>
    <n v="52300"/>
    <n v="72.5"/>
    <n v="1800"/>
    <n v="160"/>
    <n v="1500"/>
    <n v="1"/>
    <x v="0"/>
    <n v="1087.7939983779399"/>
    <n v="13053.52798053528"/>
    <n v="68813.527980535277"/>
  </r>
  <r>
    <x v="0"/>
    <x v="20"/>
    <x v="20"/>
    <x v="20"/>
    <x v="1"/>
    <n v="4"/>
    <x v="4"/>
    <n v="43800"/>
    <n v="71.5"/>
    <n v="1700"/>
    <n v="160"/>
    <n v="1500"/>
    <n v="1"/>
    <x v="0"/>
    <n v="1072.7899432278994"/>
    <n v="12873.479318734793"/>
    <n v="60033.479318734797"/>
  </r>
  <r>
    <x v="0"/>
    <x v="21"/>
    <x v="21"/>
    <x v="21"/>
    <x v="1"/>
    <n v="4"/>
    <x v="4"/>
    <n v="40900"/>
    <n v="72.400000000000006"/>
    <n v="1600"/>
    <n v="160"/>
    <n v="1500"/>
    <n v="1"/>
    <x v="0"/>
    <n v="1086.2935928629361"/>
    <n v="13035.523114355234"/>
    <n v="57195.523114355237"/>
  </r>
  <r>
    <x v="1"/>
    <x v="22"/>
    <x v="22"/>
    <x v="22"/>
    <x v="1"/>
    <n v="3"/>
    <x v="5"/>
    <n v="31200"/>
    <n v="69.8"/>
    <n v="1100"/>
    <n v="485"/>
    <n v="800"/>
    <n v="0.79"/>
    <x v="0"/>
    <n v="1047.2830494728303"/>
    <n v="12567.396593673962"/>
    <n v="46152.396593673962"/>
  </r>
  <r>
    <x v="2"/>
    <x v="23"/>
    <x v="23"/>
    <x v="23"/>
    <x v="1"/>
    <n v="4"/>
    <x v="4"/>
    <n v="28900"/>
    <n v="68.5"/>
    <n v="1300"/>
    <n v="235"/>
    <n v="900"/>
    <n v="1.35"/>
    <x v="0"/>
    <n v="1027.7777777777778"/>
    <n v="12333.333333333334"/>
    <n v="43668.333333333336"/>
  </r>
  <r>
    <x v="18"/>
    <x v="24"/>
    <x v="24"/>
    <x v="7"/>
    <x v="1"/>
    <n v="4"/>
    <x v="4"/>
    <n v="22000"/>
    <n v="78.599999999999994"/>
    <n v="1500"/>
    <n v="120"/>
    <n v="600"/>
    <n v="7.82"/>
    <x v="1"/>
    <n v="1179.3187347931873"/>
    <n v="14151.824817518249"/>
    <n v="38371.824817518253"/>
  </r>
  <r>
    <x v="19"/>
    <x v="25"/>
    <x v="25"/>
    <x v="24"/>
    <x v="1"/>
    <n v="3"/>
    <x v="5"/>
    <n v="3500"/>
    <n v="58.4"/>
    <n v="800"/>
    <n v="120"/>
    <n v="450"/>
    <n v="0.92"/>
    <x v="0"/>
    <n v="876.23682076236821"/>
    <n v="10514.841849148419"/>
    <n v="15384.841849148419"/>
  </r>
  <r>
    <x v="20"/>
    <x v="26"/>
    <x v="26"/>
    <x v="0"/>
    <x v="1"/>
    <n v="3"/>
    <x v="5"/>
    <n v="12000"/>
    <n v="76.2"/>
    <n v="1200"/>
    <n v="150"/>
    <n v="800"/>
    <n v="3.72"/>
    <x v="0"/>
    <n v="1143.30900243309"/>
    <n v="13719.70802919708"/>
    <n v="27869.708029197078"/>
  </r>
  <r>
    <x v="21"/>
    <x v="27"/>
    <x v="27"/>
    <x v="25"/>
    <x v="1"/>
    <n v="4"/>
    <x v="4"/>
    <n v="5200"/>
    <n v="62.8"/>
    <n v="700"/>
    <n v="140"/>
    <n v="450"/>
    <n v="31.2"/>
    <x v="1"/>
    <n v="942.25466342254663"/>
    <n v="11307.05596107056"/>
    <n v="17797.05596107056"/>
  </r>
  <r>
    <x v="22"/>
    <x v="28"/>
    <x v="28"/>
    <x v="26"/>
    <x v="1"/>
    <n v="3"/>
    <x v="5"/>
    <n v="9800"/>
    <n v="54.6"/>
    <n v="650"/>
    <n v="100"/>
    <n v="400"/>
    <n v="22.5"/>
    <x v="1"/>
    <n v="819.22141119221419"/>
    <n v="9830.6569343065712"/>
    <n v="20780.656934306571"/>
  </r>
  <r>
    <x v="0"/>
    <x v="29"/>
    <x v="29"/>
    <x v="0"/>
    <x v="0"/>
    <n v="5"/>
    <x v="6"/>
    <n v="54200"/>
    <n v="89.5"/>
    <n v="2300"/>
    <n v="160"/>
    <n v="1500"/>
    <n v="1"/>
    <x v="0"/>
    <n v="1342.8629359286294"/>
    <n v="16114.355231143552"/>
    <n v="74274.355231143549"/>
  </r>
  <r>
    <x v="0"/>
    <x v="30"/>
    <x v="30"/>
    <x v="27"/>
    <x v="0"/>
    <n v="5"/>
    <x v="6"/>
    <n v="53800"/>
    <n v="83.2"/>
    <n v="2200"/>
    <n v="160"/>
    <n v="1500"/>
    <n v="1"/>
    <x v="0"/>
    <n v="1248.3373884833738"/>
    <n v="14980.048661800487"/>
    <n v="72640.04866180048"/>
  </r>
  <r>
    <x v="1"/>
    <x v="31"/>
    <x v="31"/>
    <x v="18"/>
    <x v="0"/>
    <n v="4"/>
    <x v="4"/>
    <n v="29800"/>
    <n v="74.5"/>
    <n v="1600"/>
    <n v="485"/>
    <n v="800"/>
    <n v="0.79"/>
    <x v="0"/>
    <n v="1117.8021086780211"/>
    <n v="13413.625304136254"/>
    <n v="46098.625304136251"/>
  </r>
  <r>
    <x v="1"/>
    <x v="0"/>
    <x v="32"/>
    <x v="9"/>
    <x v="0"/>
    <n v="4"/>
    <x v="4"/>
    <n v="31200"/>
    <n v="75.2"/>
    <n v="1700"/>
    <n v="485"/>
    <n v="800"/>
    <n v="0.79"/>
    <x v="0"/>
    <n v="1128.3049472830494"/>
    <n v="13539.659367396593"/>
    <n v="47724.659367396591"/>
  </r>
  <r>
    <x v="4"/>
    <x v="32"/>
    <x v="33"/>
    <x v="28"/>
    <x v="0"/>
    <n v="3"/>
    <x v="5"/>
    <n v="500"/>
    <n v="68.400000000000006"/>
    <n v="900"/>
    <n v="75"/>
    <n v="550"/>
    <n v="0.92"/>
    <x v="0"/>
    <n v="1026.277372262774"/>
    <n v="12315.328467153287"/>
    <n v="14340.328467153287"/>
  </r>
  <r>
    <x v="9"/>
    <x v="33"/>
    <x v="34"/>
    <x v="29"/>
    <x v="0"/>
    <n v="4"/>
    <x v="4"/>
    <n v="1500"/>
    <n v="88.6"/>
    <n v="1800"/>
    <n v="88"/>
    <n v="1200"/>
    <n v="0.89"/>
    <x v="0"/>
    <n v="1329.3592862935927"/>
    <n v="15952.311435523112"/>
    <n v="20540.311435523112"/>
  </r>
  <r>
    <x v="6"/>
    <x v="34"/>
    <x v="35"/>
    <x v="30"/>
    <x v="0"/>
    <n v="4"/>
    <x v="4"/>
    <n v="4800"/>
    <n v="71.8"/>
    <n v="1200"/>
    <n v="180"/>
    <n v="720"/>
    <n v="0.92"/>
    <x v="0"/>
    <n v="1077.2911597729117"/>
    <n v="12927.49391727494"/>
    <n v="19827.49391727494"/>
  </r>
  <r>
    <x v="7"/>
    <x v="7"/>
    <x v="36"/>
    <x v="1"/>
    <x v="0"/>
    <n v="4"/>
    <x v="4"/>
    <n v="8900"/>
    <n v="81.5"/>
    <n v="1600"/>
    <n v="90"/>
    <n v="800"/>
    <n v="1.34"/>
    <x v="0"/>
    <n v="1222.830494728305"/>
    <n v="14673.96593673966"/>
    <n v="26063.96593673966"/>
  </r>
  <r>
    <x v="2"/>
    <x v="35"/>
    <x v="37"/>
    <x v="31"/>
    <x v="0"/>
    <n v="4"/>
    <x v="4"/>
    <n v="21500"/>
    <n v="69.8"/>
    <n v="1300"/>
    <n v="235"/>
    <n v="900"/>
    <n v="1.35"/>
    <x v="0"/>
    <n v="1047.2830494728303"/>
    <n v="12567.396593673962"/>
    <n v="36502.396593673962"/>
  </r>
  <r>
    <x v="3"/>
    <x v="36"/>
    <x v="38"/>
    <x v="32"/>
    <x v="0"/>
    <n v="4"/>
    <x v="4"/>
    <n v="29800"/>
    <n v="70.2"/>
    <n v="1400"/>
    <n v="450"/>
    <n v="650"/>
    <n v="1.52"/>
    <x v="0"/>
    <n v="1053.2846715328469"/>
    <n v="12639.416058394163"/>
    <n v="44939.416058394163"/>
  </r>
  <r>
    <x v="10"/>
    <x v="37"/>
    <x v="39"/>
    <x v="33"/>
    <x v="0"/>
    <n v="4"/>
    <x v="4"/>
    <n v="0"/>
    <n v="69.5"/>
    <n v="1000"/>
    <n v="110"/>
    <n v="400"/>
    <n v="10.45"/>
    <x v="1"/>
    <n v="1042.7818329278184"/>
    <n v="12513.381995133821"/>
    <n v="14023.381995133821"/>
  </r>
  <r>
    <x v="0"/>
    <x v="38"/>
    <x v="40"/>
    <x v="0"/>
    <x v="1"/>
    <n v="4"/>
    <x v="4"/>
    <n v="44200"/>
    <n v="79.5"/>
    <n v="1900"/>
    <n v="160"/>
    <n v="1500"/>
    <n v="1"/>
    <x v="0"/>
    <n v="1192.8223844282238"/>
    <n v="14313.868613138686"/>
    <n v="62073.868613138686"/>
  </r>
  <r>
    <x v="0"/>
    <x v="39"/>
    <x v="41"/>
    <x v="0"/>
    <x v="2"/>
    <n v="2"/>
    <x v="0"/>
    <n v="38900"/>
    <n v="83.4"/>
    <n v="2000"/>
    <n v="160"/>
    <n v="1500"/>
    <n v="1"/>
    <x v="0"/>
    <n v="1251.3381995133821"/>
    <n v="15016.058394160584"/>
    <n v="57576.058394160587"/>
  </r>
  <r>
    <x v="2"/>
    <x v="40"/>
    <x v="42"/>
    <x v="0"/>
    <x v="0"/>
    <n v="4"/>
    <x v="4"/>
    <n v="22800"/>
    <n v="67.8"/>
    <n v="1200"/>
    <n v="235"/>
    <n v="900"/>
    <n v="1.35"/>
    <x v="0"/>
    <n v="1017.2749391727493"/>
    <n v="12207.299270072992"/>
    <n v="37342.299270072996"/>
  </r>
  <r>
    <x v="1"/>
    <x v="41"/>
    <x v="43"/>
    <x v="0"/>
    <x v="2"/>
    <n v="1"/>
    <x v="1"/>
    <n v="33500"/>
    <n v="67.5"/>
    <n v="1100"/>
    <n v="485"/>
    <n v="800"/>
    <n v="0.79"/>
    <x v="0"/>
    <n v="1012.7737226277372"/>
    <n v="12153.284671532847"/>
    <n v="48038.284671532849"/>
  </r>
  <r>
    <x v="23"/>
    <x v="42"/>
    <x v="44"/>
    <x v="0"/>
    <x v="2"/>
    <n v="2"/>
    <x v="0"/>
    <n v="2500"/>
    <n v="45.6"/>
    <n v="500"/>
    <n v="200"/>
    <n v="300"/>
    <n v="83.2"/>
    <x v="1"/>
    <n v="684.18491484184915"/>
    <n v="8210.2189781021898"/>
    <n v="11710.21897810219"/>
  </r>
  <r>
    <x v="11"/>
    <x v="43"/>
    <x v="45"/>
    <x v="0"/>
    <x v="1"/>
    <n v="3"/>
    <x v="5"/>
    <n v="0"/>
    <n v="69.8"/>
    <n v="900"/>
    <n v="120"/>
    <n v="450"/>
    <n v="6.92"/>
    <x v="1"/>
    <n v="1047.2830494728303"/>
    <n v="12567.396593673962"/>
    <n v="14037.396593673962"/>
  </r>
  <r>
    <x v="24"/>
    <x v="44"/>
    <x v="46"/>
    <x v="0"/>
    <x v="2"/>
    <n v="2"/>
    <x v="0"/>
    <n v="3800"/>
    <n v="51.2"/>
    <n v="650"/>
    <n v="80"/>
    <n v="350"/>
    <n v="4.0199999999999996"/>
    <x v="0"/>
    <n v="768.20762368207625"/>
    <n v="9218.491484184915"/>
    <n v="14098.491484184915"/>
  </r>
  <r>
    <x v="14"/>
    <x v="45"/>
    <x v="47"/>
    <x v="0"/>
    <x v="1"/>
    <n v="4"/>
    <x v="4"/>
    <n v="25800"/>
    <n v="68.5"/>
    <n v="1100"/>
    <n v="150"/>
    <n v="650"/>
    <n v="0.92"/>
    <x v="0"/>
    <n v="1027.7777777777778"/>
    <n v="12333.333333333334"/>
    <n v="40033.333333333336"/>
  </r>
  <r>
    <x v="13"/>
    <x v="46"/>
    <x v="48"/>
    <x v="0"/>
    <x v="0"/>
    <n v="4"/>
    <x v="4"/>
    <n v="6900"/>
    <n v="65.400000000000006"/>
    <n v="700"/>
    <n v="130"/>
    <n v="500"/>
    <n v="1320.5"/>
    <x v="2"/>
    <n v="981.26520681265208"/>
    <n v="11775.182481751825"/>
    <n v="20005.182481751825"/>
  </r>
  <r>
    <x v="25"/>
    <x v="47"/>
    <x v="49"/>
    <x v="0"/>
    <x v="1"/>
    <n v="4"/>
    <x v="4"/>
    <n v="4800"/>
    <n v="48.2"/>
    <n v="750"/>
    <n v="110"/>
    <n v="300"/>
    <n v="4.72"/>
    <x v="0"/>
    <n v="723.1954582319546"/>
    <n v="8678.3454987834557"/>
    <n v="14638.345498783456"/>
  </r>
  <r>
    <x v="0"/>
    <x v="48"/>
    <x v="50"/>
    <x v="0"/>
    <x v="1"/>
    <n v="4"/>
    <x v="4"/>
    <n v="44900"/>
    <n v="84.2"/>
    <n v="2100"/>
    <n v="160"/>
    <n v="1500"/>
    <n v="1"/>
    <x v="0"/>
    <n v="1263.3414436334144"/>
    <n v="15160.097323600974"/>
    <n v="63820.097323600974"/>
  </r>
  <r>
    <x v="1"/>
    <x v="49"/>
    <x v="51"/>
    <x v="34"/>
    <x v="1"/>
    <n v="3"/>
    <x v="5"/>
    <n v="32000"/>
    <n v="68.400000000000006"/>
    <n v="1200"/>
    <n v="485"/>
    <n v="800"/>
    <n v="0.79"/>
    <x v="0"/>
    <n v="1026.277372262774"/>
    <n v="12315.328467153287"/>
    <n v="46800.328467153289"/>
  </r>
  <r>
    <x v="2"/>
    <x v="50"/>
    <x v="52"/>
    <x v="35"/>
    <x v="1"/>
    <n v="4"/>
    <x v="4"/>
    <n v="31200"/>
    <n v="71.2"/>
    <n v="1700"/>
    <n v="235"/>
    <n v="900"/>
    <n v="1.35"/>
    <x v="0"/>
    <n v="1068.2887266828873"/>
    <n v="12819.464720194646"/>
    <n v="46854.46472019465"/>
  </r>
  <r>
    <x v="3"/>
    <x v="51"/>
    <x v="53"/>
    <x v="15"/>
    <x v="1"/>
    <n v="3"/>
    <x v="5"/>
    <n v="35000"/>
    <n v="72.8"/>
    <n v="1600"/>
    <n v="450"/>
    <n v="650"/>
    <n v="1.52"/>
    <x v="0"/>
    <n v="1092.2952149229523"/>
    <n v="13107.542579075427"/>
    <n v="50807.542579075423"/>
  </r>
  <r>
    <x v="4"/>
    <x v="52"/>
    <x v="54"/>
    <x v="36"/>
    <x v="1"/>
    <n v="3"/>
    <x v="5"/>
    <n v="0"/>
    <n v="65.2"/>
    <n v="900"/>
    <n v="75"/>
    <n v="550"/>
    <n v="0.92"/>
    <x v="0"/>
    <n v="978.2643957826441"/>
    <n v="11739.17274939173"/>
    <n v="13264.17274939173"/>
  </r>
  <r>
    <x v="26"/>
    <x v="53"/>
    <x v="55"/>
    <x v="24"/>
    <x v="1"/>
    <n v="4"/>
    <x v="4"/>
    <n v="2800"/>
    <n v="62.4"/>
    <n v="950"/>
    <n v="160"/>
    <n v="500"/>
    <n v="0.92"/>
    <x v="0"/>
    <n v="936.25304136253055"/>
    <n v="11235.036496350367"/>
    <n v="15645.036496350367"/>
  </r>
  <r>
    <x v="27"/>
    <x v="54"/>
    <x v="56"/>
    <x v="37"/>
    <x v="1"/>
    <n v="3"/>
    <x v="5"/>
    <n v="4200"/>
    <n v="63.8"/>
    <n v="1100"/>
    <n v="120"/>
    <n v="650"/>
    <n v="0.92"/>
    <x v="0"/>
    <n v="957.25871857258721"/>
    <n v="11487.104622871047"/>
    <n v="17557.104622871047"/>
  </r>
  <r>
    <x v="6"/>
    <x v="55"/>
    <x v="57"/>
    <x v="34"/>
    <x v="1"/>
    <n v="3"/>
    <x v="5"/>
    <n v="11200"/>
    <n v="71.5"/>
    <n v="1300"/>
    <n v="180"/>
    <n v="720"/>
    <n v="0.92"/>
    <x v="0"/>
    <n v="1072.7899432278994"/>
    <n v="12873.479318734793"/>
    <n v="26273.479318734793"/>
  </r>
  <r>
    <x v="28"/>
    <x v="56"/>
    <x v="58"/>
    <x v="0"/>
    <x v="1"/>
    <n v="3"/>
    <x v="5"/>
    <n v="0"/>
    <n v="70.2"/>
    <n v="1100"/>
    <n v="120"/>
    <n v="400"/>
    <n v="0.92"/>
    <x v="0"/>
    <n v="1053.2846715328469"/>
    <n v="12639.416058394163"/>
    <n v="14259.416058394163"/>
  </r>
  <r>
    <x v="29"/>
    <x v="57"/>
    <x v="59"/>
    <x v="38"/>
    <x v="1"/>
    <n v="3"/>
    <x v="5"/>
    <n v="0"/>
    <n v="75.599999999999994"/>
    <n v="1400"/>
    <n v="135"/>
    <n v="450"/>
    <n v="10.45"/>
    <x v="1"/>
    <n v="1134.3065693430656"/>
    <n v="13611.678832116788"/>
    <n v="15596.678832116788"/>
  </r>
  <r>
    <x v="5"/>
    <x v="58"/>
    <x v="60"/>
    <x v="3"/>
    <x v="1"/>
    <n v="4"/>
    <x v="4"/>
    <n v="6800"/>
    <n v="71.2"/>
    <n v="900"/>
    <n v="220"/>
    <n v="750"/>
    <n v="145.80000000000001"/>
    <x v="1"/>
    <n v="1068.2887266828873"/>
    <n v="12819.464720194646"/>
    <n v="21489.464720194646"/>
  </r>
  <r>
    <x v="5"/>
    <x v="59"/>
    <x v="61"/>
    <x v="0"/>
    <x v="2"/>
    <n v="2"/>
    <x v="0"/>
    <n v="8500"/>
    <n v="71.8"/>
    <n v="900"/>
    <n v="220"/>
    <n v="750"/>
    <n v="145.80000000000001"/>
    <x v="1"/>
    <n v="1077.2911597729117"/>
    <n v="12927.49391727494"/>
    <n v="23297.49391727494"/>
  </r>
  <r>
    <x v="5"/>
    <x v="60"/>
    <x v="62"/>
    <x v="5"/>
    <x v="1"/>
    <n v="4"/>
    <x v="4"/>
    <n v="7800"/>
    <n v="68.5"/>
    <n v="750"/>
    <n v="220"/>
    <n v="750"/>
    <n v="145.80000000000001"/>
    <x v="1"/>
    <n v="1027.7777777777778"/>
    <n v="12333.333333333334"/>
    <n v="21853.333333333336"/>
  </r>
  <r>
    <x v="5"/>
    <x v="61"/>
    <x v="63"/>
    <x v="39"/>
    <x v="2"/>
    <n v="2"/>
    <x v="0"/>
    <n v="8200"/>
    <n v="65.400000000000006"/>
    <n v="650"/>
    <n v="220"/>
    <n v="750"/>
    <n v="145.80000000000001"/>
    <x v="1"/>
    <n v="981.26520681265208"/>
    <n v="11775.182481751825"/>
    <n v="21595.182481751825"/>
  </r>
  <r>
    <x v="5"/>
    <x v="62"/>
    <x v="64"/>
    <x v="12"/>
    <x v="1"/>
    <n v="4"/>
    <x v="4"/>
    <n v="7500"/>
    <n v="64.8"/>
    <n v="600"/>
    <n v="220"/>
    <n v="750"/>
    <n v="145.80000000000001"/>
    <x v="1"/>
    <n v="972.2627737226278"/>
    <n v="11667.153284671534"/>
    <n v="20737.153284671534"/>
  </r>
  <r>
    <x v="5"/>
    <x v="63"/>
    <x v="65"/>
    <x v="1"/>
    <x v="2"/>
    <n v="2"/>
    <x v="0"/>
    <n v="8100"/>
    <n v="63.5"/>
    <n v="550"/>
    <n v="220"/>
    <n v="750"/>
    <n v="145.80000000000001"/>
    <x v="1"/>
    <n v="952.75750202757501"/>
    <n v="11433.090024330901"/>
    <n v="21053.090024330901"/>
  </r>
  <r>
    <x v="5"/>
    <x v="5"/>
    <x v="66"/>
    <x v="6"/>
    <x v="0"/>
    <n v="3"/>
    <x v="5"/>
    <n v="8900"/>
    <n v="76.400000000000006"/>
    <n v="1100"/>
    <n v="220"/>
    <n v="750"/>
    <n v="145.80000000000001"/>
    <x v="1"/>
    <n v="1146.3098134630984"/>
    <n v="13755.717761557182"/>
    <n v="24725.717761557182"/>
  </r>
  <r>
    <x v="5"/>
    <x v="64"/>
    <x v="67"/>
    <x v="40"/>
    <x v="1"/>
    <n v="4"/>
    <x v="4"/>
    <n v="7200"/>
    <n v="64.2"/>
    <n v="600"/>
    <n v="220"/>
    <n v="750"/>
    <n v="145.80000000000001"/>
    <x v="1"/>
    <n v="963.26034063260352"/>
    <n v="11559.124087591243"/>
    <n v="20329.124087591241"/>
  </r>
  <r>
    <x v="5"/>
    <x v="65"/>
    <x v="68"/>
    <x v="0"/>
    <x v="2"/>
    <n v="2"/>
    <x v="0"/>
    <n v="7900"/>
    <n v="67.8"/>
    <n v="700"/>
    <n v="220"/>
    <n v="750"/>
    <n v="145.80000000000001"/>
    <x v="1"/>
    <n v="1017.2749391727493"/>
    <n v="12207.299270072992"/>
    <n v="21777.299270072992"/>
  </r>
  <r>
    <x v="5"/>
    <x v="66"/>
    <x v="69"/>
    <x v="39"/>
    <x v="1"/>
    <n v="4"/>
    <x v="4"/>
    <n v="7100"/>
    <n v="62.5"/>
    <n v="500"/>
    <n v="220"/>
    <n v="750"/>
    <n v="145.80000000000001"/>
    <x v="1"/>
    <n v="937.75344687753443"/>
    <n v="11253.041362530414"/>
    <n v="19823.041362530414"/>
  </r>
  <r>
    <x v="5"/>
    <x v="67"/>
    <x v="70"/>
    <x v="41"/>
    <x v="2"/>
    <n v="2"/>
    <x v="0"/>
    <n v="7600"/>
    <n v="63.8"/>
    <n v="550"/>
    <n v="220"/>
    <n v="750"/>
    <n v="145.80000000000001"/>
    <x v="1"/>
    <n v="957.25871857258721"/>
    <n v="11487.104622871047"/>
    <n v="20607.104622871047"/>
  </r>
  <r>
    <x v="3"/>
    <x v="68"/>
    <x v="71"/>
    <x v="0"/>
    <x v="1"/>
    <n v="3"/>
    <x v="5"/>
    <n v="32800"/>
    <n v="68.5"/>
    <n v="1100"/>
    <n v="450"/>
    <n v="650"/>
    <n v="1.52"/>
    <x v="0"/>
    <n v="1027.7777777777778"/>
    <n v="12333.333333333334"/>
    <n v="47333.333333333336"/>
  </r>
  <r>
    <x v="3"/>
    <x v="69"/>
    <x v="72"/>
    <x v="39"/>
    <x v="2"/>
    <n v="2"/>
    <x v="0"/>
    <n v="34500"/>
    <n v="69.8"/>
    <n v="1200"/>
    <n v="450"/>
    <n v="650"/>
    <n v="1.52"/>
    <x v="0"/>
    <n v="1047.2830494728303"/>
    <n v="12567.396593673962"/>
    <n v="49367.396593673962"/>
  </r>
  <r>
    <x v="3"/>
    <x v="70"/>
    <x v="73"/>
    <x v="41"/>
    <x v="1"/>
    <n v="3"/>
    <x v="5"/>
    <n v="31200"/>
    <n v="67.5"/>
    <n v="1100"/>
    <n v="450"/>
    <n v="650"/>
    <n v="1.52"/>
    <x v="0"/>
    <n v="1012.7737226277372"/>
    <n v="12153.284671532847"/>
    <n v="45553.284671532849"/>
  </r>
  <r>
    <x v="3"/>
    <x v="71"/>
    <x v="74"/>
    <x v="1"/>
    <x v="2"/>
    <n v="2"/>
    <x v="0"/>
    <n v="30800"/>
    <n v="65.400000000000006"/>
    <n v="950"/>
    <n v="450"/>
    <n v="650"/>
    <n v="1.52"/>
    <x v="0"/>
    <n v="981.26520681265208"/>
    <n v="11775.182481751825"/>
    <n v="44625.182481751821"/>
  </r>
  <r>
    <x v="3"/>
    <x v="72"/>
    <x v="75"/>
    <x v="12"/>
    <x v="1"/>
    <n v="4"/>
    <x v="4"/>
    <n v="31500"/>
    <n v="66.8"/>
    <n v="1000"/>
    <n v="450"/>
    <n v="650"/>
    <n v="1.52"/>
    <x v="0"/>
    <n v="1002.2708840227087"/>
    <n v="12027.250608272505"/>
    <n v="45627.250608272501"/>
  </r>
  <r>
    <x v="3"/>
    <x v="73"/>
    <x v="76"/>
    <x v="6"/>
    <x v="2"/>
    <n v="2"/>
    <x v="0"/>
    <n v="32900"/>
    <n v="67.2"/>
    <n v="1050"/>
    <n v="450"/>
    <n v="650"/>
    <n v="1.52"/>
    <x v="0"/>
    <n v="1008.272506082725"/>
    <n v="12099.2700729927"/>
    <n v="47149.270072992702"/>
  </r>
  <r>
    <x v="3"/>
    <x v="74"/>
    <x v="77"/>
    <x v="40"/>
    <x v="1"/>
    <n v="3"/>
    <x v="5"/>
    <n v="29800"/>
    <n v="64.5"/>
    <n v="900"/>
    <n v="450"/>
    <n v="650"/>
    <n v="1.52"/>
    <x v="0"/>
    <n v="967.7615571776156"/>
    <n v="11613.138686131388"/>
    <n v="43413.138686131388"/>
  </r>
  <r>
    <x v="3"/>
    <x v="75"/>
    <x v="78"/>
    <x v="14"/>
    <x v="2"/>
    <n v="2"/>
    <x v="0"/>
    <n v="31200"/>
    <n v="65.8"/>
    <n v="950"/>
    <n v="450"/>
    <n v="650"/>
    <n v="1.52"/>
    <x v="0"/>
    <n v="987.26682887266816"/>
    <n v="11847.201946472018"/>
    <n v="45097.201946472022"/>
  </r>
  <r>
    <x v="3"/>
    <x v="76"/>
    <x v="79"/>
    <x v="42"/>
    <x v="1"/>
    <n v="3"/>
    <x v="5"/>
    <n v="29500"/>
    <n v="66.2"/>
    <n v="1000"/>
    <n v="450"/>
    <n v="650"/>
    <n v="1.52"/>
    <x v="0"/>
    <n v="993.26845093268469"/>
    <n v="11919.221411192217"/>
    <n v="43519.221411192215"/>
  </r>
  <r>
    <x v="3"/>
    <x v="77"/>
    <x v="80"/>
    <x v="43"/>
    <x v="2"/>
    <n v="2"/>
    <x v="0"/>
    <n v="30500"/>
    <n v="64.8"/>
    <n v="850"/>
    <n v="450"/>
    <n v="650"/>
    <n v="1.52"/>
    <x v="0"/>
    <n v="972.2627737226278"/>
    <n v="11667.153284671534"/>
    <n v="44117.153284671534"/>
  </r>
  <r>
    <x v="4"/>
    <x v="78"/>
    <x v="81"/>
    <x v="0"/>
    <x v="2"/>
    <n v="2"/>
    <x v="0"/>
    <n v="500"/>
    <n v="65.8"/>
    <n v="750"/>
    <n v="75"/>
    <n v="550"/>
    <n v="0.92"/>
    <x v="0"/>
    <n v="987.26682887266816"/>
    <n v="11847.201946472018"/>
    <n v="13722.201946472018"/>
  </r>
  <r>
    <x v="4"/>
    <x v="79"/>
    <x v="82"/>
    <x v="39"/>
    <x v="1"/>
    <n v="3"/>
    <x v="5"/>
    <n v="450"/>
    <n v="68.5"/>
    <n v="850"/>
    <n v="75"/>
    <n v="550"/>
    <n v="0.92"/>
    <x v="0"/>
    <n v="1027.7777777777778"/>
    <n v="12333.333333333334"/>
    <n v="14258.333333333334"/>
  </r>
  <r>
    <x v="4"/>
    <x v="80"/>
    <x v="83"/>
    <x v="44"/>
    <x v="2"/>
    <n v="2"/>
    <x v="0"/>
    <n v="500"/>
    <n v="71.2"/>
    <n v="950"/>
    <n v="75"/>
    <n v="550"/>
    <n v="0.92"/>
    <x v="0"/>
    <n v="1068.2887266828873"/>
    <n v="12819.464720194646"/>
    <n v="14894.464720194646"/>
  </r>
  <r>
    <x v="4"/>
    <x v="81"/>
    <x v="84"/>
    <x v="12"/>
    <x v="1"/>
    <n v="3"/>
    <x v="5"/>
    <n v="500"/>
    <n v="66.400000000000006"/>
    <n v="700"/>
    <n v="75"/>
    <n v="550"/>
    <n v="0.92"/>
    <x v="0"/>
    <n v="996.26926196269267"/>
    <n v="11955.231143552312"/>
    <n v="13780.231143552312"/>
  </r>
  <r>
    <x v="4"/>
    <x v="82"/>
    <x v="85"/>
    <x v="6"/>
    <x v="2"/>
    <n v="2"/>
    <x v="0"/>
    <n v="500"/>
    <n v="67.8"/>
    <n v="800"/>
    <n v="75"/>
    <n v="550"/>
    <n v="0.92"/>
    <x v="0"/>
    <n v="1017.2749391727493"/>
    <n v="12207.299270072992"/>
    <n v="14132.299270072992"/>
  </r>
  <r>
    <x v="4"/>
    <x v="83"/>
    <x v="86"/>
    <x v="40"/>
    <x v="1"/>
    <n v="3"/>
    <x v="5"/>
    <n v="450"/>
    <n v="66.900000000000006"/>
    <n v="750"/>
    <n v="75"/>
    <n v="550"/>
    <n v="0.92"/>
    <x v="0"/>
    <n v="1003.7712895377128"/>
    <n v="12045.255474452555"/>
    <n v="13870.255474452555"/>
  </r>
  <r>
    <x v="4"/>
    <x v="84"/>
    <x v="87"/>
    <x v="45"/>
    <x v="2"/>
    <n v="2"/>
    <x v="0"/>
    <n v="500"/>
    <n v="64.5"/>
    <n v="650"/>
    <n v="75"/>
    <n v="550"/>
    <n v="0.92"/>
    <x v="0"/>
    <n v="967.7615571776156"/>
    <n v="11613.138686131388"/>
    <n v="13388.138686131388"/>
  </r>
  <r>
    <x v="4"/>
    <x v="85"/>
    <x v="88"/>
    <x v="1"/>
    <x v="1"/>
    <n v="3"/>
    <x v="5"/>
    <n v="450"/>
    <n v="63.8"/>
    <n v="600"/>
    <n v="75"/>
    <n v="550"/>
    <n v="0.92"/>
    <x v="0"/>
    <n v="957.25871857258721"/>
    <n v="11487.104622871047"/>
    <n v="13162.104622871047"/>
  </r>
  <r>
    <x v="4"/>
    <x v="86"/>
    <x v="89"/>
    <x v="46"/>
    <x v="2"/>
    <n v="2"/>
    <x v="0"/>
    <n v="500"/>
    <n v="66.2"/>
    <n v="750"/>
    <n v="75"/>
    <n v="550"/>
    <n v="0.92"/>
    <x v="0"/>
    <n v="993.26845093268469"/>
    <n v="11919.221411192217"/>
    <n v="13794.221411192217"/>
  </r>
  <r>
    <x v="4"/>
    <x v="87"/>
    <x v="90"/>
    <x v="47"/>
    <x v="2"/>
    <n v="2"/>
    <x v="0"/>
    <n v="500"/>
    <n v="67.5"/>
    <n v="800"/>
    <n v="75"/>
    <n v="550"/>
    <n v="0.92"/>
    <x v="0"/>
    <n v="1012.7737226277372"/>
    <n v="12153.284671532847"/>
    <n v="14078.284671532847"/>
  </r>
  <r>
    <x v="0"/>
    <x v="88"/>
    <x v="91"/>
    <x v="0"/>
    <x v="2"/>
    <n v="2"/>
    <x v="0"/>
    <n v="51900"/>
    <n v="76.8"/>
    <n v="1900"/>
    <n v="160"/>
    <n v="1500"/>
    <n v="1"/>
    <x v="0"/>
    <n v="1152.3114355231144"/>
    <n v="13827.737226277372"/>
    <n v="69287.737226277372"/>
  </r>
  <r>
    <x v="0"/>
    <x v="89"/>
    <x v="92"/>
    <x v="14"/>
    <x v="2"/>
    <n v="2"/>
    <x v="0"/>
    <n v="52400"/>
    <n v="78.900000000000006"/>
    <n v="2000"/>
    <n v="160"/>
    <n v="1500"/>
    <n v="1"/>
    <x v="0"/>
    <n v="1183.8199513381996"/>
    <n v="14205.839416058396"/>
    <n v="70265.839416058399"/>
  </r>
  <r>
    <x v="0"/>
    <x v="90"/>
    <x v="93"/>
    <x v="6"/>
    <x v="0"/>
    <n v="5"/>
    <x v="6"/>
    <n v="53600"/>
    <n v="72.5"/>
    <n v="1700"/>
    <n v="160"/>
    <n v="1500"/>
    <n v="1"/>
    <x v="0"/>
    <n v="1087.7939983779399"/>
    <n v="13053.52798053528"/>
    <n v="70013.527980535277"/>
  </r>
  <r>
    <x v="0"/>
    <x v="91"/>
    <x v="94"/>
    <x v="12"/>
    <x v="1"/>
    <n v="4"/>
    <x v="4"/>
    <n v="50800"/>
    <n v="71.2"/>
    <n v="1600"/>
    <n v="160"/>
    <n v="1500"/>
    <n v="1"/>
    <x v="0"/>
    <n v="1068.2887266828873"/>
    <n v="12819.464720194646"/>
    <n v="66879.46472019465"/>
  </r>
  <r>
    <x v="0"/>
    <x v="92"/>
    <x v="95"/>
    <x v="39"/>
    <x v="2"/>
    <n v="2"/>
    <x v="0"/>
    <n v="51500"/>
    <n v="70.8"/>
    <n v="1500"/>
    <n v="160"/>
    <n v="1500"/>
    <n v="1"/>
    <x v="0"/>
    <n v="1062.2871046228711"/>
    <n v="12747.445255474453"/>
    <n v="67407.445255474449"/>
  </r>
  <r>
    <x v="0"/>
    <x v="93"/>
    <x v="96"/>
    <x v="0"/>
    <x v="0"/>
    <n v="5"/>
    <x v="6"/>
    <n v="38200"/>
    <n v="69.5"/>
    <n v="1400"/>
    <n v="160"/>
    <n v="1500"/>
    <n v="1"/>
    <x v="0"/>
    <n v="1042.7818329278184"/>
    <n v="12513.381995133821"/>
    <n v="53773.381995133823"/>
  </r>
  <r>
    <x v="0"/>
    <x v="94"/>
    <x v="97"/>
    <x v="41"/>
    <x v="1"/>
    <n v="4"/>
    <x v="4"/>
    <n v="41200"/>
    <n v="70.2"/>
    <n v="1300"/>
    <n v="160"/>
    <n v="1500"/>
    <n v="1"/>
    <x v="0"/>
    <n v="1053.2846715328469"/>
    <n v="12639.416058394163"/>
    <n v="56799.416058394163"/>
  </r>
  <r>
    <x v="0"/>
    <x v="95"/>
    <x v="98"/>
    <x v="1"/>
    <x v="2"/>
    <n v="2"/>
    <x v="0"/>
    <n v="39800"/>
    <n v="71.5"/>
    <n v="1600"/>
    <n v="160"/>
    <n v="1500"/>
    <n v="1"/>
    <x v="0"/>
    <n v="1072.7899432278994"/>
    <n v="12873.479318734793"/>
    <n v="55933.479318734797"/>
  </r>
  <r>
    <x v="0"/>
    <x v="96"/>
    <x v="99"/>
    <x v="0"/>
    <x v="1"/>
    <n v="4"/>
    <x v="4"/>
    <n v="42500"/>
    <n v="72.8"/>
    <n v="1500"/>
    <n v="160"/>
    <n v="1500"/>
    <n v="1"/>
    <x v="0"/>
    <n v="1092.2952149229523"/>
    <n v="13107.542579075427"/>
    <n v="58767.542579075423"/>
  </r>
  <r>
    <x v="0"/>
    <x v="97"/>
    <x v="100"/>
    <x v="12"/>
    <x v="2"/>
    <n v="2"/>
    <x v="0"/>
    <n v="42800"/>
    <n v="73.5"/>
    <n v="1700"/>
    <n v="160"/>
    <n v="1500"/>
    <n v="1"/>
    <x v="0"/>
    <n v="1102.7980535279805"/>
    <n v="13233.576642335767"/>
    <n v="59393.576642335771"/>
  </r>
  <r>
    <x v="1"/>
    <x v="1"/>
    <x v="101"/>
    <x v="0"/>
    <x v="2"/>
    <n v="1"/>
    <x v="1"/>
    <n v="39200"/>
    <n v="76.2"/>
    <n v="1900"/>
    <n v="485"/>
    <n v="800"/>
    <n v="0.79"/>
    <x v="0"/>
    <n v="1143.30900243309"/>
    <n v="13719.70802919708"/>
    <n v="56104.708029197078"/>
  </r>
  <r>
    <x v="1"/>
    <x v="98"/>
    <x v="102"/>
    <x v="39"/>
    <x v="1"/>
    <n v="3"/>
    <x v="5"/>
    <n v="28500"/>
    <n v="65.8"/>
    <n v="950"/>
    <n v="485"/>
    <n v="800"/>
    <n v="0.79"/>
    <x v="0"/>
    <n v="987.26682887266816"/>
    <n v="11847.201946472018"/>
    <n v="42582.201946472022"/>
  </r>
  <r>
    <x v="1"/>
    <x v="99"/>
    <x v="103"/>
    <x v="1"/>
    <x v="2"/>
    <n v="1"/>
    <x v="1"/>
    <n v="36800"/>
    <n v="67.2"/>
    <n v="1000"/>
    <n v="485"/>
    <n v="800"/>
    <n v="0.79"/>
    <x v="0"/>
    <n v="1008.272506082725"/>
    <n v="12099.2700729927"/>
    <n v="51184.270072992702"/>
  </r>
  <r>
    <x v="1"/>
    <x v="100"/>
    <x v="104"/>
    <x v="6"/>
    <x v="0"/>
    <n v="3"/>
    <x v="5"/>
    <n v="27900"/>
    <n v="64.5"/>
    <n v="850"/>
    <n v="485"/>
    <n v="800"/>
    <n v="0.79"/>
    <x v="0"/>
    <n v="967.7615571776156"/>
    <n v="11613.138686131388"/>
    <n v="41648.138686131388"/>
  </r>
  <r>
    <x v="1"/>
    <x v="101"/>
    <x v="105"/>
    <x v="12"/>
    <x v="1"/>
    <n v="3"/>
    <x v="5"/>
    <n v="29500"/>
    <n v="66.8"/>
    <n v="950"/>
    <n v="485"/>
    <n v="800"/>
    <n v="0.79"/>
    <x v="0"/>
    <n v="1002.2708840227087"/>
    <n v="12027.250608272505"/>
    <n v="43762.250608272501"/>
  </r>
  <r>
    <x v="1"/>
    <x v="102"/>
    <x v="106"/>
    <x v="48"/>
    <x v="2"/>
    <n v="1"/>
    <x v="1"/>
    <n v="32400"/>
    <n v="65.900000000000006"/>
    <n v="900"/>
    <n v="485"/>
    <n v="800"/>
    <n v="0.79"/>
    <x v="0"/>
    <n v="988.76723438767249"/>
    <n v="11865.20681265207"/>
    <n v="46450.206812652068"/>
  </r>
  <r>
    <x v="1"/>
    <x v="103"/>
    <x v="107"/>
    <x v="0"/>
    <x v="1"/>
    <n v="3"/>
    <x v="5"/>
    <n v="28900"/>
    <n v="64.8"/>
    <n v="850"/>
    <n v="485"/>
    <n v="800"/>
    <n v="0.79"/>
    <x v="0"/>
    <n v="972.2627737226278"/>
    <n v="11667.153284671534"/>
    <n v="42702.153284671534"/>
  </r>
  <r>
    <x v="1"/>
    <x v="104"/>
    <x v="108"/>
    <x v="42"/>
    <x v="2"/>
    <n v="1"/>
    <x v="1"/>
    <n v="31200"/>
    <n v="64.2"/>
    <n v="800"/>
    <n v="485"/>
    <n v="800"/>
    <n v="0.79"/>
    <x v="0"/>
    <n v="963.26034063260352"/>
    <n v="11559.124087591243"/>
    <n v="44844.124087591241"/>
  </r>
  <r>
    <x v="1"/>
    <x v="105"/>
    <x v="109"/>
    <x v="49"/>
    <x v="1"/>
    <n v="3"/>
    <x v="5"/>
    <n v="27500"/>
    <n v="63.5"/>
    <n v="750"/>
    <n v="485"/>
    <n v="800"/>
    <n v="0.79"/>
    <x v="0"/>
    <n v="952.75750202757501"/>
    <n v="11433.090024330901"/>
    <n v="40968.090024330901"/>
  </r>
  <r>
    <x v="1"/>
    <x v="72"/>
    <x v="110"/>
    <x v="14"/>
    <x v="2"/>
    <n v="1"/>
    <x v="1"/>
    <n v="30800"/>
    <n v="64.599999999999994"/>
    <n v="800"/>
    <n v="485"/>
    <n v="800"/>
    <n v="0.79"/>
    <x v="0"/>
    <n v="969.26196269261959"/>
    <n v="11631.143552311434"/>
    <n v="44516.143552311434"/>
  </r>
  <r>
    <x v="2"/>
    <x v="106"/>
    <x v="111"/>
    <x v="39"/>
    <x v="1"/>
    <n v="4"/>
    <x v="4"/>
    <n v="32500"/>
    <n v="68.5"/>
    <n v="1200"/>
    <n v="235"/>
    <n v="900"/>
    <n v="1.35"/>
    <x v="0"/>
    <n v="1027.7777777777778"/>
    <n v="12333.333333333334"/>
    <n v="47168.333333333336"/>
  </r>
  <r>
    <x v="2"/>
    <x v="107"/>
    <x v="112"/>
    <x v="0"/>
    <x v="2"/>
    <n v="2"/>
    <x v="0"/>
    <n v="29800"/>
    <n v="65.8"/>
    <n v="1100"/>
    <n v="235"/>
    <n v="900"/>
    <n v="1.35"/>
    <x v="0"/>
    <n v="987.26682887266816"/>
    <n v="11847.201946472018"/>
    <n v="43882.201946472022"/>
  </r>
  <r>
    <x v="2"/>
    <x v="108"/>
    <x v="113"/>
    <x v="1"/>
    <x v="2"/>
    <n v="2"/>
    <x v="0"/>
    <n v="28500"/>
    <n v="64.5"/>
    <n v="1200"/>
    <n v="235"/>
    <n v="900"/>
    <n v="1.35"/>
    <x v="0"/>
    <n v="967.7615571776156"/>
    <n v="11613.138686131388"/>
    <n v="42448.138686131388"/>
  </r>
  <r>
    <x v="2"/>
    <x v="109"/>
    <x v="114"/>
    <x v="12"/>
    <x v="1"/>
    <n v="4"/>
    <x v="4"/>
    <n v="27900"/>
    <n v="69.2"/>
    <n v="1300"/>
    <n v="235"/>
    <n v="900"/>
    <n v="1.35"/>
    <x v="0"/>
    <n v="1038.2806163828063"/>
    <n v="12459.367396593676"/>
    <n v="42794.367396593676"/>
  </r>
  <r>
    <x v="2"/>
    <x v="110"/>
    <x v="115"/>
    <x v="6"/>
    <x v="2"/>
    <n v="2"/>
    <x v="0"/>
    <n v="21500"/>
    <n v="63.8"/>
    <n v="900"/>
    <n v="235"/>
    <n v="900"/>
    <n v="1.35"/>
    <x v="0"/>
    <n v="957.25871857258721"/>
    <n v="11487.104622871047"/>
    <n v="35022.104622871047"/>
  </r>
  <r>
    <x v="2"/>
    <x v="111"/>
    <x v="116"/>
    <x v="0"/>
    <x v="1"/>
    <n v="4"/>
    <x v="4"/>
    <n v="26800"/>
    <n v="62.5"/>
    <n v="950"/>
    <n v="235"/>
    <n v="900"/>
    <n v="1.35"/>
    <x v="0"/>
    <n v="937.75344687753443"/>
    <n v="11253.041362530414"/>
    <n v="40138.041362530414"/>
  </r>
  <r>
    <x v="2"/>
    <x v="112"/>
    <x v="117"/>
    <x v="45"/>
    <x v="1"/>
    <n v="4"/>
    <x v="4"/>
    <n v="25500"/>
    <n v="61.8"/>
    <n v="900"/>
    <n v="235"/>
    <n v="900"/>
    <n v="1.35"/>
    <x v="0"/>
    <n v="927.25060827250593"/>
    <n v="11127.007299270072"/>
    <n v="38662.007299270073"/>
  </r>
  <r>
    <x v="2"/>
    <x v="113"/>
    <x v="118"/>
    <x v="0"/>
    <x v="2"/>
    <n v="2"/>
    <x v="0"/>
    <n v="19800"/>
    <n v="63.2"/>
    <n v="950"/>
    <n v="235"/>
    <n v="900"/>
    <n v="1.35"/>
    <x v="0"/>
    <n v="948.25628548256282"/>
    <n v="11379.075425790754"/>
    <n v="33264.075425790754"/>
  </r>
  <r>
    <x v="2"/>
    <x v="114"/>
    <x v="119"/>
    <x v="14"/>
    <x v="2"/>
    <n v="2"/>
    <x v="0"/>
    <n v="24500"/>
    <n v="62.8"/>
    <n v="1000"/>
    <n v="235"/>
    <n v="900"/>
    <n v="1.35"/>
    <x v="0"/>
    <n v="942.25466342254663"/>
    <n v="11307.05596107056"/>
    <n v="37942.05596107056"/>
  </r>
  <r>
    <x v="2"/>
    <x v="115"/>
    <x v="120"/>
    <x v="12"/>
    <x v="0"/>
    <n v="4"/>
    <x v="4"/>
    <n v="20500"/>
    <n v="61.5"/>
    <n v="850"/>
    <n v="235"/>
    <n v="900"/>
    <n v="1.35"/>
    <x v="0"/>
    <n v="922.74939172749396"/>
    <n v="11072.992700729927"/>
    <n v="33557.992700729927"/>
  </r>
  <r>
    <x v="0"/>
    <x v="116"/>
    <x v="121"/>
    <x v="0"/>
    <x v="2"/>
    <n v="2"/>
    <x v="0"/>
    <n v="51200"/>
    <n v="72.400000000000006"/>
    <n v="1800"/>
    <n v="160"/>
    <n v="1500"/>
    <n v="1"/>
    <x v="0"/>
    <n v="1086.2935928629361"/>
    <n v="13035.523114355234"/>
    <n v="67695.523114355237"/>
  </r>
  <r>
    <x v="0"/>
    <x v="117"/>
    <x v="122"/>
    <x v="0"/>
    <x v="0"/>
    <n v="5"/>
    <x v="6"/>
    <n v="45800"/>
    <n v="68.5"/>
    <n v="1400"/>
    <n v="160"/>
    <n v="1500"/>
    <n v="1"/>
    <x v="0"/>
    <n v="1027.7777777777778"/>
    <n v="12333.333333333334"/>
    <n v="61193.333333333336"/>
  </r>
  <r>
    <x v="2"/>
    <x v="118"/>
    <x v="123"/>
    <x v="39"/>
    <x v="1"/>
    <n v="4"/>
    <x v="4"/>
    <n v="26500"/>
    <n v="69.2"/>
    <n v="1300"/>
    <n v="235"/>
    <n v="900"/>
    <n v="1.35"/>
    <x v="0"/>
    <n v="1038.2806163828063"/>
    <n v="12459.367396593676"/>
    <n v="41394.367396593676"/>
  </r>
  <r>
    <x v="30"/>
    <x v="119"/>
    <x v="124"/>
    <x v="0"/>
    <x v="2"/>
    <n v="2"/>
    <x v="0"/>
    <n v="0"/>
    <n v="48.5"/>
    <n v="600"/>
    <n v="160"/>
    <n v="400"/>
    <n v="4.95"/>
    <x v="0"/>
    <n v="727.69667477696669"/>
    <n v="8732.3600973236007"/>
    <n v="9892.3600973236007"/>
  </r>
  <r>
    <x v="31"/>
    <x v="120"/>
    <x v="125"/>
    <x v="12"/>
    <x v="1"/>
    <n v="4"/>
    <x v="4"/>
    <n v="1800"/>
    <n v="42.8"/>
    <n v="450"/>
    <n v="100"/>
    <n v="300"/>
    <n v="30.5"/>
    <x v="1"/>
    <n v="642.1735604217356"/>
    <n v="7706.0827250608272"/>
    <n v="10356.082725060827"/>
  </r>
  <r>
    <x v="32"/>
    <x v="121"/>
    <x v="126"/>
    <x v="50"/>
    <x v="2"/>
    <n v="2"/>
    <x v="0"/>
    <n v="3900"/>
    <n v="51.2"/>
    <n v="700"/>
    <n v="120"/>
    <n v="350"/>
    <n v="92.8"/>
    <x v="1"/>
    <n v="768.20762368207625"/>
    <n v="9218.491484184915"/>
    <n v="14288.491484184915"/>
  </r>
  <r>
    <x v="33"/>
    <x v="122"/>
    <x v="127"/>
    <x v="12"/>
    <x v="1"/>
    <n v="4"/>
    <x v="4"/>
    <n v="800"/>
    <n v="44.6"/>
    <n v="500"/>
    <n v="160"/>
    <n v="400"/>
    <n v="17.2"/>
    <x v="1"/>
    <n v="669.18085969180868"/>
    <n v="8030.1703163017046"/>
    <n v="9890.1703163017046"/>
  </r>
  <r>
    <x v="34"/>
    <x v="123"/>
    <x v="128"/>
    <x v="39"/>
    <x v="2"/>
    <n v="2"/>
    <x v="0"/>
    <n v="2500"/>
    <n v="54.8"/>
    <n v="550"/>
    <n v="120"/>
    <n v="400"/>
    <n v="0.92"/>
    <x v="0"/>
    <n v="822.22222222222217"/>
    <n v="9866.6666666666661"/>
    <n v="13436.666666666666"/>
  </r>
  <r>
    <x v="35"/>
    <x v="124"/>
    <x v="129"/>
    <x v="0"/>
    <x v="1"/>
    <n v="4"/>
    <x v="4"/>
    <n v="3800"/>
    <n v="46.5"/>
    <n v="450"/>
    <n v="140"/>
    <n v="300"/>
    <n v="35.200000000000003"/>
    <x v="1"/>
    <n v="697.68856447688563"/>
    <n v="8372.2627737226285"/>
    <n v="13062.262773722628"/>
  </r>
  <r>
    <x v="36"/>
    <x v="125"/>
    <x v="130"/>
    <x v="0"/>
    <x v="1"/>
    <n v="4"/>
    <x v="4"/>
    <n v="29500"/>
    <n v="72.400000000000006"/>
    <n v="1200"/>
    <n v="270"/>
    <n v="800"/>
    <n v="3.67"/>
    <x v="0"/>
    <n v="1086.2935928629361"/>
    <n v="13035.523114355234"/>
    <n v="44805.523114355237"/>
  </r>
  <r>
    <x v="0"/>
    <x v="126"/>
    <x v="131"/>
    <x v="1"/>
    <x v="2"/>
    <n v="2"/>
    <x v="0"/>
    <n v="52800"/>
    <n v="100"/>
    <n v="2500"/>
    <n v="160"/>
    <n v="1500"/>
    <n v="1"/>
    <x v="0"/>
    <n v="1500.4055150040551"/>
    <n v="18004.866180048662"/>
    <n v="74964.866180048659"/>
  </r>
  <r>
    <x v="0"/>
    <x v="127"/>
    <x v="132"/>
    <x v="0"/>
    <x v="0"/>
    <n v="5"/>
    <x v="6"/>
    <n v="49800"/>
    <n v="70.5"/>
    <n v="1600"/>
    <n v="160"/>
    <n v="1500"/>
    <n v="1"/>
    <x v="0"/>
    <n v="1057.7858880778588"/>
    <n v="12693.430656934306"/>
    <n v="65753.430656934303"/>
  </r>
  <r>
    <x v="12"/>
    <x v="128"/>
    <x v="133"/>
    <x v="6"/>
    <x v="2"/>
    <n v="2"/>
    <x v="0"/>
    <n v="8200"/>
    <n v="58.4"/>
    <n v="800"/>
    <n v="140"/>
    <n v="400"/>
    <n v="7.18"/>
    <x v="1"/>
    <n v="876.23682076236821"/>
    <n v="10514.841849148419"/>
    <n v="20054.841849148419"/>
  </r>
  <r>
    <x v="37"/>
    <x v="129"/>
    <x v="134"/>
    <x v="0"/>
    <x v="1"/>
    <n v="3"/>
    <x v="5"/>
    <n v="5900"/>
    <n v="49.2"/>
    <n v="600"/>
    <n v="140"/>
    <n v="400"/>
    <n v="18.72"/>
    <x v="1"/>
    <n v="738.19951338199519"/>
    <n v="8858.3941605839427"/>
    <n v="15898.394160583943"/>
  </r>
  <r>
    <x v="38"/>
    <x v="130"/>
    <x v="135"/>
    <x v="12"/>
    <x v="1"/>
    <n v="4"/>
    <x v="4"/>
    <n v="19800"/>
    <n v="38.4"/>
    <n v="450"/>
    <n v="130"/>
    <n v="350"/>
    <n v="30.9"/>
    <x v="1"/>
    <n v="576.15571776155718"/>
    <n v="6913.8686131386858"/>
    <n v="27643.868613138686"/>
  </r>
  <r>
    <x v="39"/>
    <x v="131"/>
    <x v="136"/>
    <x v="39"/>
    <x v="1"/>
    <n v="5"/>
    <x v="6"/>
    <n v="0"/>
    <n v="42.6"/>
    <n v="400"/>
    <n v="150"/>
    <n v="300"/>
    <n v="821.5"/>
    <x v="1"/>
    <n v="639.17274939172751"/>
    <n v="7670.0729927007305"/>
    <n v="8520.0729927007305"/>
  </r>
  <r>
    <x v="40"/>
    <x v="132"/>
    <x v="137"/>
    <x v="40"/>
    <x v="1"/>
    <n v="4"/>
    <x v="4"/>
    <n v="4200"/>
    <n v="45.8"/>
    <n v="500"/>
    <n v="130"/>
    <n v="300"/>
    <n v="15640"/>
    <x v="2"/>
    <n v="687.18572587185724"/>
    <n v="8246.2287104622865"/>
    <n v="13376.228710462286"/>
  </r>
  <r>
    <x v="41"/>
    <x v="133"/>
    <x v="138"/>
    <x v="0"/>
    <x v="2"/>
    <n v="2"/>
    <x v="0"/>
    <n v="7800"/>
    <n v="52.4"/>
    <n v="800"/>
    <n v="250"/>
    <n v="600"/>
    <n v="3.75"/>
    <x v="0"/>
    <n v="786.21248986212493"/>
    <n v="9434.5498783454987"/>
    <n v="18884.549878345497"/>
  </r>
  <r>
    <x v="42"/>
    <x v="134"/>
    <x v="139"/>
    <x v="12"/>
    <x v="1"/>
    <n v="4"/>
    <x v="4"/>
    <n v="2500"/>
    <n v="40.200000000000003"/>
    <n v="400"/>
    <n v="180"/>
    <n v="300"/>
    <n v="860.2"/>
    <x v="1"/>
    <n v="603.16301703163026"/>
    <n v="7237.9562043795631"/>
    <n v="10617.956204379563"/>
  </r>
  <r>
    <x v="43"/>
    <x v="135"/>
    <x v="140"/>
    <x v="39"/>
    <x v="1"/>
    <n v="4"/>
    <x v="4"/>
    <n v="3200"/>
    <n v="43.6"/>
    <n v="450"/>
    <n v="120"/>
    <n v="250"/>
    <n v="24450"/>
    <x v="2"/>
    <n v="654.17680454176798"/>
    <n v="7850.1216545012157"/>
    <n v="11870.121654501216"/>
  </r>
  <r>
    <x v="6"/>
    <x v="136"/>
    <x v="141"/>
    <x v="0"/>
    <x v="2"/>
    <n v="2"/>
    <x v="0"/>
    <n v="15600"/>
    <n v="69.8"/>
    <n v="950"/>
    <n v="180"/>
    <n v="720"/>
    <n v="0.92"/>
    <x v="0"/>
    <n v="1047.2830494728303"/>
    <n v="12567.396593673962"/>
    <n v="30017.396593673962"/>
  </r>
  <r>
    <x v="6"/>
    <x v="137"/>
    <x v="142"/>
    <x v="6"/>
    <x v="1"/>
    <n v="3"/>
    <x v="5"/>
    <n v="11200"/>
    <n v="65.400000000000006"/>
    <n v="750"/>
    <n v="180"/>
    <n v="720"/>
    <n v="0.92"/>
    <x v="0"/>
    <n v="981.26520681265208"/>
    <n v="11775.182481751825"/>
    <n v="24625.182481751825"/>
  </r>
  <r>
    <x v="6"/>
    <x v="138"/>
    <x v="143"/>
    <x v="43"/>
    <x v="2"/>
    <n v="2"/>
    <x v="0"/>
    <n v="14800"/>
    <n v="66.8"/>
    <n v="800"/>
    <n v="180"/>
    <n v="720"/>
    <n v="0.92"/>
    <x v="0"/>
    <n v="1002.2708840227087"/>
    <n v="12027.250608272505"/>
    <n v="28527.250608272505"/>
  </r>
  <r>
    <x v="6"/>
    <x v="139"/>
    <x v="144"/>
    <x v="1"/>
    <x v="1"/>
    <n v="3"/>
    <x v="5"/>
    <n v="11500"/>
    <n v="67.2"/>
    <n v="850"/>
    <n v="180"/>
    <n v="720"/>
    <n v="0.92"/>
    <x v="0"/>
    <n v="1008.272506082725"/>
    <n v="12099.2700729927"/>
    <n v="25349.270072992702"/>
  </r>
  <r>
    <x v="6"/>
    <x v="140"/>
    <x v="145"/>
    <x v="51"/>
    <x v="2"/>
    <n v="2"/>
    <x v="0"/>
    <n v="14500"/>
    <n v="66.5"/>
    <n v="800"/>
    <n v="180"/>
    <n v="720"/>
    <n v="0.92"/>
    <x v="0"/>
    <n v="997.76966747769666"/>
    <n v="11973.23600973236"/>
    <n v="28173.236009732362"/>
  </r>
  <r>
    <x v="6"/>
    <x v="141"/>
    <x v="146"/>
    <x v="40"/>
    <x v="1"/>
    <n v="3"/>
    <x v="5"/>
    <n v="11300"/>
    <n v="65.8"/>
    <n v="750"/>
    <n v="180"/>
    <n v="720"/>
    <n v="0.92"/>
    <x v="0"/>
    <n v="987.26682887266816"/>
    <n v="11847.201946472018"/>
    <n v="24797.201946472018"/>
  </r>
  <r>
    <x v="6"/>
    <x v="142"/>
    <x v="147"/>
    <x v="52"/>
    <x v="2"/>
    <n v="2"/>
    <x v="0"/>
    <n v="15200"/>
    <n v="70.2"/>
    <n v="1000"/>
    <n v="180"/>
    <n v="720"/>
    <n v="0.92"/>
    <x v="0"/>
    <n v="1053.2846715328469"/>
    <n v="12639.416058394163"/>
    <n v="29739.416058394163"/>
  </r>
  <r>
    <x v="6"/>
    <x v="143"/>
    <x v="148"/>
    <x v="12"/>
    <x v="1"/>
    <n v="3"/>
    <x v="5"/>
    <n v="11400"/>
    <n v="69.5"/>
    <n v="950"/>
    <n v="180"/>
    <n v="720"/>
    <n v="0.92"/>
    <x v="0"/>
    <n v="1042.7818329278184"/>
    <n v="12513.381995133821"/>
    <n v="25763.381995133823"/>
  </r>
  <r>
    <x v="6"/>
    <x v="144"/>
    <x v="149"/>
    <x v="11"/>
    <x v="2"/>
    <n v="2"/>
    <x v="0"/>
    <n v="14900"/>
    <n v="65.2"/>
    <n v="750"/>
    <n v="180"/>
    <n v="720"/>
    <n v="0.92"/>
    <x v="0"/>
    <n v="978.2643957826441"/>
    <n v="11739.17274939173"/>
    <n v="28289.172749391728"/>
  </r>
  <r>
    <x v="6"/>
    <x v="6"/>
    <x v="150"/>
    <x v="2"/>
    <x v="2"/>
    <n v="2"/>
    <x v="0"/>
    <n v="15400"/>
    <n v="73.5"/>
    <n v="1100"/>
    <n v="180"/>
    <n v="720"/>
    <n v="0.92"/>
    <x v="0"/>
    <n v="1102.7980535279805"/>
    <n v="13233.576642335767"/>
    <n v="30633.576642335767"/>
  </r>
  <r>
    <x v="7"/>
    <x v="7"/>
    <x v="151"/>
    <x v="0"/>
    <x v="1"/>
    <n v="4"/>
    <x v="4"/>
    <n v="32500"/>
    <n v="81.099999999999994"/>
    <n v="1500"/>
    <n v="90"/>
    <n v="800"/>
    <n v="1.34"/>
    <x v="0"/>
    <n v="1216.8288726682888"/>
    <n v="14601.946472019466"/>
    <n v="49491.946472019466"/>
  </r>
  <r>
    <x v="7"/>
    <x v="7"/>
    <x v="152"/>
    <x v="40"/>
    <x v="1"/>
    <n v="4"/>
    <x v="4"/>
    <n v="31800"/>
    <n v="81.099999999999994"/>
    <n v="1500"/>
    <n v="90"/>
    <n v="800"/>
    <n v="1.34"/>
    <x v="0"/>
    <n v="1216.8288726682888"/>
    <n v="14601.946472019466"/>
    <n v="48791.946472019466"/>
  </r>
  <r>
    <x v="7"/>
    <x v="7"/>
    <x v="153"/>
    <x v="53"/>
    <x v="1"/>
    <n v="4"/>
    <x v="4"/>
    <n v="31200"/>
    <n v="81.099999999999994"/>
    <n v="1500"/>
    <n v="90"/>
    <n v="800"/>
    <n v="1.34"/>
    <x v="0"/>
    <n v="1216.8288726682888"/>
    <n v="14601.946472019466"/>
    <n v="48191.946472019466"/>
  </r>
  <r>
    <x v="7"/>
    <x v="7"/>
    <x v="154"/>
    <x v="39"/>
    <x v="1"/>
    <n v="4"/>
    <x v="4"/>
    <n v="29800"/>
    <n v="81.099999999999994"/>
    <n v="1500"/>
    <n v="90"/>
    <n v="800"/>
    <n v="1.34"/>
    <x v="0"/>
    <n v="1216.8288726682888"/>
    <n v="14601.946472019466"/>
    <n v="46791.946472019466"/>
  </r>
  <r>
    <x v="7"/>
    <x v="7"/>
    <x v="155"/>
    <x v="6"/>
    <x v="2"/>
    <n v="2"/>
    <x v="0"/>
    <n v="35600"/>
    <n v="81.099999999999994"/>
    <n v="1500"/>
    <n v="90"/>
    <n v="800"/>
    <n v="1.34"/>
    <x v="0"/>
    <n v="1216.8288726682888"/>
    <n v="14601.946472019466"/>
    <n v="52591.946472019466"/>
  </r>
  <r>
    <x v="7"/>
    <x v="7"/>
    <x v="156"/>
    <x v="54"/>
    <x v="2"/>
    <n v="2"/>
    <x v="0"/>
    <n v="34900"/>
    <n v="81.099999999999994"/>
    <n v="1500"/>
    <n v="90"/>
    <n v="800"/>
    <n v="1.34"/>
    <x v="0"/>
    <n v="1216.8288726682888"/>
    <n v="14601.946472019466"/>
    <n v="51891.946472019466"/>
  </r>
  <r>
    <x v="7"/>
    <x v="7"/>
    <x v="153"/>
    <x v="55"/>
    <x v="2"/>
    <n v="2"/>
    <x v="0"/>
    <n v="33800"/>
    <n v="81.099999999999994"/>
    <n v="1500"/>
    <n v="90"/>
    <n v="800"/>
    <n v="1.34"/>
    <x v="0"/>
    <n v="1216.8288726682888"/>
    <n v="14601.946472019466"/>
    <n v="50791.946472019466"/>
  </r>
  <r>
    <x v="7"/>
    <x v="7"/>
    <x v="157"/>
    <x v="56"/>
    <x v="2"/>
    <n v="2"/>
    <x v="0"/>
    <n v="34200"/>
    <n v="81.099999999999994"/>
    <n v="1500"/>
    <n v="90"/>
    <n v="800"/>
    <n v="1.34"/>
    <x v="0"/>
    <n v="1216.8288726682888"/>
    <n v="14601.946472019466"/>
    <n v="51191.946472019466"/>
  </r>
  <r>
    <x v="7"/>
    <x v="7"/>
    <x v="155"/>
    <x v="12"/>
    <x v="0"/>
    <n v="4"/>
    <x v="4"/>
    <n v="38500"/>
    <n v="81.099999999999994"/>
    <n v="1500"/>
    <n v="90"/>
    <n v="800"/>
    <n v="1.34"/>
    <x v="0"/>
    <n v="1216.8288726682888"/>
    <n v="14601.946472019466"/>
    <n v="55491.946472019466"/>
  </r>
  <r>
    <x v="7"/>
    <x v="7"/>
    <x v="156"/>
    <x v="57"/>
    <x v="0"/>
    <n v="4"/>
    <x v="4"/>
    <n v="37900"/>
    <n v="81.099999999999994"/>
    <n v="1500"/>
    <n v="90"/>
    <n v="800"/>
    <n v="1.34"/>
    <x v="0"/>
    <n v="1216.8288726682888"/>
    <n v="14601.946472019466"/>
    <n v="54891.946472019466"/>
  </r>
  <r>
    <x v="8"/>
    <x v="145"/>
    <x v="158"/>
    <x v="0"/>
    <x v="2"/>
    <n v="2"/>
    <x v="0"/>
    <n v="15600"/>
    <n v="74.599999999999994"/>
    <n v="1500"/>
    <n v="99"/>
    <n v="650"/>
    <n v="0.92"/>
    <x v="0"/>
    <n v="1119.3025141930252"/>
    <n v="13431.630170316303"/>
    <n v="31280.630170316304"/>
  </r>
  <r>
    <x v="8"/>
    <x v="146"/>
    <x v="159"/>
    <x v="39"/>
    <x v="1"/>
    <n v="3"/>
    <x v="5"/>
    <n v="4200"/>
    <n v="65.8"/>
    <n v="750"/>
    <n v="99"/>
    <n v="650"/>
    <n v="0.92"/>
    <x v="0"/>
    <n v="987.26682887266816"/>
    <n v="11847.201946472018"/>
    <n v="17546.201946472018"/>
  </r>
  <r>
    <x v="8"/>
    <x v="147"/>
    <x v="160"/>
    <x v="1"/>
    <x v="2"/>
    <n v="2"/>
    <x v="0"/>
    <n v="4800"/>
    <n v="68.5"/>
    <n v="850"/>
    <n v="99"/>
    <n v="650"/>
    <n v="0.92"/>
    <x v="0"/>
    <n v="1027.7777777777778"/>
    <n v="12333.333333333334"/>
    <n v="18732.333333333336"/>
  </r>
  <r>
    <x v="8"/>
    <x v="148"/>
    <x v="161"/>
    <x v="6"/>
    <x v="2"/>
    <n v="2"/>
    <x v="0"/>
    <n v="4500"/>
    <n v="66.400000000000006"/>
    <n v="800"/>
    <n v="99"/>
    <n v="650"/>
    <n v="0.92"/>
    <x v="0"/>
    <n v="996.26926196269267"/>
    <n v="11955.231143552312"/>
    <n v="18004.231143552312"/>
  </r>
  <r>
    <x v="8"/>
    <x v="149"/>
    <x v="162"/>
    <x v="12"/>
    <x v="1"/>
    <n v="3"/>
    <x v="5"/>
    <n v="3900"/>
    <n v="69.2"/>
    <n v="900"/>
    <n v="99"/>
    <n v="650"/>
    <n v="0.92"/>
    <x v="0"/>
    <n v="1038.2806163828063"/>
    <n v="12459.367396593676"/>
    <n v="18008.367396593676"/>
  </r>
  <r>
    <x v="8"/>
    <x v="150"/>
    <x v="163"/>
    <x v="40"/>
    <x v="2"/>
    <n v="2"/>
    <x v="0"/>
    <n v="4200"/>
    <n v="67.8"/>
    <n v="850"/>
    <n v="99"/>
    <n v="650"/>
    <n v="0.92"/>
    <x v="0"/>
    <n v="1017.2749391727493"/>
    <n v="12207.299270072992"/>
    <n v="18006.299270072992"/>
  </r>
  <r>
    <x v="8"/>
    <x v="151"/>
    <x v="164"/>
    <x v="42"/>
    <x v="1"/>
    <n v="3"/>
    <x v="5"/>
    <n v="3800"/>
    <n v="65.5"/>
    <n v="750"/>
    <n v="99"/>
    <n v="650"/>
    <n v="0.92"/>
    <x v="0"/>
    <n v="982.76561232765619"/>
    <n v="11793.187347931875"/>
    <n v="17092.187347931875"/>
  </r>
  <r>
    <x v="8"/>
    <x v="152"/>
    <x v="165"/>
    <x v="48"/>
    <x v="2"/>
    <n v="2"/>
    <x v="0"/>
    <n v="4500"/>
    <n v="64.8"/>
    <n v="700"/>
    <n v="99"/>
    <n v="650"/>
    <n v="0.92"/>
    <x v="0"/>
    <n v="972.2627737226278"/>
    <n v="11667.153284671534"/>
    <n v="17616.153284671534"/>
  </r>
  <r>
    <x v="8"/>
    <x v="153"/>
    <x v="166"/>
    <x v="58"/>
    <x v="1"/>
    <n v="3"/>
    <x v="5"/>
    <n v="3900"/>
    <n v="66.2"/>
    <n v="800"/>
    <n v="99"/>
    <n v="650"/>
    <n v="0.92"/>
    <x v="0"/>
    <n v="993.26845093268469"/>
    <n v="11919.221411192217"/>
    <n v="17368.221411192215"/>
  </r>
  <r>
    <x v="8"/>
    <x v="154"/>
    <x v="167"/>
    <x v="44"/>
    <x v="2"/>
    <n v="2"/>
    <x v="0"/>
    <n v="4100"/>
    <n v="65.900000000000006"/>
    <n v="750"/>
    <n v="99"/>
    <n v="650"/>
    <n v="0.92"/>
    <x v="0"/>
    <n v="988.76723438767249"/>
    <n v="11865.20681265207"/>
    <n v="17464.206812652068"/>
  </r>
  <r>
    <x v="9"/>
    <x v="155"/>
    <x v="168"/>
    <x v="0"/>
    <x v="2"/>
    <n v="2"/>
    <x v="0"/>
    <n v="1460"/>
    <n v="89.8"/>
    <n v="1900"/>
    <n v="88"/>
    <n v="1200"/>
    <n v="0.89"/>
    <x v="0"/>
    <n v="1347.3641524736415"/>
    <n v="16168.369829683699"/>
    <n v="20816.369829683699"/>
  </r>
  <r>
    <x v="9"/>
    <x v="156"/>
    <x v="169"/>
    <x v="1"/>
    <x v="1"/>
    <n v="3"/>
    <x v="5"/>
    <n v="1380"/>
    <n v="90.5"/>
    <n v="2000"/>
    <n v="88"/>
    <n v="1200"/>
    <n v="0.89"/>
    <x v="0"/>
    <n v="1357.86699107867"/>
    <n v="16294.403892944039"/>
    <n v="20962.403892944039"/>
  </r>
  <r>
    <x v="9"/>
    <x v="157"/>
    <x v="170"/>
    <x v="39"/>
    <x v="2"/>
    <n v="2"/>
    <x v="0"/>
    <n v="1420"/>
    <n v="85.4"/>
    <n v="1700"/>
    <n v="88"/>
    <n v="1200"/>
    <n v="0.89"/>
    <x v="0"/>
    <n v="1281.3463098134632"/>
    <n v="15376.155717761558"/>
    <n v="19784.155717761558"/>
  </r>
  <r>
    <x v="9"/>
    <x v="158"/>
    <x v="171"/>
    <x v="59"/>
    <x v="1"/>
    <n v="3"/>
    <x v="5"/>
    <n v="1440"/>
    <n v="86.2"/>
    <n v="1600"/>
    <n v="88"/>
    <n v="1200"/>
    <n v="0.89"/>
    <x v="0"/>
    <n v="1293.3495539334956"/>
    <n v="15520.194647201948"/>
    <n v="19848.194647201948"/>
  </r>
  <r>
    <x v="9"/>
    <x v="159"/>
    <x v="172"/>
    <x v="6"/>
    <x v="2"/>
    <n v="2"/>
    <x v="0"/>
    <n v="1460"/>
    <n v="84.5"/>
    <n v="1500"/>
    <n v="88"/>
    <n v="1200"/>
    <n v="0.89"/>
    <x v="0"/>
    <n v="1267.8426601784267"/>
    <n v="15214.111922141121"/>
    <n v="19462.111922141121"/>
  </r>
  <r>
    <x v="9"/>
    <x v="160"/>
    <x v="173"/>
    <x v="12"/>
    <x v="1"/>
    <n v="3"/>
    <x v="5"/>
    <n v="1380"/>
    <n v="83.8"/>
    <n v="1400"/>
    <n v="88"/>
    <n v="1200"/>
    <n v="0.89"/>
    <x v="0"/>
    <n v="1257.3398215733982"/>
    <n v="15088.077858880779"/>
    <n v="19156.077858880781"/>
  </r>
  <r>
    <x v="9"/>
    <x v="161"/>
    <x v="174"/>
    <x v="40"/>
    <x v="2"/>
    <n v="2"/>
    <x v="0"/>
    <n v="1420"/>
    <n v="84.2"/>
    <n v="1500"/>
    <n v="88"/>
    <n v="1200"/>
    <n v="0.89"/>
    <x v="0"/>
    <n v="1263.3414436334144"/>
    <n v="15160.097323600974"/>
    <n v="19368.097323600974"/>
  </r>
  <r>
    <x v="9"/>
    <x v="33"/>
    <x v="175"/>
    <x v="60"/>
    <x v="2"/>
    <n v="2"/>
    <x v="0"/>
    <n v="1440"/>
    <n v="87.5"/>
    <n v="1800"/>
    <n v="88"/>
    <n v="1200"/>
    <n v="0.89"/>
    <x v="0"/>
    <n v="1312.8548256285483"/>
    <n v="15754.257907542578"/>
    <n v="20282.257907542578"/>
  </r>
  <r>
    <x v="9"/>
    <x v="162"/>
    <x v="176"/>
    <x v="61"/>
    <x v="1"/>
    <n v="3"/>
    <x v="5"/>
    <n v="1380"/>
    <n v="85.8"/>
    <n v="1600"/>
    <n v="88"/>
    <n v="1200"/>
    <n v="0.89"/>
    <x v="0"/>
    <n v="1287.3479318734794"/>
    <n v="15448.175182481753"/>
    <n v="19716.175182481755"/>
  </r>
  <r>
    <x v="9"/>
    <x v="163"/>
    <x v="177"/>
    <x v="44"/>
    <x v="2"/>
    <n v="2"/>
    <x v="0"/>
    <n v="1460"/>
    <n v="86.4"/>
    <n v="1700"/>
    <n v="88"/>
    <n v="1200"/>
    <n v="0.89"/>
    <x v="0"/>
    <n v="1296.3503649635038"/>
    <n v="15556.204379562045"/>
    <n v="20004.204379562045"/>
  </r>
  <r>
    <x v="11"/>
    <x v="11"/>
    <x v="11"/>
    <x v="0"/>
    <x v="2"/>
    <n v="2"/>
    <x v="0"/>
    <n v="8800"/>
    <n v="83.2"/>
    <n v="1500"/>
    <n v="110"/>
    <n v="600"/>
    <n v="0.15"/>
    <x v="0"/>
    <n v="1248.3373884833738"/>
    <n v="14980.048661800487"/>
    <n v="25990.048661800487"/>
  </r>
  <r>
    <x v="11"/>
    <x v="164"/>
    <x v="178"/>
    <x v="1"/>
    <x v="2"/>
    <n v="2"/>
    <x v="0"/>
    <n v="8600"/>
    <n v="77.400000000000006"/>
    <n v="1200"/>
    <n v="110"/>
    <n v="600"/>
    <n v="0.15"/>
    <x v="0"/>
    <n v="1161.3138686131388"/>
    <n v="13935.766423357665"/>
    <n v="24445.766423357665"/>
  </r>
  <r>
    <x v="11"/>
    <x v="43"/>
    <x v="45"/>
    <x v="39"/>
    <x v="2"/>
    <n v="2"/>
    <x v="0"/>
    <n v="8400"/>
    <n v="75.099999999999994"/>
    <n v="1000"/>
    <n v="110"/>
    <n v="600"/>
    <n v="0.15"/>
    <x v="0"/>
    <n v="1126.8045417680453"/>
    <n v="13521.654501216544"/>
    <n v="23631.654501216544"/>
  </r>
  <r>
    <x v="12"/>
    <x v="12"/>
    <x v="12"/>
    <x v="0"/>
    <x v="2"/>
    <n v="3"/>
    <x v="5"/>
    <n v="8900"/>
    <n v="51.2"/>
    <n v="800"/>
    <n v="140"/>
    <n v="400"/>
    <n v="7.15"/>
    <x v="1"/>
    <n v="768.20762368207625"/>
    <n v="9218.491484184915"/>
    <n v="19458.491484184917"/>
  </r>
  <r>
    <x v="12"/>
    <x v="12"/>
    <x v="179"/>
    <x v="1"/>
    <x v="2"/>
    <n v="3"/>
    <x v="5"/>
    <n v="8500"/>
    <n v="51.2"/>
    <n v="750"/>
    <n v="140"/>
    <n v="400"/>
    <n v="7.15"/>
    <x v="1"/>
    <n v="768.20762368207625"/>
    <n v="9218.491484184915"/>
    <n v="19008.491484184917"/>
  </r>
  <r>
    <x v="12"/>
    <x v="165"/>
    <x v="180"/>
    <x v="39"/>
    <x v="2"/>
    <n v="2.5"/>
    <x v="3"/>
    <n v="7800"/>
    <n v="48.9"/>
    <n v="700"/>
    <n v="140"/>
    <n v="400"/>
    <n v="7.15"/>
    <x v="1"/>
    <n v="733.69829683698299"/>
    <n v="8804.3795620437959"/>
    <n v="17844.379562043796"/>
  </r>
  <r>
    <x v="12"/>
    <x v="165"/>
    <x v="181"/>
    <x v="6"/>
    <x v="2"/>
    <n v="2.5"/>
    <x v="3"/>
    <n v="8200"/>
    <n v="48.9"/>
    <n v="720"/>
    <n v="140"/>
    <n v="400"/>
    <n v="7.15"/>
    <x v="1"/>
    <n v="733.69829683698299"/>
    <n v="8804.3795620437959"/>
    <n v="18264.379562043796"/>
  </r>
  <r>
    <x v="12"/>
    <x v="166"/>
    <x v="182"/>
    <x v="12"/>
    <x v="2"/>
    <n v="3"/>
    <x v="5"/>
    <n v="7500"/>
    <n v="45.3"/>
    <n v="550"/>
    <n v="140"/>
    <n v="400"/>
    <n v="7.15"/>
    <x v="1"/>
    <n v="679.68369829683695"/>
    <n v="8156.204379562043"/>
    <n v="16746.204379562041"/>
  </r>
  <r>
    <x v="12"/>
    <x v="167"/>
    <x v="183"/>
    <x v="41"/>
    <x v="2"/>
    <n v="3"/>
    <x v="5"/>
    <n v="7200"/>
    <n v="44.1"/>
    <n v="500"/>
    <n v="140"/>
    <n v="400"/>
    <n v="7.15"/>
    <x v="1"/>
    <n v="661.67883211678839"/>
    <n v="7940.1459854014611"/>
    <n v="16180.145985401461"/>
  </r>
  <r>
    <x v="12"/>
    <x v="168"/>
    <x v="184"/>
    <x v="0"/>
    <x v="2"/>
    <n v="3"/>
    <x v="5"/>
    <n v="6900"/>
    <n v="43.8"/>
    <n v="480"/>
    <n v="140"/>
    <n v="400"/>
    <n v="7.15"/>
    <x v="1"/>
    <n v="657.17761557177619"/>
    <n v="7886.1313868613142"/>
    <n v="15806.131386861314"/>
  </r>
  <r>
    <x v="12"/>
    <x v="169"/>
    <x v="185"/>
    <x v="39"/>
    <x v="2"/>
    <n v="3"/>
    <x v="5"/>
    <n v="6500"/>
    <n v="41.2"/>
    <n v="450"/>
    <n v="140"/>
    <n v="400"/>
    <n v="7.15"/>
    <x v="1"/>
    <n v="618.16707218167073"/>
    <n v="7418.0048661800483"/>
    <n v="14908.004866180048"/>
  </r>
  <r>
    <x v="12"/>
    <x v="170"/>
    <x v="186"/>
    <x v="1"/>
    <x v="2"/>
    <n v="3"/>
    <x v="5"/>
    <n v="6300"/>
    <n v="40.5"/>
    <n v="420"/>
    <n v="140"/>
    <n v="400"/>
    <n v="7.15"/>
    <x v="1"/>
    <n v="607.66423357664235"/>
    <n v="7291.9708029197081"/>
    <n v="14551.970802919708"/>
  </r>
  <r>
    <x v="12"/>
    <x v="171"/>
    <x v="187"/>
    <x v="12"/>
    <x v="2"/>
    <n v="3"/>
    <x v="5"/>
    <n v="6100"/>
    <n v="39.799999999999997"/>
    <n v="400"/>
    <n v="140"/>
    <n v="400"/>
    <n v="7.15"/>
    <x v="1"/>
    <n v="597.16139497161384"/>
    <n v="7165.9367396593661"/>
    <n v="14205.936739659366"/>
  </r>
  <r>
    <x v="13"/>
    <x v="13"/>
    <x v="13"/>
    <x v="0"/>
    <x v="2"/>
    <n v="2"/>
    <x v="0"/>
    <n v="7200"/>
    <n v="85.1"/>
    <n v="950"/>
    <n v="90"/>
    <n v="800"/>
    <n v="1300"/>
    <x v="2"/>
    <n v="1276.8450932684509"/>
    <n v="15322.141119221411"/>
    <n v="24362.141119221411"/>
  </r>
  <r>
    <x v="13"/>
    <x v="13"/>
    <x v="188"/>
    <x v="6"/>
    <x v="2"/>
    <n v="2"/>
    <x v="0"/>
    <n v="7000"/>
    <n v="85.1"/>
    <n v="920"/>
    <n v="90"/>
    <n v="800"/>
    <n v="1300"/>
    <x v="2"/>
    <n v="1276.8450932684509"/>
    <n v="15322.141119221411"/>
    <n v="24132.141119221411"/>
  </r>
  <r>
    <x v="13"/>
    <x v="13"/>
    <x v="189"/>
    <x v="1"/>
    <x v="2"/>
    <n v="2"/>
    <x v="0"/>
    <n v="6900"/>
    <n v="85.1"/>
    <n v="900"/>
    <n v="90"/>
    <n v="800"/>
    <n v="1300"/>
    <x v="2"/>
    <n v="1276.8450932684509"/>
    <n v="15322.141119221411"/>
    <n v="24012.141119221411"/>
  </r>
  <r>
    <x v="13"/>
    <x v="13"/>
    <x v="190"/>
    <x v="39"/>
    <x v="2"/>
    <n v="2"/>
    <x v="0"/>
    <n v="6500"/>
    <n v="85.1"/>
    <n v="850"/>
    <n v="90"/>
    <n v="800"/>
    <n v="1300"/>
    <x v="2"/>
    <n v="1276.8450932684509"/>
    <n v="15322.141119221411"/>
    <n v="23562.141119221411"/>
  </r>
  <r>
    <x v="13"/>
    <x v="13"/>
    <x v="191"/>
    <x v="12"/>
    <x v="2"/>
    <n v="2"/>
    <x v="0"/>
    <n v="6400"/>
    <n v="85.1"/>
    <n v="840"/>
    <n v="90"/>
    <n v="800"/>
    <n v="1300"/>
    <x v="2"/>
    <n v="1276.8450932684509"/>
    <n v="15322.141119221411"/>
    <n v="23452.141119221411"/>
  </r>
  <r>
    <x v="13"/>
    <x v="46"/>
    <x v="48"/>
    <x v="62"/>
    <x v="2"/>
    <n v="2"/>
    <x v="0"/>
    <n v="6800"/>
    <n v="75.400000000000006"/>
    <n v="700"/>
    <n v="90"/>
    <n v="800"/>
    <n v="1300"/>
    <x v="2"/>
    <n v="1131.3057583130576"/>
    <n v="13575.669099756691"/>
    <n v="21965.669099756691"/>
  </r>
  <r>
    <x v="13"/>
    <x v="46"/>
    <x v="192"/>
    <x v="40"/>
    <x v="2"/>
    <n v="2"/>
    <x v="0"/>
    <n v="5900"/>
    <n v="75.400000000000006"/>
    <n v="650"/>
    <n v="90"/>
    <n v="800"/>
    <n v="1300"/>
    <x v="2"/>
    <n v="1131.3057583130576"/>
    <n v="13575.669099756691"/>
    <n v="21015.669099756691"/>
  </r>
  <r>
    <x v="13"/>
    <x v="15"/>
    <x v="15"/>
    <x v="0"/>
    <x v="2"/>
    <n v="2"/>
    <x v="0"/>
    <n v="5800"/>
    <n v="73.2"/>
    <n v="600"/>
    <n v="90"/>
    <n v="800"/>
    <n v="1300"/>
    <x v="2"/>
    <n v="1098.2968369829684"/>
    <n v="13179.56204379562"/>
    <n v="20469.56204379562"/>
  </r>
  <r>
    <x v="13"/>
    <x v="15"/>
    <x v="193"/>
    <x v="39"/>
    <x v="2"/>
    <n v="2"/>
    <x v="0"/>
    <n v="5600"/>
    <n v="73.2"/>
    <n v="580"/>
    <n v="90"/>
    <n v="800"/>
    <n v="1300"/>
    <x v="2"/>
    <n v="1098.2968369829684"/>
    <n v="13179.56204379562"/>
    <n v="20249.56204379562"/>
  </r>
  <r>
    <x v="13"/>
    <x v="172"/>
    <x v="194"/>
    <x v="14"/>
    <x v="2"/>
    <n v="2"/>
    <x v="0"/>
    <n v="5500"/>
    <n v="71.8"/>
    <n v="550"/>
    <n v="90"/>
    <n v="800"/>
    <n v="1300"/>
    <x v="2"/>
    <n v="1077.2911597729117"/>
    <n v="12927.49391727494"/>
    <n v="19867.49391727494"/>
  </r>
  <r>
    <x v="13"/>
    <x v="172"/>
    <x v="195"/>
    <x v="12"/>
    <x v="2"/>
    <n v="2"/>
    <x v="0"/>
    <n v="5400"/>
    <n v="71.8"/>
    <n v="530"/>
    <n v="90"/>
    <n v="800"/>
    <n v="1300"/>
    <x v="2"/>
    <n v="1077.2911597729117"/>
    <n v="12927.49391727494"/>
    <n v="19747.49391727494"/>
  </r>
  <r>
    <x v="13"/>
    <x v="173"/>
    <x v="196"/>
    <x v="41"/>
    <x v="2"/>
    <n v="2"/>
    <x v="0"/>
    <n v="5300"/>
    <n v="70.5"/>
    <n v="520"/>
    <n v="90"/>
    <n v="800"/>
    <n v="1300"/>
    <x v="2"/>
    <n v="1057.7858880778588"/>
    <n v="12693.430656934306"/>
    <n v="19403.430656934306"/>
  </r>
  <r>
    <x v="13"/>
    <x v="173"/>
    <x v="197"/>
    <x v="0"/>
    <x v="2"/>
    <n v="2"/>
    <x v="0"/>
    <n v="5200"/>
    <n v="70.5"/>
    <n v="500"/>
    <n v="90"/>
    <n v="800"/>
    <n v="1300"/>
    <x v="2"/>
    <n v="1057.7858880778588"/>
    <n v="12693.430656934306"/>
    <n v="19283.430656934306"/>
  </r>
  <r>
    <x v="13"/>
    <x v="174"/>
    <x v="198"/>
    <x v="63"/>
    <x v="2"/>
    <n v="2"/>
    <x v="0"/>
    <n v="6100"/>
    <n v="72.3"/>
    <n v="580"/>
    <n v="90"/>
    <n v="800"/>
    <n v="1300"/>
    <x v="2"/>
    <n v="1084.7931873479317"/>
    <n v="13017.51824817518"/>
    <n v="20587.51824817518"/>
  </r>
  <r>
    <x v="13"/>
    <x v="174"/>
    <x v="199"/>
    <x v="45"/>
    <x v="2"/>
    <n v="2"/>
    <x v="0"/>
    <n v="5100"/>
    <n v="72.3"/>
    <n v="550"/>
    <n v="90"/>
    <n v="800"/>
    <n v="1300"/>
    <x v="2"/>
    <n v="1084.7931873479317"/>
    <n v="13017.51824817518"/>
    <n v="19557.51824817518"/>
  </r>
  <r>
    <x v="13"/>
    <x v="175"/>
    <x v="200"/>
    <x v="12"/>
    <x v="2"/>
    <n v="2"/>
    <x v="0"/>
    <n v="6300"/>
    <n v="71.2"/>
    <n v="570"/>
    <n v="90"/>
    <n v="800"/>
    <n v="1300"/>
    <x v="2"/>
    <n v="1068.2887266828873"/>
    <n v="12819.464720194646"/>
    <n v="20579.464720194646"/>
  </r>
  <r>
    <x v="13"/>
    <x v="176"/>
    <x v="201"/>
    <x v="1"/>
    <x v="2"/>
    <n v="2"/>
    <x v="0"/>
    <n v="5000"/>
    <n v="76.400000000000006"/>
    <n v="600"/>
    <n v="90"/>
    <n v="800"/>
    <n v="1300"/>
    <x v="2"/>
    <n v="1146.3098134630984"/>
    <n v="13755.717761557182"/>
    <n v="20245.717761557182"/>
  </r>
  <r>
    <x v="13"/>
    <x v="177"/>
    <x v="202"/>
    <x v="64"/>
    <x v="2"/>
    <n v="2"/>
    <x v="0"/>
    <n v="5900"/>
    <n v="77.8"/>
    <n v="650"/>
    <n v="90"/>
    <n v="800"/>
    <n v="1300"/>
    <x v="2"/>
    <n v="1167.315490673155"/>
    <n v="14007.785888077859"/>
    <n v="21447.785888077859"/>
  </r>
  <r>
    <x v="13"/>
    <x v="46"/>
    <x v="203"/>
    <x v="65"/>
    <x v="2"/>
    <n v="2"/>
    <x v="0"/>
    <n v="4900"/>
    <n v="75.400000000000006"/>
    <n v="540"/>
    <n v="90"/>
    <n v="800"/>
    <n v="1300"/>
    <x v="2"/>
    <n v="1131.3057583130576"/>
    <n v="13575.669099756691"/>
    <n v="19905.669099756691"/>
  </r>
  <r>
    <x v="13"/>
    <x v="178"/>
    <x v="204"/>
    <x v="66"/>
    <x v="2"/>
    <n v="2"/>
    <x v="0"/>
    <n v="4800"/>
    <n v="70.099999999999994"/>
    <n v="520"/>
    <n v="90"/>
    <n v="800"/>
    <n v="1300"/>
    <x v="2"/>
    <n v="1051.7842660178426"/>
    <n v="12621.411192214111"/>
    <n v="18831.411192214109"/>
  </r>
  <r>
    <x v="0"/>
    <x v="29"/>
    <x v="29"/>
    <x v="0"/>
    <x v="1"/>
    <n v="4"/>
    <x v="4"/>
    <n v="57000"/>
    <n v="95.2"/>
    <n v="2400"/>
    <n v="160"/>
    <n v="1500"/>
    <n v="1"/>
    <x v="0"/>
    <n v="1428.3860502838606"/>
    <n v="17140.632603406328"/>
    <n v="78200.632603406324"/>
  </r>
  <r>
    <x v="0"/>
    <x v="0"/>
    <x v="30"/>
    <x v="0"/>
    <x v="1"/>
    <n v="4"/>
    <x v="4"/>
    <n v="55800"/>
    <n v="83.5"/>
    <n v="2300"/>
    <n v="160"/>
    <n v="1500"/>
    <n v="1"/>
    <x v="0"/>
    <n v="1252.8386050283859"/>
    <n v="15034.06326034063"/>
    <n v="74794.063260340627"/>
  </r>
  <r>
    <x v="0"/>
    <x v="179"/>
    <x v="205"/>
    <x v="0"/>
    <x v="1"/>
    <n v="4"/>
    <x v="4"/>
    <n v="54500"/>
    <n v="79.8"/>
    <n v="2100"/>
    <n v="160"/>
    <n v="1500"/>
    <n v="1"/>
    <x v="0"/>
    <n v="1197.3236009732359"/>
    <n v="14367.883211678831"/>
    <n v="72627.883211678825"/>
  </r>
  <r>
    <x v="0"/>
    <x v="180"/>
    <x v="206"/>
    <x v="0"/>
    <x v="1"/>
    <n v="4"/>
    <x v="4"/>
    <n v="54000"/>
    <n v="81.2"/>
    <n v="2000"/>
    <n v="160"/>
    <n v="1500"/>
    <n v="1"/>
    <x v="0"/>
    <n v="1218.3292781832929"/>
    <n v="14619.951338199515"/>
    <n v="72279.95133819952"/>
  </r>
  <r>
    <x v="0"/>
    <x v="88"/>
    <x v="91"/>
    <x v="0"/>
    <x v="1"/>
    <n v="4"/>
    <x v="4"/>
    <n v="53500"/>
    <n v="82.4"/>
    <n v="1900"/>
    <n v="160"/>
    <n v="1500"/>
    <n v="1"/>
    <x v="0"/>
    <n v="1236.3341443633415"/>
    <n v="14836.009732360097"/>
    <n v="71896.009732360093"/>
  </r>
  <r>
    <x v="0"/>
    <x v="181"/>
    <x v="207"/>
    <x v="0"/>
    <x v="1"/>
    <n v="4"/>
    <x v="4"/>
    <n v="43000"/>
    <n v="88.7"/>
    <n v="2200"/>
    <n v="160"/>
    <n v="1500"/>
    <n v="1"/>
    <x v="0"/>
    <n v="1330.8596918085971"/>
    <n v="15970.316301703166"/>
    <n v="62830.316301703162"/>
  </r>
  <r>
    <x v="0"/>
    <x v="48"/>
    <x v="50"/>
    <x v="0"/>
    <x v="1"/>
    <n v="4"/>
    <x v="4"/>
    <n v="43500"/>
    <n v="91.5"/>
    <n v="2300"/>
    <n v="160"/>
    <n v="1500"/>
    <n v="1"/>
    <x v="0"/>
    <n v="1372.8710462287104"/>
    <n v="16474.452554744523"/>
    <n v="63934.452554744523"/>
  </r>
  <r>
    <x v="0"/>
    <x v="19"/>
    <x v="19"/>
    <x v="0"/>
    <x v="1"/>
    <n v="4"/>
    <x v="4"/>
    <n v="52000"/>
    <n v="75.400000000000006"/>
    <n v="1700"/>
    <n v="160"/>
    <n v="1500"/>
    <n v="1"/>
    <x v="0"/>
    <n v="1131.3057583130576"/>
    <n v="13575.669099756691"/>
    <n v="68935.669099756691"/>
  </r>
  <r>
    <x v="0"/>
    <x v="21"/>
    <x v="208"/>
    <x v="0"/>
    <x v="1"/>
    <n v="4"/>
    <x v="4"/>
    <n v="40500"/>
    <n v="72.8"/>
    <n v="1800"/>
    <n v="160"/>
    <n v="1500"/>
    <n v="1"/>
    <x v="0"/>
    <n v="1092.2952149229523"/>
    <n v="13107.542579075427"/>
    <n v="57067.542579075423"/>
  </r>
  <r>
    <x v="0"/>
    <x v="39"/>
    <x v="41"/>
    <x v="0"/>
    <x v="1"/>
    <n v="4"/>
    <x v="4"/>
    <n v="39800"/>
    <n v="85.6"/>
    <n v="2000"/>
    <n v="160"/>
    <n v="1500"/>
    <n v="1"/>
    <x v="0"/>
    <n v="1284.3471208434712"/>
    <n v="15412.165450121654"/>
    <n v="58872.165450121654"/>
  </r>
  <r>
    <x v="0"/>
    <x v="93"/>
    <x v="209"/>
    <x v="0"/>
    <x v="1"/>
    <n v="4"/>
    <x v="4"/>
    <n v="37500"/>
    <n v="71.2"/>
    <n v="1600"/>
    <n v="160"/>
    <n v="1500"/>
    <n v="1"/>
    <x v="0"/>
    <n v="1068.2887266828873"/>
    <n v="12819.464720194646"/>
    <n v="53579.46472019465"/>
  </r>
  <r>
    <x v="0"/>
    <x v="182"/>
    <x v="210"/>
    <x v="0"/>
    <x v="1"/>
    <n v="4"/>
    <x v="4"/>
    <n v="36800"/>
    <n v="70.5"/>
    <n v="1500"/>
    <n v="160"/>
    <n v="1500"/>
    <n v="1"/>
    <x v="0"/>
    <n v="1057.7858880778588"/>
    <n v="12693.430656934306"/>
    <n v="52653.430656934303"/>
  </r>
  <r>
    <x v="0"/>
    <x v="20"/>
    <x v="20"/>
    <x v="0"/>
    <x v="1"/>
    <n v="4"/>
    <x v="4"/>
    <n v="33500"/>
    <n v="76.8"/>
    <n v="1700"/>
    <n v="160"/>
    <n v="1500"/>
    <n v="1"/>
    <x v="0"/>
    <n v="1152.3114355231144"/>
    <n v="13827.737226277372"/>
    <n v="50687.737226277372"/>
  </r>
  <r>
    <x v="0"/>
    <x v="183"/>
    <x v="211"/>
    <x v="0"/>
    <x v="1"/>
    <n v="4"/>
    <x v="4"/>
    <n v="32800"/>
    <n v="71.400000000000006"/>
    <n v="1400"/>
    <n v="160"/>
    <n v="1500"/>
    <n v="1"/>
    <x v="0"/>
    <n v="1071.2895377128955"/>
    <n v="12855.474452554747"/>
    <n v="48715.474452554743"/>
  </r>
  <r>
    <x v="0"/>
    <x v="184"/>
    <x v="212"/>
    <x v="0"/>
    <x v="1"/>
    <n v="4"/>
    <x v="4"/>
    <n v="31500"/>
    <n v="68.900000000000006"/>
    <n v="1300"/>
    <n v="160"/>
    <n v="1500"/>
    <n v="1"/>
    <x v="0"/>
    <n v="1033.779399837794"/>
    <n v="12405.352798053529"/>
    <n v="46865.352798053529"/>
  </r>
  <r>
    <x v="0"/>
    <x v="185"/>
    <x v="213"/>
    <x v="0"/>
    <x v="1"/>
    <n v="4"/>
    <x v="4"/>
    <n v="28500"/>
    <n v="70.2"/>
    <n v="1400"/>
    <n v="160"/>
    <n v="1500"/>
    <n v="1"/>
    <x v="0"/>
    <n v="1053.2846715328469"/>
    <n v="12639.416058394163"/>
    <n v="44199.416058394163"/>
  </r>
  <r>
    <x v="0"/>
    <x v="94"/>
    <x v="97"/>
    <x v="0"/>
    <x v="1"/>
    <n v="4"/>
    <x v="4"/>
    <n v="28000"/>
    <n v="72.5"/>
    <n v="1500"/>
    <n v="160"/>
    <n v="1500"/>
    <n v="1"/>
    <x v="0"/>
    <n v="1087.7939983779399"/>
    <n v="13053.52798053528"/>
    <n v="44213.527980535277"/>
  </r>
  <r>
    <x v="0"/>
    <x v="186"/>
    <x v="214"/>
    <x v="0"/>
    <x v="1"/>
    <n v="4"/>
    <x v="4"/>
    <n v="27500"/>
    <n v="71.8"/>
    <n v="1400"/>
    <n v="160"/>
    <n v="1500"/>
    <n v="1"/>
    <x v="0"/>
    <n v="1077.2911597729117"/>
    <n v="12927.49391727494"/>
    <n v="43487.493917274944"/>
  </r>
  <r>
    <x v="0"/>
    <x v="187"/>
    <x v="215"/>
    <x v="0"/>
    <x v="1"/>
    <n v="4"/>
    <x v="4"/>
    <n v="27000"/>
    <n v="69.5"/>
    <n v="1300"/>
    <n v="160"/>
    <n v="1500"/>
    <n v="1"/>
    <x v="0"/>
    <n v="1042.7818329278184"/>
    <n v="12513.381995133821"/>
    <n v="42473.381995133823"/>
  </r>
  <r>
    <x v="0"/>
    <x v="188"/>
    <x v="216"/>
    <x v="0"/>
    <x v="1"/>
    <n v="4"/>
    <x v="4"/>
    <n v="26500"/>
    <n v="70.099999999999994"/>
    <n v="1300"/>
    <n v="160"/>
    <n v="1500"/>
    <n v="1"/>
    <x v="0"/>
    <n v="1051.7842660178426"/>
    <n v="12621.411192214111"/>
    <n v="42081.411192214109"/>
  </r>
  <r>
    <x v="1"/>
    <x v="0"/>
    <x v="32"/>
    <x v="0"/>
    <x v="1"/>
    <n v="3"/>
    <x v="5"/>
    <n v="38500"/>
    <n v="78.5"/>
    <n v="1800"/>
    <n v="490"/>
    <n v="800"/>
    <n v="0.79"/>
    <x v="0"/>
    <n v="1177.8183292781832"/>
    <n v="14133.819951338199"/>
    <n v="55723.819951338199"/>
  </r>
  <r>
    <x v="1"/>
    <x v="31"/>
    <x v="31"/>
    <x v="0"/>
    <x v="1"/>
    <n v="3"/>
    <x v="5"/>
    <n v="37900"/>
    <n v="77.8"/>
    <n v="1850"/>
    <n v="490"/>
    <n v="800"/>
    <n v="0.79"/>
    <x v="0"/>
    <n v="1167.315490673155"/>
    <n v="14007.785888077859"/>
    <n v="55047.785888077859"/>
  </r>
  <r>
    <x v="1"/>
    <x v="1"/>
    <x v="1"/>
    <x v="0"/>
    <x v="1"/>
    <n v="3"/>
    <x v="5"/>
    <n v="37500"/>
    <n v="83.2"/>
    <n v="2200"/>
    <n v="490"/>
    <n v="800"/>
    <n v="0.79"/>
    <x v="0"/>
    <n v="1248.3373884833738"/>
    <n v="14980.048661800487"/>
    <n v="55970.048661800487"/>
  </r>
  <r>
    <x v="1"/>
    <x v="1"/>
    <x v="101"/>
    <x v="0"/>
    <x v="1"/>
    <n v="3"/>
    <x v="5"/>
    <n v="36800"/>
    <n v="83.2"/>
    <n v="2100"/>
    <n v="490"/>
    <n v="800"/>
    <n v="0.79"/>
    <x v="0"/>
    <n v="1248.3373884833738"/>
    <n v="14980.048661800487"/>
    <n v="55170.048661800487"/>
  </r>
  <r>
    <x v="1"/>
    <x v="1"/>
    <x v="217"/>
    <x v="0"/>
    <x v="1"/>
    <n v="3"/>
    <x v="5"/>
    <n v="35500"/>
    <n v="83.2"/>
    <n v="2000"/>
    <n v="490"/>
    <n v="800"/>
    <n v="0.79"/>
    <x v="0"/>
    <n v="1248.3373884833738"/>
    <n v="14980.048661800487"/>
    <n v="53770.048661800487"/>
  </r>
  <r>
    <x v="1"/>
    <x v="189"/>
    <x v="218"/>
    <x v="0"/>
    <x v="1"/>
    <n v="4"/>
    <x v="4"/>
    <n v="32500"/>
    <n v="75.400000000000006"/>
    <n v="1600"/>
    <n v="490"/>
    <n v="800"/>
    <n v="0.79"/>
    <x v="0"/>
    <n v="1131.3057583130576"/>
    <n v="13575.669099756691"/>
    <n v="48965.669099756691"/>
  </r>
  <r>
    <x v="1"/>
    <x v="49"/>
    <x v="51"/>
    <x v="0"/>
    <x v="1"/>
    <n v="3"/>
    <x v="5"/>
    <n v="31800"/>
    <n v="72.099999999999994"/>
    <n v="1400"/>
    <n v="490"/>
    <n v="800"/>
    <n v="0.79"/>
    <x v="0"/>
    <n v="1081.7923763179238"/>
    <n v="12981.508515815085"/>
    <n v="47471.508515815083"/>
  </r>
  <r>
    <x v="1"/>
    <x v="22"/>
    <x v="22"/>
    <x v="0"/>
    <x v="1"/>
    <n v="3"/>
    <x v="5"/>
    <n v="31500"/>
    <n v="74.8"/>
    <n v="1500"/>
    <n v="490"/>
    <n v="800"/>
    <n v="0.79"/>
    <x v="0"/>
    <n v="1122.3033252230332"/>
    <n v="13467.639902676397"/>
    <n v="47757.639902676397"/>
  </r>
  <r>
    <x v="1"/>
    <x v="99"/>
    <x v="103"/>
    <x v="0"/>
    <x v="1"/>
    <n v="3"/>
    <x v="5"/>
    <n v="31200"/>
    <n v="71.5"/>
    <n v="1300"/>
    <n v="490"/>
    <n v="800"/>
    <n v="0.79"/>
    <x v="0"/>
    <n v="1072.7899432278994"/>
    <n v="12873.479318734793"/>
    <n v="46663.479318734797"/>
  </r>
  <r>
    <x v="1"/>
    <x v="41"/>
    <x v="43"/>
    <x v="0"/>
    <x v="1"/>
    <n v="4"/>
    <x v="4"/>
    <n v="30800"/>
    <n v="73.2"/>
    <n v="1400"/>
    <n v="490"/>
    <n v="800"/>
    <n v="0.79"/>
    <x v="0"/>
    <n v="1098.2968369829684"/>
    <n v="13179.56204379562"/>
    <n v="46669.562043795624"/>
  </r>
  <r>
    <x v="1"/>
    <x v="101"/>
    <x v="105"/>
    <x v="0"/>
    <x v="1"/>
    <n v="3"/>
    <x v="5"/>
    <n v="30500"/>
    <n v="71.8"/>
    <n v="1300"/>
    <n v="490"/>
    <n v="800"/>
    <n v="0.79"/>
    <x v="0"/>
    <n v="1077.2911597729117"/>
    <n v="12927.49391727494"/>
    <n v="46017.493917274944"/>
  </r>
  <r>
    <x v="1"/>
    <x v="98"/>
    <x v="102"/>
    <x v="0"/>
    <x v="1"/>
    <n v="3"/>
    <x v="5"/>
    <n v="30200"/>
    <n v="71.2"/>
    <n v="1250"/>
    <n v="490"/>
    <n v="800"/>
    <n v="0.79"/>
    <x v="0"/>
    <n v="1068.2887266828873"/>
    <n v="12819.464720194646"/>
    <n v="45559.46472019465"/>
  </r>
  <r>
    <x v="1"/>
    <x v="100"/>
    <x v="104"/>
    <x v="0"/>
    <x v="1"/>
    <n v="3"/>
    <x v="5"/>
    <n v="29800"/>
    <n v="70.5"/>
    <n v="1200"/>
    <n v="490"/>
    <n v="800"/>
    <n v="0.79"/>
    <x v="0"/>
    <n v="1057.7858880778588"/>
    <n v="12693.430656934306"/>
    <n v="44983.430656934303"/>
  </r>
  <r>
    <x v="1"/>
    <x v="103"/>
    <x v="107"/>
    <x v="0"/>
    <x v="1"/>
    <n v="3"/>
    <x v="5"/>
    <n v="29500"/>
    <n v="70.8"/>
    <n v="1150"/>
    <n v="490"/>
    <n v="800"/>
    <n v="0.79"/>
    <x v="0"/>
    <n v="1062.2871046228711"/>
    <n v="12747.445255474453"/>
    <n v="44687.445255474449"/>
  </r>
  <r>
    <x v="1"/>
    <x v="102"/>
    <x v="106"/>
    <x v="0"/>
    <x v="1"/>
    <n v="3"/>
    <x v="5"/>
    <n v="29200"/>
    <n v="72.400000000000006"/>
    <n v="1300"/>
    <n v="490"/>
    <n v="800"/>
    <n v="0.79"/>
    <x v="0"/>
    <n v="1086.2935928629361"/>
    <n v="13035.523114355234"/>
    <n v="44825.523114355237"/>
  </r>
  <r>
    <x v="1"/>
    <x v="92"/>
    <x v="219"/>
    <x v="0"/>
    <x v="1"/>
    <n v="3"/>
    <x v="5"/>
    <n v="28900"/>
    <n v="71.599999999999994"/>
    <n v="1250"/>
    <n v="490"/>
    <n v="800"/>
    <n v="0.79"/>
    <x v="0"/>
    <n v="1074.2903487429032"/>
    <n v="12891.48418491484"/>
    <n v="44331.484184914836"/>
  </r>
  <r>
    <x v="1"/>
    <x v="190"/>
    <x v="220"/>
    <x v="0"/>
    <x v="1"/>
    <n v="3"/>
    <x v="5"/>
    <n v="28600"/>
    <n v="70.2"/>
    <n v="1100"/>
    <n v="490"/>
    <n v="800"/>
    <n v="0.79"/>
    <x v="0"/>
    <n v="1053.2846715328469"/>
    <n v="12639.416058394163"/>
    <n v="43629.416058394163"/>
  </r>
  <r>
    <x v="1"/>
    <x v="104"/>
    <x v="108"/>
    <x v="0"/>
    <x v="1"/>
    <n v="3"/>
    <x v="5"/>
    <n v="28300"/>
    <n v="69.8"/>
    <n v="1050"/>
    <n v="490"/>
    <n v="800"/>
    <n v="0.79"/>
    <x v="0"/>
    <n v="1047.2830494728303"/>
    <n v="12567.396593673962"/>
    <n v="43207.396593673962"/>
  </r>
  <r>
    <x v="1"/>
    <x v="72"/>
    <x v="110"/>
    <x v="0"/>
    <x v="1"/>
    <n v="3"/>
    <x v="5"/>
    <n v="28000"/>
    <n v="70.099999999999994"/>
    <n v="1100"/>
    <n v="490"/>
    <n v="800"/>
    <n v="0.79"/>
    <x v="0"/>
    <n v="1051.7842660178426"/>
    <n v="12621.411192214111"/>
    <n v="43011.411192214109"/>
  </r>
  <r>
    <x v="1"/>
    <x v="191"/>
    <x v="221"/>
    <x v="0"/>
    <x v="1"/>
    <n v="4"/>
    <x v="4"/>
    <n v="27700"/>
    <n v="69.5"/>
    <n v="1000"/>
    <n v="490"/>
    <n v="800"/>
    <n v="0.79"/>
    <x v="0"/>
    <n v="1042.7818329278184"/>
    <n v="12513.381995133821"/>
    <n v="42503.381995133823"/>
  </r>
  <r>
    <x v="1"/>
    <x v="192"/>
    <x v="222"/>
    <x v="0"/>
    <x v="1"/>
    <n v="3"/>
    <x v="5"/>
    <n v="27400"/>
    <n v="68.900000000000006"/>
    <n v="950"/>
    <n v="490"/>
    <n v="800"/>
    <n v="0.79"/>
    <x v="0"/>
    <n v="1033.779399837794"/>
    <n v="12405.352798053529"/>
    <n v="42045.352798053529"/>
  </r>
  <r>
    <x v="1"/>
    <x v="193"/>
    <x v="223"/>
    <x v="0"/>
    <x v="1"/>
    <n v="3"/>
    <x v="5"/>
    <n v="27100"/>
    <n v="71.2"/>
    <n v="1150"/>
    <n v="490"/>
    <n v="800"/>
    <n v="0.79"/>
    <x v="0"/>
    <n v="1068.2887266828873"/>
    <n v="12819.464720194646"/>
    <n v="42359.46472019465"/>
  </r>
  <r>
    <x v="1"/>
    <x v="194"/>
    <x v="224"/>
    <x v="0"/>
    <x v="1"/>
    <n v="3"/>
    <x v="5"/>
    <n v="26800"/>
    <n v="72.5"/>
    <n v="1200"/>
    <n v="490"/>
    <n v="800"/>
    <n v="0.79"/>
    <x v="0"/>
    <n v="1087.7939983779399"/>
    <n v="13053.52798053528"/>
    <n v="42343.527980535277"/>
  </r>
  <r>
    <x v="1"/>
    <x v="195"/>
    <x v="225"/>
    <x v="0"/>
    <x v="1"/>
    <n v="3"/>
    <x v="5"/>
    <n v="26500"/>
    <n v="69.8"/>
    <n v="1000"/>
    <n v="490"/>
    <n v="800"/>
    <n v="0.79"/>
    <x v="0"/>
    <n v="1047.2830494728303"/>
    <n v="12567.396593673962"/>
    <n v="41357.396593673962"/>
  </r>
  <r>
    <x v="1"/>
    <x v="196"/>
    <x v="226"/>
    <x v="0"/>
    <x v="1"/>
    <n v="3"/>
    <x v="5"/>
    <n v="26200"/>
    <n v="73.400000000000006"/>
    <n v="1250"/>
    <n v="490"/>
    <n v="800"/>
    <n v="0.79"/>
    <x v="0"/>
    <n v="1101.2976480129764"/>
    <n v="13215.571776155717"/>
    <n v="41955.571776155717"/>
  </r>
  <r>
    <x v="1"/>
    <x v="197"/>
    <x v="227"/>
    <x v="0"/>
    <x v="1"/>
    <n v="3"/>
    <x v="5"/>
    <n v="25900"/>
    <n v="71.8"/>
    <n v="1150"/>
    <n v="490"/>
    <n v="800"/>
    <n v="0.79"/>
    <x v="0"/>
    <n v="1077.2911597729117"/>
    <n v="12927.49391727494"/>
    <n v="41267.493917274944"/>
  </r>
  <r>
    <x v="1"/>
    <x v="198"/>
    <x v="228"/>
    <x v="0"/>
    <x v="1"/>
    <n v="3"/>
    <x v="5"/>
    <n v="25600"/>
    <n v="72.099999999999994"/>
    <n v="1200"/>
    <n v="490"/>
    <n v="800"/>
    <n v="0.79"/>
    <x v="0"/>
    <n v="1081.7923763179238"/>
    <n v="12981.508515815085"/>
    <n v="41071.508515815083"/>
  </r>
  <r>
    <x v="1"/>
    <x v="199"/>
    <x v="229"/>
    <x v="0"/>
    <x v="1"/>
    <n v="3"/>
    <x v="5"/>
    <n v="25300"/>
    <n v="70.5"/>
    <n v="1100"/>
    <n v="490"/>
    <n v="800"/>
    <n v="0.79"/>
    <x v="0"/>
    <n v="1057.7858880778588"/>
    <n v="12693.430656934306"/>
    <n v="40383.430656934303"/>
  </r>
  <r>
    <x v="1"/>
    <x v="200"/>
    <x v="230"/>
    <x v="0"/>
    <x v="1"/>
    <n v="4"/>
    <x v="4"/>
    <n v="25000"/>
    <n v="68.900000000000006"/>
    <n v="950"/>
    <n v="490"/>
    <n v="800"/>
    <n v="0.79"/>
    <x v="0"/>
    <n v="1033.779399837794"/>
    <n v="12405.352798053529"/>
    <n v="39645.352798053529"/>
  </r>
  <r>
    <x v="1"/>
    <x v="201"/>
    <x v="231"/>
    <x v="0"/>
    <x v="1"/>
    <n v="4"/>
    <x v="4"/>
    <n v="24700"/>
    <n v="69.2"/>
    <n v="1000"/>
    <n v="490"/>
    <n v="800"/>
    <n v="0.79"/>
    <x v="0"/>
    <n v="1038.2806163828063"/>
    <n v="12459.367396593676"/>
    <n v="39449.367396593676"/>
  </r>
  <r>
    <x v="1"/>
    <x v="202"/>
    <x v="232"/>
    <x v="0"/>
    <x v="1"/>
    <n v="4"/>
    <x v="4"/>
    <n v="24400"/>
    <n v="69.5"/>
    <n v="1050"/>
    <n v="490"/>
    <n v="800"/>
    <n v="0.79"/>
    <x v="0"/>
    <n v="1042.7818329278184"/>
    <n v="12513.381995133821"/>
    <n v="39253.381995133823"/>
  </r>
  <r>
    <x v="1"/>
    <x v="203"/>
    <x v="233"/>
    <x v="0"/>
    <x v="1"/>
    <n v="3"/>
    <x v="5"/>
    <n v="24100"/>
    <n v="68.5"/>
    <n v="900"/>
    <n v="490"/>
    <n v="800"/>
    <n v="0.79"/>
    <x v="0"/>
    <n v="1027.7777777777778"/>
    <n v="12333.333333333334"/>
    <n v="38623.333333333336"/>
  </r>
  <r>
    <x v="1"/>
    <x v="204"/>
    <x v="234"/>
    <x v="0"/>
    <x v="1"/>
    <n v="3"/>
    <x v="5"/>
    <n v="23800"/>
    <n v="83.2"/>
    <n v="1800"/>
    <n v="490"/>
    <n v="800"/>
    <n v="0.79"/>
    <x v="0"/>
    <n v="1248.3373884833738"/>
    <n v="14980.048661800487"/>
    <n v="41870.048661800487"/>
  </r>
  <r>
    <x v="1"/>
    <x v="205"/>
    <x v="235"/>
    <x v="0"/>
    <x v="1"/>
    <n v="3"/>
    <x v="5"/>
    <n v="23500"/>
    <n v="83.2"/>
    <n v="1900"/>
    <n v="490"/>
    <n v="800"/>
    <n v="0.79"/>
    <x v="0"/>
    <n v="1248.3373884833738"/>
    <n v="14980.048661800487"/>
    <n v="41670.048661800487"/>
  </r>
  <r>
    <x v="1"/>
    <x v="206"/>
    <x v="236"/>
    <x v="0"/>
    <x v="1"/>
    <n v="3"/>
    <x v="5"/>
    <n v="23200"/>
    <n v="75.5"/>
    <n v="1400"/>
    <n v="490"/>
    <n v="800"/>
    <n v="0.79"/>
    <x v="0"/>
    <n v="1132.8061638280617"/>
    <n v="13593.673965936741"/>
    <n v="39483.673965936745"/>
  </r>
  <r>
    <x v="1"/>
    <x v="207"/>
    <x v="237"/>
    <x v="0"/>
    <x v="1"/>
    <n v="3"/>
    <x v="5"/>
    <n v="22900"/>
    <n v="69.8"/>
    <n v="1000"/>
    <n v="490"/>
    <n v="800"/>
    <n v="0.79"/>
    <x v="0"/>
    <n v="1047.2830494728303"/>
    <n v="12567.396593673962"/>
    <n v="37757.396593673962"/>
  </r>
  <r>
    <x v="1"/>
    <x v="208"/>
    <x v="238"/>
    <x v="0"/>
    <x v="1"/>
    <n v="3"/>
    <x v="5"/>
    <n v="22600"/>
    <n v="68.5"/>
    <n v="950"/>
    <n v="490"/>
    <n v="800"/>
    <n v="0.79"/>
    <x v="0"/>
    <n v="1027.7777777777778"/>
    <n v="12333.333333333334"/>
    <n v="37173.333333333336"/>
  </r>
  <r>
    <x v="1"/>
    <x v="209"/>
    <x v="239"/>
    <x v="0"/>
    <x v="1"/>
    <n v="3"/>
    <x v="5"/>
    <n v="22300"/>
    <n v="71.8"/>
    <n v="1200"/>
    <n v="490"/>
    <n v="800"/>
    <n v="0.79"/>
    <x v="0"/>
    <n v="1077.2911597729117"/>
    <n v="12927.49391727494"/>
    <n v="37717.493917274944"/>
  </r>
  <r>
    <x v="1"/>
    <x v="210"/>
    <x v="240"/>
    <x v="0"/>
    <x v="1"/>
    <n v="3"/>
    <x v="5"/>
    <n v="22000"/>
    <n v="67.900000000000006"/>
    <n v="850"/>
    <n v="490"/>
    <n v="800"/>
    <n v="0.79"/>
    <x v="0"/>
    <n v="1018.7753446877535"/>
    <n v="12225.304136253042"/>
    <n v="36365.304136253042"/>
  </r>
  <r>
    <x v="1"/>
    <x v="211"/>
    <x v="241"/>
    <x v="0"/>
    <x v="1"/>
    <n v="3"/>
    <x v="5"/>
    <n v="21700"/>
    <n v="67.5"/>
    <n v="800"/>
    <n v="490"/>
    <n v="800"/>
    <n v="0.79"/>
    <x v="0"/>
    <n v="1012.7737226277372"/>
    <n v="12153.284671532847"/>
    <n v="35943.284671532849"/>
  </r>
  <r>
    <x v="1"/>
    <x v="212"/>
    <x v="242"/>
    <x v="0"/>
    <x v="1"/>
    <n v="3"/>
    <x v="5"/>
    <n v="21400"/>
    <n v="69.2"/>
    <n v="950"/>
    <n v="490"/>
    <n v="800"/>
    <n v="0.79"/>
    <x v="0"/>
    <n v="1038.2806163828063"/>
    <n v="12459.367396593676"/>
    <n v="36099.367396593676"/>
  </r>
  <r>
    <x v="1"/>
    <x v="213"/>
    <x v="243"/>
    <x v="0"/>
    <x v="1"/>
    <n v="3"/>
    <x v="5"/>
    <n v="21100"/>
    <n v="70.5"/>
    <n v="1000"/>
    <n v="490"/>
    <n v="800"/>
    <n v="0.79"/>
    <x v="0"/>
    <n v="1057.7858880778588"/>
    <n v="12693.430656934306"/>
    <n v="36083.430656934303"/>
  </r>
  <r>
    <x v="1"/>
    <x v="214"/>
    <x v="244"/>
    <x v="0"/>
    <x v="1"/>
    <n v="3"/>
    <x v="5"/>
    <n v="20800"/>
    <n v="67.2"/>
    <n v="800"/>
    <n v="490"/>
    <n v="800"/>
    <n v="0.79"/>
    <x v="0"/>
    <n v="1008.272506082725"/>
    <n v="12099.2700729927"/>
    <n v="34989.270072992702"/>
  </r>
  <r>
    <x v="1"/>
    <x v="215"/>
    <x v="245"/>
    <x v="0"/>
    <x v="1"/>
    <n v="3"/>
    <x v="5"/>
    <n v="20500"/>
    <n v="68.5"/>
    <n v="900"/>
    <n v="490"/>
    <n v="800"/>
    <n v="0.79"/>
    <x v="0"/>
    <n v="1027.7777777777778"/>
    <n v="12333.333333333334"/>
    <n v="35023.333333333336"/>
  </r>
  <r>
    <x v="1"/>
    <x v="216"/>
    <x v="246"/>
    <x v="0"/>
    <x v="1"/>
    <n v="3"/>
    <x v="5"/>
    <n v="20200"/>
    <n v="69.8"/>
    <n v="950"/>
    <n v="490"/>
    <n v="800"/>
    <n v="0.79"/>
    <x v="0"/>
    <n v="1047.2830494728303"/>
    <n v="12567.396593673962"/>
    <n v="35007.396593673962"/>
  </r>
  <r>
    <x v="1"/>
    <x v="217"/>
    <x v="247"/>
    <x v="0"/>
    <x v="1"/>
    <n v="3"/>
    <x v="5"/>
    <n v="19900"/>
    <n v="77.8"/>
    <n v="1500"/>
    <n v="490"/>
    <n v="800"/>
    <n v="0.79"/>
    <x v="0"/>
    <n v="1167.315490673155"/>
    <n v="14007.785888077859"/>
    <n v="36697.785888077859"/>
  </r>
  <r>
    <x v="1"/>
    <x v="218"/>
    <x v="248"/>
    <x v="0"/>
    <x v="1"/>
    <n v="3"/>
    <x v="5"/>
    <n v="19600"/>
    <n v="68.900000000000006"/>
    <n v="900"/>
    <n v="490"/>
    <n v="800"/>
    <n v="0.79"/>
    <x v="0"/>
    <n v="1033.779399837794"/>
    <n v="12405.352798053529"/>
    <n v="34195.352798053529"/>
  </r>
  <r>
    <x v="1"/>
    <x v="219"/>
    <x v="249"/>
    <x v="0"/>
    <x v="1"/>
    <n v="3"/>
    <x v="5"/>
    <n v="19300"/>
    <n v="83.2"/>
    <n v="1800"/>
    <n v="490"/>
    <n v="800"/>
    <n v="0.79"/>
    <x v="0"/>
    <n v="1248.3373884833738"/>
    <n v="14980.048661800487"/>
    <n v="37370.048661800487"/>
  </r>
  <r>
    <x v="1"/>
    <x v="220"/>
    <x v="250"/>
    <x v="0"/>
    <x v="1"/>
    <n v="3"/>
    <x v="5"/>
    <n v="19000"/>
    <n v="83.2"/>
    <n v="1700"/>
    <n v="490"/>
    <n v="800"/>
    <n v="0.79"/>
    <x v="0"/>
    <n v="1248.3373884833738"/>
    <n v="14980.048661800487"/>
    <n v="36970.048661800487"/>
  </r>
  <r>
    <x v="1"/>
    <x v="221"/>
    <x v="251"/>
    <x v="0"/>
    <x v="1"/>
    <n v="3"/>
    <x v="5"/>
    <n v="18700"/>
    <n v="83.2"/>
    <n v="1600"/>
    <n v="490"/>
    <n v="800"/>
    <n v="0.79"/>
    <x v="0"/>
    <n v="1248.3373884833738"/>
    <n v="14980.048661800487"/>
    <n v="36570.048661800487"/>
  </r>
  <r>
    <x v="2"/>
    <x v="2"/>
    <x v="2"/>
    <x v="0"/>
    <x v="1"/>
    <n v="4"/>
    <x v="4"/>
    <n v="45200"/>
    <n v="73.5"/>
    <n v="1800"/>
    <n v="235"/>
    <n v="600"/>
    <n v="1.35"/>
    <x v="0"/>
    <n v="1102.7980535279805"/>
    <n v="13233.576642335767"/>
    <n v="61068.576642335771"/>
  </r>
  <r>
    <x v="2"/>
    <x v="2"/>
    <x v="2"/>
    <x v="0"/>
    <x v="2"/>
    <n v="2"/>
    <x v="0"/>
    <n v="28500"/>
    <n v="73.5"/>
    <n v="1800"/>
    <n v="235"/>
    <n v="600"/>
    <n v="1.35"/>
    <x v="0"/>
    <n v="1102.7980535279805"/>
    <n v="13233.576642335767"/>
    <n v="44368.576642335771"/>
  </r>
  <r>
    <x v="2"/>
    <x v="50"/>
    <x v="52"/>
    <x v="0"/>
    <x v="1"/>
    <n v="4"/>
    <x v="4"/>
    <n v="43800"/>
    <n v="71.2"/>
    <n v="1900"/>
    <n v="235"/>
    <n v="600"/>
    <n v="1.35"/>
    <x v="0"/>
    <n v="1068.2887266828873"/>
    <n v="12819.464720194646"/>
    <n v="59354.46472019465"/>
  </r>
  <r>
    <x v="2"/>
    <x v="50"/>
    <x v="52"/>
    <x v="0"/>
    <x v="2"/>
    <n v="2"/>
    <x v="0"/>
    <n v="27900"/>
    <n v="71.2"/>
    <n v="1900"/>
    <n v="235"/>
    <n v="600"/>
    <n v="1.35"/>
    <x v="0"/>
    <n v="1068.2887266828873"/>
    <n v="12819.464720194646"/>
    <n v="43454.46472019465"/>
  </r>
  <r>
    <x v="2"/>
    <x v="222"/>
    <x v="252"/>
    <x v="0"/>
    <x v="1"/>
    <n v="4"/>
    <x v="4"/>
    <n v="41500"/>
    <n v="65.8"/>
    <n v="1500"/>
    <n v="235"/>
    <n v="600"/>
    <n v="1.35"/>
    <x v="0"/>
    <n v="987.26682887266816"/>
    <n v="11847.201946472018"/>
    <n v="55682.201946472022"/>
  </r>
  <r>
    <x v="2"/>
    <x v="222"/>
    <x v="252"/>
    <x v="0"/>
    <x v="2"/>
    <n v="2"/>
    <x v="0"/>
    <n v="26800"/>
    <n v="65.8"/>
    <n v="1500"/>
    <n v="235"/>
    <n v="600"/>
    <n v="1.35"/>
    <x v="0"/>
    <n v="987.26682887266816"/>
    <n v="11847.201946472018"/>
    <n v="40982.201946472022"/>
  </r>
  <r>
    <x v="2"/>
    <x v="35"/>
    <x v="37"/>
    <x v="0"/>
    <x v="1"/>
    <n v="4"/>
    <x v="4"/>
    <n v="40900"/>
    <n v="62.4"/>
    <n v="1300"/>
    <n v="235"/>
    <n v="600"/>
    <n v="1.35"/>
    <x v="0"/>
    <n v="936.25304136253055"/>
    <n v="11235.036496350367"/>
    <n v="54270.036496350367"/>
  </r>
  <r>
    <x v="2"/>
    <x v="35"/>
    <x v="37"/>
    <x v="0"/>
    <x v="2"/>
    <n v="2"/>
    <x v="0"/>
    <n v="26200"/>
    <n v="62.4"/>
    <n v="1300"/>
    <n v="235"/>
    <n v="600"/>
    <n v="1.35"/>
    <x v="0"/>
    <n v="936.25304136253055"/>
    <n v="11235.036496350367"/>
    <n v="39570.036496350367"/>
  </r>
  <r>
    <x v="2"/>
    <x v="222"/>
    <x v="253"/>
    <x v="0"/>
    <x v="1"/>
    <n v="4"/>
    <x v="4"/>
    <n v="39500"/>
    <n v="65.8"/>
    <n v="1400"/>
    <n v="235"/>
    <n v="600"/>
    <n v="1.35"/>
    <x v="0"/>
    <n v="987.26682887266816"/>
    <n v="11847.201946472018"/>
    <n v="53582.201946472022"/>
  </r>
  <r>
    <x v="2"/>
    <x v="222"/>
    <x v="253"/>
    <x v="0"/>
    <x v="2"/>
    <n v="2"/>
    <x v="0"/>
    <n v="25800"/>
    <n v="65.8"/>
    <n v="1400"/>
    <n v="235"/>
    <n v="600"/>
    <n v="1.35"/>
    <x v="0"/>
    <n v="987.26682887266816"/>
    <n v="11847.201946472018"/>
    <n v="39882.201946472022"/>
  </r>
  <r>
    <x v="2"/>
    <x v="40"/>
    <x v="42"/>
    <x v="0"/>
    <x v="1"/>
    <n v="4"/>
    <x v="4"/>
    <n v="38200"/>
    <n v="61.9"/>
    <n v="1200"/>
    <n v="235"/>
    <n v="600"/>
    <n v="1.35"/>
    <x v="0"/>
    <n v="928.75101378751015"/>
    <n v="11145.012165450122"/>
    <n v="51380.01216545012"/>
  </r>
  <r>
    <x v="2"/>
    <x v="40"/>
    <x v="42"/>
    <x v="0"/>
    <x v="2"/>
    <n v="2"/>
    <x v="0"/>
    <n v="24900"/>
    <n v="61.9"/>
    <n v="1200"/>
    <n v="235"/>
    <n v="600"/>
    <n v="1.35"/>
    <x v="0"/>
    <n v="928.75101378751015"/>
    <n v="11145.012165450122"/>
    <n v="38080.01216545012"/>
  </r>
  <r>
    <x v="2"/>
    <x v="23"/>
    <x v="23"/>
    <x v="0"/>
    <x v="1"/>
    <n v="4"/>
    <x v="4"/>
    <n v="37800"/>
    <n v="63.5"/>
    <n v="1400"/>
    <n v="235"/>
    <n v="600"/>
    <n v="1.35"/>
    <x v="0"/>
    <n v="952.75750202757501"/>
    <n v="11433.090024330901"/>
    <n v="51468.090024330901"/>
  </r>
  <r>
    <x v="2"/>
    <x v="23"/>
    <x v="23"/>
    <x v="0"/>
    <x v="2"/>
    <n v="2"/>
    <x v="0"/>
    <n v="24500"/>
    <n v="63.5"/>
    <n v="1400"/>
    <n v="235"/>
    <n v="600"/>
    <n v="1.35"/>
    <x v="0"/>
    <n v="952.75750202757501"/>
    <n v="11433.090024330901"/>
    <n v="38168.090024330901"/>
  </r>
  <r>
    <x v="2"/>
    <x v="118"/>
    <x v="123"/>
    <x v="0"/>
    <x v="1"/>
    <n v="4"/>
    <x v="4"/>
    <n v="37200"/>
    <n v="62.8"/>
    <n v="1300"/>
    <n v="235"/>
    <n v="600"/>
    <n v="1.35"/>
    <x v="0"/>
    <n v="942.25466342254663"/>
    <n v="11307.05596107056"/>
    <n v="50642.05596107056"/>
  </r>
  <r>
    <x v="2"/>
    <x v="118"/>
    <x v="123"/>
    <x v="0"/>
    <x v="2"/>
    <n v="2"/>
    <x v="0"/>
    <n v="24100"/>
    <n v="62.8"/>
    <n v="1300"/>
    <n v="235"/>
    <n v="600"/>
    <n v="1.35"/>
    <x v="0"/>
    <n v="942.25466342254663"/>
    <n v="11307.05596107056"/>
    <n v="37542.05596107056"/>
  </r>
  <r>
    <x v="2"/>
    <x v="106"/>
    <x v="111"/>
    <x v="0"/>
    <x v="1"/>
    <n v="4"/>
    <x v="4"/>
    <n v="36500"/>
    <n v="64.2"/>
    <n v="1250"/>
    <n v="235"/>
    <n v="600"/>
    <n v="1.35"/>
    <x v="0"/>
    <n v="963.26034063260352"/>
    <n v="11559.124087591243"/>
    <n v="50144.124087591241"/>
  </r>
  <r>
    <x v="2"/>
    <x v="106"/>
    <x v="111"/>
    <x v="0"/>
    <x v="2"/>
    <n v="2"/>
    <x v="0"/>
    <n v="23800"/>
    <n v="64.2"/>
    <n v="1250"/>
    <n v="235"/>
    <n v="600"/>
    <n v="1.35"/>
    <x v="0"/>
    <n v="963.26034063260352"/>
    <n v="11559.124087591243"/>
    <n v="37444.124087591241"/>
  </r>
  <r>
    <x v="2"/>
    <x v="1"/>
    <x v="112"/>
    <x v="0"/>
    <x v="1"/>
    <n v="4"/>
    <x v="4"/>
    <n v="35900"/>
    <n v="61.5"/>
    <n v="1200"/>
    <n v="235"/>
    <n v="600"/>
    <n v="1.35"/>
    <x v="0"/>
    <n v="922.74939172749396"/>
    <n v="11072.992700729927"/>
    <n v="49007.992700729927"/>
  </r>
  <r>
    <x v="2"/>
    <x v="1"/>
    <x v="112"/>
    <x v="0"/>
    <x v="2"/>
    <n v="2"/>
    <x v="0"/>
    <n v="23500"/>
    <n v="61.5"/>
    <n v="1200"/>
    <n v="235"/>
    <n v="600"/>
    <n v="1.35"/>
    <x v="0"/>
    <n v="922.74939172749396"/>
    <n v="11072.992700729927"/>
    <n v="36607.992700729927"/>
  </r>
  <r>
    <x v="2"/>
    <x v="221"/>
    <x v="254"/>
    <x v="0"/>
    <x v="1"/>
    <n v="4"/>
    <x v="4"/>
    <n v="35400"/>
    <n v="62.1"/>
    <n v="1300"/>
    <n v="235"/>
    <n v="600"/>
    <n v="1.35"/>
    <x v="0"/>
    <n v="931.75182481751835"/>
    <n v="11181.02189781022"/>
    <n v="48716.02189781022"/>
  </r>
  <r>
    <x v="2"/>
    <x v="221"/>
    <x v="254"/>
    <x v="0"/>
    <x v="2"/>
    <n v="2"/>
    <x v="0"/>
    <n v="23200"/>
    <n v="62.1"/>
    <n v="1300"/>
    <n v="235"/>
    <n v="600"/>
    <n v="1.35"/>
    <x v="0"/>
    <n v="931.75182481751835"/>
    <n v="11181.02189781022"/>
    <n v="36516.02189781022"/>
  </r>
  <r>
    <x v="2"/>
    <x v="109"/>
    <x v="114"/>
    <x v="0"/>
    <x v="1"/>
    <n v="4"/>
    <x v="4"/>
    <n v="34800"/>
    <n v="64.8"/>
    <n v="1400"/>
    <n v="235"/>
    <n v="600"/>
    <n v="1.35"/>
    <x v="0"/>
    <n v="972.2627737226278"/>
    <n v="11667.153284671534"/>
    <n v="48702.153284671534"/>
  </r>
  <r>
    <x v="2"/>
    <x v="109"/>
    <x v="114"/>
    <x v="0"/>
    <x v="2"/>
    <n v="2"/>
    <x v="0"/>
    <n v="22900"/>
    <n v="64.8"/>
    <n v="1400"/>
    <n v="235"/>
    <n v="600"/>
    <n v="1.35"/>
    <x v="0"/>
    <n v="972.2627737226278"/>
    <n v="11667.153284671534"/>
    <n v="36802.153284671534"/>
  </r>
  <r>
    <x v="2"/>
    <x v="108"/>
    <x v="113"/>
    <x v="0"/>
    <x v="1"/>
    <n v="4"/>
    <x v="4"/>
    <n v="34200"/>
    <n v="61.2"/>
    <n v="1200"/>
    <n v="235"/>
    <n v="600"/>
    <n v="1.35"/>
    <x v="0"/>
    <n v="918.24817518248187"/>
    <n v="11018.978102189783"/>
    <n v="47253.97810218978"/>
  </r>
  <r>
    <x v="2"/>
    <x v="108"/>
    <x v="113"/>
    <x v="0"/>
    <x v="2"/>
    <n v="2"/>
    <x v="0"/>
    <n v="22600"/>
    <n v="61.2"/>
    <n v="1200"/>
    <n v="235"/>
    <n v="600"/>
    <n v="1.35"/>
    <x v="0"/>
    <n v="918.24817518248187"/>
    <n v="11018.978102189783"/>
    <n v="35653.97810218978"/>
  </r>
  <r>
    <x v="2"/>
    <x v="111"/>
    <x v="116"/>
    <x v="0"/>
    <x v="1"/>
    <n v="4"/>
    <x v="4"/>
    <n v="33600"/>
    <n v="59.8"/>
    <n v="1100"/>
    <n v="235"/>
    <n v="600"/>
    <n v="1.35"/>
    <x v="0"/>
    <n v="897.24249797242499"/>
    <n v="10766.909975669099"/>
    <n v="46301.909975669099"/>
  </r>
  <r>
    <x v="2"/>
    <x v="111"/>
    <x v="116"/>
    <x v="0"/>
    <x v="2"/>
    <n v="2"/>
    <x v="0"/>
    <n v="22300"/>
    <n v="59.8"/>
    <n v="1100"/>
    <n v="235"/>
    <n v="600"/>
    <n v="1.35"/>
    <x v="0"/>
    <n v="897.24249797242499"/>
    <n v="10766.909975669099"/>
    <n v="35001.909975669099"/>
  </r>
  <r>
    <x v="2"/>
    <x v="110"/>
    <x v="115"/>
    <x v="0"/>
    <x v="1"/>
    <n v="4"/>
    <x v="4"/>
    <n v="33000"/>
    <n v="58.5"/>
    <n v="1000"/>
    <n v="235"/>
    <n v="600"/>
    <n v="1.35"/>
    <x v="0"/>
    <n v="877.73722627737232"/>
    <n v="10532.846715328467"/>
    <n v="45367.846715328466"/>
  </r>
  <r>
    <x v="2"/>
    <x v="110"/>
    <x v="115"/>
    <x v="0"/>
    <x v="2"/>
    <n v="2"/>
    <x v="0"/>
    <n v="22000"/>
    <n v="58.5"/>
    <n v="1000"/>
    <n v="235"/>
    <n v="600"/>
    <n v="1.35"/>
    <x v="0"/>
    <n v="877.73722627737232"/>
    <n v="10532.846715328467"/>
    <n v="34367.846715328466"/>
  </r>
  <r>
    <x v="2"/>
    <x v="114"/>
    <x v="119"/>
    <x v="0"/>
    <x v="1"/>
    <n v="4"/>
    <x v="4"/>
    <n v="32400"/>
    <n v="58.2"/>
    <n v="950"/>
    <n v="235"/>
    <n v="600"/>
    <n v="1.35"/>
    <x v="0"/>
    <n v="873.23600973236012"/>
    <n v="10478.832116788322"/>
    <n v="44663.832116788326"/>
  </r>
  <r>
    <x v="2"/>
    <x v="114"/>
    <x v="119"/>
    <x v="0"/>
    <x v="2"/>
    <n v="2"/>
    <x v="0"/>
    <n v="21700"/>
    <n v="58.2"/>
    <n v="950"/>
    <n v="235"/>
    <n v="600"/>
    <n v="1.35"/>
    <x v="0"/>
    <n v="873.23600973236012"/>
    <n v="10478.832116788322"/>
    <n v="33963.832116788326"/>
  </r>
  <r>
    <x v="2"/>
    <x v="113"/>
    <x v="118"/>
    <x v="0"/>
    <x v="1"/>
    <n v="4"/>
    <x v="4"/>
    <n v="31800"/>
    <n v="57.9"/>
    <n v="900"/>
    <n v="235"/>
    <n v="600"/>
    <n v="1.35"/>
    <x v="0"/>
    <n v="868.73479318734792"/>
    <n v="10424.817518248175"/>
    <n v="43959.817518248179"/>
  </r>
  <r>
    <x v="2"/>
    <x v="113"/>
    <x v="118"/>
    <x v="0"/>
    <x v="2"/>
    <n v="2"/>
    <x v="0"/>
    <n v="21400"/>
    <n v="57.9"/>
    <n v="900"/>
    <n v="235"/>
    <n v="600"/>
    <n v="1.35"/>
    <x v="0"/>
    <n v="868.73479318734792"/>
    <n v="10424.817518248175"/>
    <n v="33559.817518248179"/>
  </r>
  <r>
    <x v="2"/>
    <x v="112"/>
    <x v="117"/>
    <x v="0"/>
    <x v="1"/>
    <n v="4"/>
    <x v="4"/>
    <n v="31200"/>
    <n v="57.5"/>
    <n v="900"/>
    <n v="235"/>
    <n v="600"/>
    <n v="1.35"/>
    <x v="0"/>
    <n v="862.73317112733173"/>
    <n v="10352.79805352798"/>
    <n v="43287.798053527978"/>
  </r>
  <r>
    <x v="2"/>
    <x v="112"/>
    <x v="117"/>
    <x v="0"/>
    <x v="2"/>
    <n v="2"/>
    <x v="0"/>
    <n v="21100"/>
    <n v="57.5"/>
    <n v="900"/>
    <n v="235"/>
    <n v="600"/>
    <n v="1.35"/>
    <x v="0"/>
    <n v="862.73317112733173"/>
    <n v="10352.79805352798"/>
    <n v="33187.798053527978"/>
  </r>
  <r>
    <x v="2"/>
    <x v="115"/>
    <x v="255"/>
    <x v="0"/>
    <x v="1"/>
    <n v="4"/>
    <x v="4"/>
    <n v="30600"/>
    <n v="56.8"/>
    <n v="850"/>
    <n v="235"/>
    <n v="600"/>
    <n v="1.35"/>
    <x v="0"/>
    <n v="852.23033252230323"/>
    <n v="10226.763990267638"/>
    <n v="42511.763990267638"/>
  </r>
  <r>
    <x v="2"/>
    <x v="115"/>
    <x v="255"/>
    <x v="0"/>
    <x v="2"/>
    <n v="2"/>
    <x v="0"/>
    <n v="20800"/>
    <n v="56.8"/>
    <n v="850"/>
    <n v="235"/>
    <n v="600"/>
    <n v="1.35"/>
    <x v="0"/>
    <n v="852.23033252230323"/>
    <n v="10226.763990267638"/>
    <n v="32711.763990267638"/>
  </r>
  <r>
    <x v="2"/>
    <x v="223"/>
    <x v="256"/>
    <x v="0"/>
    <x v="1"/>
    <n v="4"/>
    <x v="4"/>
    <n v="30000"/>
    <n v="58.9"/>
    <n v="950"/>
    <n v="235"/>
    <n v="600"/>
    <n v="1.35"/>
    <x v="0"/>
    <n v="883.7388483373885"/>
    <n v="10604.866180048662"/>
    <n v="42389.866180048659"/>
  </r>
  <r>
    <x v="2"/>
    <x v="223"/>
    <x v="256"/>
    <x v="0"/>
    <x v="2"/>
    <n v="2"/>
    <x v="0"/>
    <n v="20500"/>
    <n v="58.9"/>
    <n v="950"/>
    <n v="235"/>
    <n v="600"/>
    <n v="1.35"/>
    <x v="0"/>
    <n v="883.7388483373885"/>
    <n v="10604.866180048662"/>
    <n v="32889.866180048659"/>
  </r>
  <r>
    <x v="2"/>
    <x v="224"/>
    <x v="257"/>
    <x v="0"/>
    <x v="1"/>
    <n v="4"/>
    <x v="4"/>
    <n v="29400"/>
    <n v="57.2"/>
    <n v="900"/>
    <n v="235"/>
    <n v="600"/>
    <n v="1.35"/>
    <x v="0"/>
    <n v="858.23195458231953"/>
    <n v="10298.783454987835"/>
    <n v="41433.783454987832"/>
  </r>
  <r>
    <x v="2"/>
    <x v="224"/>
    <x v="257"/>
    <x v="0"/>
    <x v="2"/>
    <n v="2"/>
    <x v="0"/>
    <n v="20200"/>
    <n v="57.2"/>
    <n v="900"/>
    <n v="235"/>
    <n v="600"/>
    <n v="1.35"/>
    <x v="0"/>
    <n v="858.23195458231953"/>
    <n v="10298.783454987835"/>
    <n v="32233.783454987835"/>
  </r>
  <r>
    <x v="2"/>
    <x v="225"/>
    <x v="258"/>
    <x v="0"/>
    <x v="1"/>
    <n v="4"/>
    <x v="4"/>
    <n v="28800"/>
    <n v="56.5"/>
    <n v="850"/>
    <n v="235"/>
    <n v="600"/>
    <n v="1.35"/>
    <x v="0"/>
    <n v="847.72911597729126"/>
    <n v="10172.749391727495"/>
    <n v="40657.749391727499"/>
  </r>
  <r>
    <x v="2"/>
    <x v="225"/>
    <x v="258"/>
    <x v="0"/>
    <x v="2"/>
    <n v="2"/>
    <x v="0"/>
    <n v="19900"/>
    <n v="56.5"/>
    <n v="850"/>
    <n v="235"/>
    <n v="600"/>
    <n v="1.35"/>
    <x v="0"/>
    <n v="847.72911597729126"/>
    <n v="10172.749391727495"/>
    <n v="31757.749391727495"/>
  </r>
  <r>
    <x v="2"/>
    <x v="226"/>
    <x v="259"/>
    <x v="0"/>
    <x v="1"/>
    <n v="4"/>
    <x v="4"/>
    <n v="28200"/>
    <n v="56.2"/>
    <n v="800"/>
    <n v="235"/>
    <n v="600"/>
    <n v="1.35"/>
    <x v="0"/>
    <n v="843.22789943227906"/>
    <n v="10118.734793187348"/>
    <n v="39953.734793187352"/>
  </r>
  <r>
    <x v="2"/>
    <x v="226"/>
    <x v="259"/>
    <x v="0"/>
    <x v="2"/>
    <n v="2"/>
    <x v="0"/>
    <n v="19600"/>
    <n v="56.2"/>
    <n v="800"/>
    <n v="235"/>
    <n v="600"/>
    <n v="1.35"/>
    <x v="0"/>
    <n v="843.22789943227906"/>
    <n v="10118.734793187348"/>
    <n v="31353.734793187348"/>
  </r>
  <r>
    <x v="2"/>
    <x v="227"/>
    <x v="260"/>
    <x v="0"/>
    <x v="1"/>
    <n v="4"/>
    <x v="4"/>
    <n v="27600"/>
    <n v="55.8"/>
    <n v="800"/>
    <n v="235"/>
    <n v="600"/>
    <n v="1.35"/>
    <x v="0"/>
    <n v="837.22627737226276"/>
    <n v="10046.715328467153"/>
    <n v="39281.715328467151"/>
  </r>
  <r>
    <x v="2"/>
    <x v="227"/>
    <x v="260"/>
    <x v="0"/>
    <x v="2"/>
    <n v="2"/>
    <x v="0"/>
    <n v="19300"/>
    <n v="55.8"/>
    <n v="800"/>
    <n v="235"/>
    <n v="600"/>
    <n v="1.35"/>
    <x v="0"/>
    <n v="837.22627737226276"/>
    <n v="10046.715328467153"/>
    <n v="30981.715328467151"/>
  </r>
  <r>
    <x v="2"/>
    <x v="228"/>
    <x v="261"/>
    <x v="0"/>
    <x v="1"/>
    <n v="4"/>
    <x v="4"/>
    <n v="27000"/>
    <n v="55.5"/>
    <n v="750"/>
    <n v="235"/>
    <n v="600"/>
    <n v="1.35"/>
    <x v="0"/>
    <n v="832.72506082725067"/>
    <n v="9992.7007299270081"/>
    <n v="38577.700729927004"/>
  </r>
  <r>
    <x v="2"/>
    <x v="228"/>
    <x v="261"/>
    <x v="0"/>
    <x v="2"/>
    <n v="2"/>
    <x v="0"/>
    <n v="19000"/>
    <n v="55.5"/>
    <n v="750"/>
    <n v="235"/>
    <n v="600"/>
    <n v="1.35"/>
    <x v="0"/>
    <n v="832.72506082725067"/>
    <n v="9992.7007299270081"/>
    <n v="30577.700729927008"/>
  </r>
  <r>
    <x v="3"/>
    <x v="3"/>
    <x v="3"/>
    <x v="0"/>
    <x v="1"/>
    <n v="3"/>
    <x v="5"/>
    <n v="42500"/>
    <n v="72.8"/>
    <n v="1800"/>
    <n v="450"/>
    <n v="650"/>
    <n v="1.52"/>
    <x v="0"/>
    <n v="1092.2952149229523"/>
    <n v="13107.542579075427"/>
    <n v="58507.542579075423"/>
  </r>
  <r>
    <x v="3"/>
    <x v="3"/>
    <x v="3"/>
    <x v="0"/>
    <x v="2"/>
    <n v="2"/>
    <x v="0"/>
    <n v="45800"/>
    <n v="72.8"/>
    <n v="1800"/>
    <n v="450"/>
    <n v="650"/>
    <n v="1.52"/>
    <x v="0"/>
    <n v="1092.2952149229523"/>
    <n v="13107.542579075427"/>
    <n v="61807.542579075423"/>
  </r>
  <r>
    <x v="3"/>
    <x v="3"/>
    <x v="3"/>
    <x v="0"/>
    <x v="0"/>
    <n v="4"/>
    <x v="4"/>
    <n v="35000"/>
    <n v="72.8"/>
    <n v="1800"/>
    <n v="450"/>
    <n v="650"/>
    <n v="1.52"/>
    <x v="0"/>
    <n v="1092.2952149229523"/>
    <n v="13107.542579075427"/>
    <n v="51007.542579075423"/>
  </r>
  <r>
    <x v="3"/>
    <x v="51"/>
    <x v="53"/>
    <x v="0"/>
    <x v="1"/>
    <n v="3"/>
    <x v="5"/>
    <n v="41800"/>
    <n v="74.5"/>
    <n v="2000"/>
    <n v="450"/>
    <n v="650"/>
    <n v="1.52"/>
    <x v="0"/>
    <n v="1117.8021086780211"/>
    <n v="13413.625304136254"/>
    <n v="58313.625304136251"/>
  </r>
  <r>
    <x v="3"/>
    <x v="51"/>
    <x v="53"/>
    <x v="0"/>
    <x v="2"/>
    <n v="2"/>
    <x v="0"/>
    <n v="44900"/>
    <n v="74.5"/>
    <n v="2000"/>
    <n v="450"/>
    <n v="650"/>
    <n v="1.52"/>
    <x v="0"/>
    <n v="1117.8021086780211"/>
    <n v="13413.625304136254"/>
    <n v="61413.625304136251"/>
  </r>
  <r>
    <x v="3"/>
    <x v="51"/>
    <x v="53"/>
    <x v="0"/>
    <x v="0"/>
    <n v="4"/>
    <x v="4"/>
    <n v="34500"/>
    <n v="74.5"/>
    <n v="2000"/>
    <n v="450"/>
    <n v="650"/>
    <n v="1.52"/>
    <x v="0"/>
    <n v="1117.8021086780211"/>
    <n v="13413.625304136254"/>
    <n v="51013.625304136251"/>
  </r>
  <r>
    <x v="3"/>
    <x v="36"/>
    <x v="38"/>
    <x v="0"/>
    <x v="1"/>
    <n v="3"/>
    <x v="5"/>
    <n v="41200"/>
    <n v="68.900000000000006"/>
    <n v="1600"/>
    <n v="450"/>
    <n v="650"/>
    <n v="1.52"/>
    <x v="0"/>
    <n v="1033.779399837794"/>
    <n v="12405.352798053529"/>
    <n v="56305.352798053529"/>
  </r>
  <r>
    <x v="3"/>
    <x v="36"/>
    <x v="38"/>
    <x v="0"/>
    <x v="2"/>
    <n v="2"/>
    <x v="0"/>
    <n v="44200"/>
    <n v="68.900000000000006"/>
    <n v="1600"/>
    <n v="450"/>
    <n v="650"/>
    <n v="1.52"/>
    <x v="0"/>
    <n v="1033.779399837794"/>
    <n v="12405.352798053529"/>
    <n v="59305.352798053529"/>
  </r>
  <r>
    <x v="3"/>
    <x v="36"/>
    <x v="38"/>
    <x v="0"/>
    <x v="0"/>
    <n v="4"/>
    <x v="4"/>
    <n v="34000"/>
    <n v="68.900000000000006"/>
    <n v="1600"/>
    <n v="450"/>
    <n v="650"/>
    <n v="1.52"/>
    <x v="0"/>
    <n v="1033.779399837794"/>
    <n v="12405.352798053529"/>
    <n v="49105.352798053529"/>
  </r>
  <r>
    <x v="3"/>
    <x v="229"/>
    <x v="262"/>
    <x v="0"/>
    <x v="1"/>
    <n v="3"/>
    <x v="5"/>
    <n v="40500"/>
    <n v="69.2"/>
    <n v="1500"/>
    <n v="450"/>
    <n v="650"/>
    <n v="1.52"/>
    <x v="0"/>
    <n v="1038.2806163828063"/>
    <n v="12459.367396593676"/>
    <n v="55559.367396593676"/>
  </r>
  <r>
    <x v="3"/>
    <x v="229"/>
    <x v="262"/>
    <x v="0"/>
    <x v="2"/>
    <n v="2"/>
    <x v="0"/>
    <n v="43500"/>
    <n v="69.2"/>
    <n v="1500"/>
    <n v="450"/>
    <n v="650"/>
    <n v="1.52"/>
    <x v="0"/>
    <n v="1038.2806163828063"/>
    <n v="12459.367396593676"/>
    <n v="58559.367396593676"/>
  </r>
  <r>
    <x v="3"/>
    <x v="229"/>
    <x v="262"/>
    <x v="0"/>
    <x v="0"/>
    <n v="4"/>
    <x v="4"/>
    <n v="33500"/>
    <n v="69.2"/>
    <n v="1500"/>
    <n v="450"/>
    <n v="650"/>
    <n v="1.52"/>
    <x v="0"/>
    <n v="1038.2806163828063"/>
    <n v="12459.367396593676"/>
    <n v="48559.367396593676"/>
  </r>
  <r>
    <x v="3"/>
    <x v="51"/>
    <x v="263"/>
    <x v="0"/>
    <x v="1"/>
    <n v="3"/>
    <x v="5"/>
    <n v="40200"/>
    <n v="74.5"/>
    <n v="1900"/>
    <n v="450"/>
    <n v="650"/>
    <n v="1.52"/>
    <x v="0"/>
    <n v="1117.8021086780211"/>
    <n v="13413.625304136254"/>
    <n v="56613.625304136251"/>
  </r>
  <r>
    <x v="3"/>
    <x v="51"/>
    <x v="263"/>
    <x v="0"/>
    <x v="2"/>
    <n v="2"/>
    <x v="0"/>
    <n v="43200"/>
    <n v="74.5"/>
    <n v="1900"/>
    <n v="450"/>
    <n v="650"/>
    <n v="1.52"/>
    <x v="0"/>
    <n v="1117.8021086780211"/>
    <n v="13413.625304136254"/>
    <n v="59613.625304136251"/>
  </r>
  <r>
    <x v="3"/>
    <x v="51"/>
    <x v="263"/>
    <x v="0"/>
    <x v="0"/>
    <n v="4"/>
    <x v="4"/>
    <n v="33200"/>
    <n v="74.5"/>
    <n v="1900"/>
    <n v="450"/>
    <n v="650"/>
    <n v="1.52"/>
    <x v="0"/>
    <n v="1117.8021086780211"/>
    <n v="13413.625304136254"/>
    <n v="49613.625304136251"/>
  </r>
  <r>
    <x v="3"/>
    <x v="3"/>
    <x v="264"/>
    <x v="0"/>
    <x v="1"/>
    <n v="3"/>
    <x v="5"/>
    <n v="39800"/>
    <n v="72.8"/>
    <n v="1700"/>
    <n v="450"/>
    <n v="650"/>
    <n v="1.52"/>
    <x v="0"/>
    <n v="1092.2952149229523"/>
    <n v="13107.542579075427"/>
    <n v="55707.542579075423"/>
  </r>
  <r>
    <x v="3"/>
    <x v="3"/>
    <x v="264"/>
    <x v="0"/>
    <x v="2"/>
    <n v="2"/>
    <x v="0"/>
    <n v="42800"/>
    <n v="72.8"/>
    <n v="1700"/>
    <n v="450"/>
    <n v="650"/>
    <n v="1.52"/>
    <x v="0"/>
    <n v="1092.2952149229523"/>
    <n v="13107.542579075427"/>
    <n v="58707.542579075423"/>
  </r>
  <r>
    <x v="3"/>
    <x v="3"/>
    <x v="264"/>
    <x v="0"/>
    <x v="0"/>
    <n v="4"/>
    <x v="4"/>
    <n v="32800"/>
    <n v="72.8"/>
    <n v="1700"/>
    <n v="450"/>
    <n v="650"/>
    <n v="1.52"/>
    <x v="0"/>
    <n v="1092.2952149229523"/>
    <n v="13107.542579075427"/>
    <n v="48707.542579075423"/>
  </r>
  <r>
    <x v="3"/>
    <x v="68"/>
    <x v="71"/>
    <x v="0"/>
    <x v="1"/>
    <n v="3"/>
    <x v="5"/>
    <n v="39200"/>
    <n v="67.5"/>
    <n v="1400"/>
    <n v="450"/>
    <n v="650"/>
    <n v="1.52"/>
    <x v="0"/>
    <n v="1012.7737226277372"/>
    <n v="12153.284671532847"/>
    <n v="53853.284671532849"/>
  </r>
  <r>
    <x v="3"/>
    <x v="68"/>
    <x v="71"/>
    <x v="0"/>
    <x v="2"/>
    <n v="2"/>
    <x v="0"/>
    <n v="42200"/>
    <n v="67.5"/>
    <n v="1400"/>
    <n v="450"/>
    <n v="650"/>
    <n v="1.52"/>
    <x v="0"/>
    <n v="1012.7737226277372"/>
    <n v="12153.284671532847"/>
    <n v="56853.284671532849"/>
  </r>
  <r>
    <x v="3"/>
    <x v="68"/>
    <x v="71"/>
    <x v="0"/>
    <x v="0"/>
    <n v="4"/>
    <x v="4"/>
    <n v="32200"/>
    <n v="67.5"/>
    <n v="1400"/>
    <n v="450"/>
    <n v="650"/>
    <n v="1.52"/>
    <x v="0"/>
    <n v="1012.7737226277372"/>
    <n v="12153.284671532847"/>
    <n v="46853.284671532849"/>
  </r>
  <r>
    <x v="3"/>
    <x v="69"/>
    <x v="72"/>
    <x v="0"/>
    <x v="1"/>
    <n v="3"/>
    <x v="5"/>
    <n v="38800"/>
    <n v="68.2"/>
    <n v="1500"/>
    <n v="450"/>
    <n v="650"/>
    <n v="1.52"/>
    <x v="0"/>
    <n v="1023.2765612327656"/>
    <n v="12279.318734793187"/>
    <n v="53679.318734793189"/>
  </r>
  <r>
    <x v="3"/>
    <x v="69"/>
    <x v="72"/>
    <x v="0"/>
    <x v="2"/>
    <n v="2"/>
    <x v="0"/>
    <n v="41800"/>
    <n v="68.2"/>
    <n v="1500"/>
    <n v="450"/>
    <n v="650"/>
    <n v="1.52"/>
    <x v="0"/>
    <n v="1023.2765612327656"/>
    <n v="12279.318734793187"/>
    <n v="56679.318734793189"/>
  </r>
  <r>
    <x v="3"/>
    <x v="69"/>
    <x v="72"/>
    <x v="0"/>
    <x v="0"/>
    <n v="4"/>
    <x v="4"/>
    <n v="31800"/>
    <n v="68.2"/>
    <n v="1500"/>
    <n v="450"/>
    <n v="650"/>
    <n v="1.52"/>
    <x v="0"/>
    <n v="1023.2765612327656"/>
    <n v="12279.318734793187"/>
    <n v="46679.318734793189"/>
  </r>
  <r>
    <x v="3"/>
    <x v="229"/>
    <x v="265"/>
    <x v="0"/>
    <x v="1"/>
    <n v="3"/>
    <x v="5"/>
    <n v="38200"/>
    <n v="69.2"/>
    <n v="1400"/>
    <n v="450"/>
    <n v="650"/>
    <n v="1.52"/>
    <x v="0"/>
    <n v="1038.2806163828063"/>
    <n v="12459.367396593676"/>
    <n v="53159.367396593676"/>
  </r>
  <r>
    <x v="3"/>
    <x v="229"/>
    <x v="265"/>
    <x v="0"/>
    <x v="2"/>
    <n v="2"/>
    <x v="0"/>
    <n v="41200"/>
    <n v="69.2"/>
    <n v="1400"/>
    <n v="450"/>
    <n v="650"/>
    <n v="1.52"/>
    <x v="0"/>
    <n v="1038.2806163828063"/>
    <n v="12459.367396593676"/>
    <n v="56159.367396593676"/>
  </r>
  <r>
    <x v="3"/>
    <x v="229"/>
    <x v="265"/>
    <x v="0"/>
    <x v="0"/>
    <n v="4"/>
    <x v="4"/>
    <n v="31200"/>
    <n v="69.2"/>
    <n v="1400"/>
    <n v="450"/>
    <n v="650"/>
    <n v="1.52"/>
    <x v="0"/>
    <n v="1038.2806163828063"/>
    <n v="12459.367396593676"/>
    <n v="46159.367396593676"/>
  </r>
  <r>
    <x v="3"/>
    <x v="51"/>
    <x v="266"/>
    <x v="0"/>
    <x v="1"/>
    <n v="3"/>
    <x v="5"/>
    <n v="37800"/>
    <n v="74.5"/>
    <n v="1800"/>
    <n v="450"/>
    <n v="650"/>
    <n v="1.52"/>
    <x v="0"/>
    <n v="1117.8021086780211"/>
    <n v="13413.625304136254"/>
    <n v="54113.625304136251"/>
  </r>
  <r>
    <x v="3"/>
    <x v="51"/>
    <x v="266"/>
    <x v="0"/>
    <x v="2"/>
    <n v="2"/>
    <x v="0"/>
    <n v="40800"/>
    <n v="74.5"/>
    <n v="1800"/>
    <n v="450"/>
    <n v="650"/>
    <n v="1.52"/>
    <x v="0"/>
    <n v="1117.8021086780211"/>
    <n v="13413.625304136254"/>
    <n v="57113.625304136251"/>
  </r>
  <r>
    <x v="3"/>
    <x v="51"/>
    <x v="266"/>
    <x v="0"/>
    <x v="0"/>
    <n v="4"/>
    <x v="4"/>
    <n v="30800"/>
    <n v="74.5"/>
    <n v="1800"/>
    <n v="450"/>
    <n v="650"/>
    <n v="1.52"/>
    <x v="0"/>
    <n v="1117.8021086780211"/>
    <n v="13413.625304136254"/>
    <n v="47113.625304136251"/>
  </r>
  <r>
    <x v="3"/>
    <x v="3"/>
    <x v="267"/>
    <x v="0"/>
    <x v="1"/>
    <n v="3"/>
    <x v="5"/>
    <n v="37200"/>
    <n v="72.8"/>
    <n v="1600"/>
    <n v="450"/>
    <n v="650"/>
    <n v="1.52"/>
    <x v="0"/>
    <n v="1092.2952149229523"/>
    <n v="13107.542579075427"/>
    <n v="53007.542579075423"/>
  </r>
  <r>
    <x v="3"/>
    <x v="3"/>
    <x v="267"/>
    <x v="0"/>
    <x v="2"/>
    <n v="2"/>
    <x v="0"/>
    <n v="40200"/>
    <n v="72.8"/>
    <n v="1600"/>
    <n v="450"/>
    <n v="650"/>
    <n v="1.52"/>
    <x v="0"/>
    <n v="1092.2952149229523"/>
    <n v="13107.542579075427"/>
    <n v="56007.542579075423"/>
  </r>
  <r>
    <x v="3"/>
    <x v="3"/>
    <x v="267"/>
    <x v="0"/>
    <x v="0"/>
    <n v="4"/>
    <x v="4"/>
    <n v="30200"/>
    <n v="72.8"/>
    <n v="1600"/>
    <n v="450"/>
    <n v="650"/>
    <n v="1.52"/>
    <x v="0"/>
    <n v="1092.2952149229523"/>
    <n v="13107.542579075427"/>
    <n v="46007.542579075423"/>
  </r>
  <r>
    <x v="3"/>
    <x v="73"/>
    <x v="76"/>
    <x v="0"/>
    <x v="1"/>
    <n v="3"/>
    <x v="5"/>
    <n v="36800"/>
    <n v="65.8"/>
    <n v="1300"/>
    <n v="450"/>
    <n v="650"/>
    <n v="1.52"/>
    <x v="0"/>
    <n v="987.26682887266816"/>
    <n v="11847.201946472018"/>
    <n v="51047.201946472022"/>
  </r>
  <r>
    <x v="3"/>
    <x v="73"/>
    <x v="76"/>
    <x v="0"/>
    <x v="2"/>
    <n v="2"/>
    <x v="0"/>
    <n v="39800"/>
    <n v="65.8"/>
    <n v="1300"/>
    <n v="450"/>
    <n v="650"/>
    <n v="1.52"/>
    <x v="0"/>
    <n v="987.26682887266816"/>
    <n v="11847.201946472018"/>
    <n v="54047.201946472022"/>
  </r>
  <r>
    <x v="3"/>
    <x v="73"/>
    <x v="76"/>
    <x v="0"/>
    <x v="0"/>
    <n v="4"/>
    <x v="4"/>
    <n v="29800"/>
    <n v="65.8"/>
    <n v="1300"/>
    <n v="450"/>
    <n v="650"/>
    <n v="1.52"/>
    <x v="0"/>
    <n v="987.26682887266816"/>
    <n v="11847.201946472018"/>
    <n v="44047.201946472022"/>
  </r>
  <r>
    <x v="3"/>
    <x v="72"/>
    <x v="75"/>
    <x v="0"/>
    <x v="1"/>
    <n v="3"/>
    <x v="5"/>
    <n v="36200"/>
    <n v="66.2"/>
    <n v="1300"/>
    <n v="450"/>
    <n v="650"/>
    <n v="1.52"/>
    <x v="0"/>
    <n v="993.26845093268469"/>
    <n v="11919.221411192217"/>
    <n v="50519.221411192215"/>
  </r>
  <r>
    <x v="3"/>
    <x v="72"/>
    <x v="75"/>
    <x v="0"/>
    <x v="2"/>
    <n v="2"/>
    <x v="0"/>
    <n v="39200"/>
    <n v="66.2"/>
    <n v="1300"/>
    <n v="450"/>
    <n v="650"/>
    <n v="1.52"/>
    <x v="0"/>
    <n v="993.26845093268469"/>
    <n v="11919.221411192217"/>
    <n v="53519.221411192215"/>
  </r>
  <r>
    <x v="3"/>
    <x v="72"/>
    <x v="75"/>
    <x v="0"/>
    <x v="0"/>
    <n v="4"/>
    <x v="4"/>
    <n v="29200"/>
    <n v="66.2"/>
    <n v="1300"/>
    <n v="450"/>
    <n v="650"/>
    <n v="1.52"/>
    <x v="0"/>
    <n v="993.26845093268469"/>
    <n v="11919.221411192217"/>
    <n v="43519.221411192215"/>
  </r>
  <r>
    <x v="3"/>
    <x v="71"/>
    <x v="74"/>
    <x v="0"/>
    <x v="1"/>
    <n v="3"/>
    <x v="5"/>
    <n v="35800"/>
    <n v="64.5"/>
    <n v="1200"/>
    <n v="450"/>
    <n v="650"/>
    <n v="1.52"/>
    <x v="0"/>
    <n v="967.7615571776156"/>
    <n v="11613.138686131388"/>
    <n v="49713.138686131388"/>
  </r>
  <r>
    <x v="3"/>
    <x v="71"/>
    <x v="74"/>
    <x v="0"/>
    <x v="2"/>
    <n v="2"/>
    <x v="0"/>
    <n v="38800"/>
    <n v="64.5"/>
    <n v="1200"/>
    <n v="450"/>
    <n v="650"/>
    <n v="1.52"/>
    <x v="0"/>
    <n v="967.7615571776156"/>
    <n v="11613.138686131388"/>
    <n v="52713.138686131388"/>
  </r>
  <r>
    <x v="3"/>
    <x v="71"/>
    <x v="74"/>
    <x v="0"/>
    <x v="0"/>
    <n v="4"/>
    <x v="4"/>
    <n v="28800"/>
    <n v="64.5"/>
    <n v="1200"/>
    <n v="450"/>
    <n v="650"/>
    <n v="1.52"/>
    <x v="0"/>
    <n v="967.7615571776156"/>
    <n v="11613.138686131388"/>
    <n v="42713.138686131388"/>
  </r>
  <r>
    <x v="3"/>
    <x v="70"/>
    <x v="73"/>
    <x v="0"/>
    <x v="1"/>
    <n v="3"/>
    <x v="5"/>
    <n v="35200"/>
    <n v="68.5"/>
    <n v="1400"/>
    <n v="450"/>
    <n v="650"/>
    <n v="1.52"/>
    <x v="0"/>
    <n v="1027.7777777777778"/>
    <n v="12333.333333333334"/>
    <n v="50033.333333333336"/>
  </r>
  <r>
    <x v="3"/>
    <x v="70"/>
    <x v="73"/>
    <x v="0"/>
    <x v="2"/>
    <n v="2"/>
    <x v="0"/>
    <n v="38200"/>
    <n v="68.5"/>
    <n v="1400"/>
    <n v="450"/>
    <n v="650"/>
    <n v="1.52"/>
    <x v="0"/>
    <n v="1027.7777777777778"/>
    <n v="12333.333333333334"/>
    <n v="53033.333333333336"/>
  </r>
  <r>
    <x v="3"/>
    <x v="70"/>
    <x v="73"/>
    <x v="0"/>
    <x v="0"/>
    <n v="4"/>
    <x v="4"/>
    <n v="28200"/>
    <n v="68.5"/>
    <n v="1400"/>
    <n v="450"/>
    <n v="650"/>
    <n v="1.52"/>
    <x v="0"/>
    <n v="1027.7777777777778"/>
    <n v="12333.333333333334"/>
    <n v="43033.333333333336"/>
  </r>
  <r>
    <x v="3"/>
    <x v="36"/>
    <x v="268"/>
    <x v="0"/>
    <x v="1"/>
    <n v="3"/>
    <x v="5"/>
    <n v="34800"/>
    <n v="68.900000000000006"/>
    <n v="1500"/>
    <n v="450"/>
    <n v="650"/>
    <n v="1.52"/>
    <x v="0"/>
    <n v="1033.779399837794"/>
    <n v="12405.352798053529"/>
    <n v="49805.352798053529"/>
  </r>
  <r>
    <x v="3"/>
    <x v="36"/>
    <x v="268"/>
    <x v="0"/>
    <x v="2"/>
    <n v="2"/>
    <x v="0"/>
    <n v="37800"/>
    <n v="68.900000000000006"/>
    <n v="1500"/>
    <n v="450"/>
    <n v="650"/>
    <n v="1.52"/>
    <x v="0"/>
    <n v="1033.779399837794"/>
    <n v="12405.352798053529"/>
    <n v="52805.352798053529"/>
  </r>
  <r>
    <x v="3"/>
    <x v="36"/>
    <x v="268"/>
    <x v="0"/>
    <x v="0"/>
    <n v="4"/>
    <x v="4"/>
    <n v="27800"/>
    <n v="68.900000000000006"/>
    <n v="1500"/>
    <n v="450"/>
    <n v="650"/>
    <n v="1.52"/>
    <x v="0"/>
    <n v="1033.779399837794"/>
    <n v="12405.352798053529"/>
    <n v="42805.352798053529"/>
  </r>
  <r>
    <x v="3"/>
    <x v="75"/>
    <x v="78"/>
    <x v="0"/>
    <x v="1"/>
    <n v="3"/>
    <x v="5"/>
    <n v="34200"/>
    <n v="65.2"/>
    <n v="1200"/>
    <n v="450"/>
    <n v="650"/>
    <n v="1.52"/>
    <x v="0"/>
    <n v="978.2643957826441"/>
    <n v="11739.17274939173"/>
    <n v="48239.172749391728"/>
  </r>
  <r>
    <x v="3"/>
    <x v="75"/>
    <x v="78"/>
    <x v="0"/>
    <x v="2"/>
    <n v="2"/>
    <x v="0"/>
    <n v="37200"/>
    <n v="65.2"/>
    <n v="1200"/>
    <n v="450"/>
    <n v="650"/>
    <n v="1.52"/>
    <x v="0"/>
    <n v="978.2643957826441"/>
    <n v="11739.17274939173"/>
    <n v="51239.172749391728"/>
  </r>
  <r>
    <x v="3"/>
    <x v="75"/>
    <x v="78"/>
    <x v="0"/>
    <x v="0"/>
    <n v="4"/>
    <x v="4"/>
    <n v="27200"/>
    <n v="65.2"/>
    <n v="1200"/>
    <n v="450"/>
    <n v="650"/>
    <n v="1.52"/>
    <x v="0"/>
    <n v="978.2643957826441"/>
    <n v="11739.17274939173"/>
    <n v="41239.172749391728"/>
  </r>
  <r>
    <x v="3"/>
    <x v="77"/>
    <x v="80"/>
    <x v="0"/>
    <x v="1"/>
    <n v="3"/>
    <x v="5"/>
    <n v="33800"/>
    <n v="63.8"/>
    <n v="1100"/>
    <n v="450"/>
    <n v="650"/>
    <n v="1.52"/>
    <x v="0"/>
    <n v="957.25871857258721"/>
    <n v="11487.104622871047"/>
    <n v="47487.104622871047"/>
  </r>
  <r>
    <x v="3"/>
    <x v="77"/>
    <x v="80"/>
    <x v="0"/>
    <x v="2"/>
    <n v="2"/>
    <x v="0"/>
    <n v="36800"/>
    <n v="63.8"/>
    <n v="1100"/>
    <n v="450"/>
    <n v="650"/>
    <n v="1.52"/>
    <x v="0"/>
    <n v="957.25871857258721"/>
    <n v="11487.104622871047"/>
    <n v="50487.104622871047"/>
  </r>
  <r>
    <x v="3"/>
    <x v="77"/>
    <x v="80"/>
    <x v="0"/>
    <x v="0"/>
    <n v="4"/>
    <x v="4"/>
    <n v="26800"/>
    <n v="63.8"/>
    <n v="1100"/>
    <n v="450"/>
    <n v="650"/>
    <n v="1.52"/>
    <x v="0"/>
    <n v="957.25871857258721"/>
    <n v="11487.104622871047"/>
    <n v="40487.104622871047"/>
  </r>
  <r>
    <x v="3"/>
    <x v="230"/>
    <x v="269"/>
    <x v="0"/>
    <x v="1"/>
    <n v="3"/>
    <x v="5"/>
    <n v="33200"/>
    <n v="64.2"/>
    <n v="1100"/>
    <n v="450"/>
    <n v="650"/>
    <n v="1.52"/>
    <x v="0"/>
    <n v="963.26034063260352"/>
    <n v="11559.124087591243"/>
    <n v="46959.124087591241"/>
  </r>
  <r>
    <x v="3"/>
    <x v="230"/>
    <x v="269"/>
    <x v="0"/>
    <x v="2"/>
    <n v="2"/>
    <x v="0"/>
    <n v="36200"/>
    <n v="64.2"/>
    <n v="1100"/>
    <n v="450"/>
    <n v="650"/>
    <n v="1.52"/>
    <x v="0"/>
    <n v="963.26034063260352"/>
    <n v="11559.124087591243"/>
    <n v="49959.124087591241"/>
  </r>
  <r>
    <x v="3"/>
    <x v="230"/>
    <x v="269"/>
    <x v="0"/>
    <x v="0"/>
    <n v="4"/>
    <x v="4"/>
    <n v="26200"/>
    <n v="64.2"/>
    <n v="1100"/>
    <n v="450"/>
    <n v="650"/>
    <n v="1.52"/>
    <x v="0"/>
    <n v="963.26034063260352"/>
    <n v="11559.124087591243"/>
    <n v="39959.124087591241"/>
  </r>
  <r>
    <x v="3"/>
    <x v="231"/>
    <x v="270"/>
    <x v="0"/>
    <x v="1"/>
    <n v="3"/>
    <x v="5"/>
    <n v="32800"/>
    <n v="63.5"/>
    <n v="1000"/>
    <n v="450"/>
    <n v="650"/>
    <n v="1.52"/>
    <x v="0"/>
    <n v="952.75750202757501"/>
    <n v="11433.090024330901"/>
    <n v="46333.090024330901"/>
  </r>
  <r>
    <x v="3"/>
    <x v="231"/>
    <x v="270"/>
    <x v="0"/>
    <x v="2"/>
    <n v="2"/>
    <x v="0"/>
    <n v="35800"/>
    <n v="63.5"/>
    <n v="1000"/>
    <n v="450"/>
    <n v="650"/>
    <n v="1.52"/>
    <x v="0"/>
    <n v="952.75750202757501"/>
    <n v="11433.090024330901"/>
    <n v="49333.090024330901"/>
  </r>
  <r>
    <x v="3"/>
    <x v="231"/>
    <x v="270"/>
    <x v="0"/>
    <x v="0"/>
    <n v="4"/>
    <x v="4"/>
    <n v="25800"/>
    <n v="63.5"/>
    <n v="1000"/>
    <n v="450"/>
    <n v="650"/>
    <n v="1.52"/>
    <x v="0"/>
    <n v="952.75750202757501"/>
    <n v="11433.090024330901"/>
    <n v="39333.090024330901"/>
  </r>
  <r>
    <x v="3"/>
    <x v="232"/>
    <x v="271"/>
    <x v="0"/>
    <x v="1"/>
    <n v="3"/>
    <x v="5"/>
    <n v="32200"/>
    <n v="63.2"/>
    <n v="1000"/>
    <n v="450"/>
    <n v="650"/>
    <n v="1.52"/>
    <x v="0"/>
    <n v="948.25628548256282"/>
    <n v="11379.075425790754"/>
    <n v="45679.075425790754"/>
  </r>
  <r>
    <x v="3"/>
    <x v="232"/>
    <x v="271"/>
    <x v="0"/>
    <x v="2"/>
    <n v="2"/>
    <x v="0"/>
    <n v="35200"/>
    <n v="63.2"/>
    <n v="1000"/>
    <n v="450"/>
    <n v="650"/>
    <n v="1.52"/>
    <x v="0"/>
    <n v="948.25628548256282"/>
    <n v="11379.075425790754"/>
    <n v="48679.075425790754"/>
  </r>
  <r>
    <x v="3"/>
    <x v="232"/>
    <x v="271"/>
    <x v="0"/>
    <x v="0"/>
    <n v="4"/>
    <x v="4"/>
    <n v="25200"/>
    <n v="63.2"/>
    <n v="1000"/>
    <n v="450"/>
    <n v="650"/>
    <n v="1.52"/>
    <x v="0"/>
    <n v="948.25628548256282"/>
    <n v="11379.075425790754"/>
    <n v="38679.075425790754"/>
  </r>
  <r>
    <x v="0"/>
    <x v="30"/>
    <x v="30"/>
    <x v="0"/>
    <x v="2"/>
    <n v="2"/>
    <x v="0"/>
    <n v="58000"/>
    <n v="82.1"/>
    <n v="2100"/>
    <n v="160"/>
    <n v="1500"/>
    <n v="1"/>
    <x v="0"/>
    <n v="1231.8329278183292"/>
    <n v="14781.99513381995"/>
    <n v="76541.995133819946"/>
  </r>
  <r>
    <x v="1"/>
    <x v="1"/>
    <x v="1"/>
    <x v="1"/>
    <x v="2"/>
    <n v="1"/>
    <x v="1"/>
    <n v="42000"/>
    <n v="75.3"/>
    <n v="1800"/>
    <n v="485"/>
    <n v="800"/>
    <n v="0.79"/>
    <x v="0"/>
    <n v="1129.8053527980535"/>
    <n v="13557.664233576641"/>
    <n v="58642.664233576637"/>
  </r>
  <r>
    <x v="4"/>
    <x v="4"/>
    <x v="272"/>
    <x v="4"/>
    <x v="2"/>
    <n v="2"/>
    <x v="0"/>
    <n v="0"/>
    <n v="71.5"/>
    <n v="1200"/>
    <n v="110"/>
    <n v="900"/>
    <n v="0.92"/>
    <x v="0"/>
    <n v="1072.7899432278994"/>
    <n v="12873.479318734793"/>
    <n v="15083.479318734793"/>
  </r>
  <r>
    <x v="2"/>
    <x v="2"/>
    <x v="2"/>
    <x v="2"/>
    <x v="2"/>
    <n v="2"/>
    <x v="0"/>
    <n v="45000"/>
    <n v="73.8"/>
    <n v="1700"/>
    <n v="235"/>
    <n v="750"/>
    <n v="1.35"/>
    <x v="0"/>
    <n v="1107.2992700729928"/>
    <n v="13287.591240875914"/>
    <n v="60972.591240875918"/>
  </r>
  <r>
    <x v="3"/>
    <x v="3"/>
    <x v="3"/>
    <x v="6"/>
    <x v="0"/>
    <n v="4"/>
    <x v="4"/>
    <n v="29000"/>
    <n v="72.400000000000006"/>
    <n v="1500"/>
    <n v="450"/>
    <n v="650"/>
    <n v="1.52"/>
    <x v="0"/>
    <n v="1086.2935928629361"/>
    <n v="13035.523114355234"/>
    <n v="44635.523114355237"/>
  </r>
  <r>
    <x v="0"/>
    <x v="29"/>
    <x v="29"/>
    <x v="9"/>
    <x v="0"/>
    <n v="5"/>
    <x v="6"/>
    <n v="52000"/>
    <n v="84.3"/>
    <n v="2300"/>
    <n v="160"/>
    <n v="1500"/>
    <n v="1"/>
    <x v="0"/>
    <n v="1264.8418491484183"/>
    <n v="15178.102189781021"/>
    <n v="71138.102189781028"/>
  </r>
  <r>
    <x v="1"/>
    <x v="189"/>
    <x v="218"/>
    <x v="67"/>
    <x v="2"/>
    <n v="2"/>
    <x v="0"/>
    <n v="38000"/>
    <n v="67.8"/>
    <n v="1100"/>
    <n v="485"/>
    <n v="800"/>
    <n v="0.79"/>
    <x v="0"/>
    <n v="1017.2749391727493"/>
    <n v="12207.299270072992"/>
    <n v="52592.299270072996"/>
  </r>
  <r>
    <x v="4"/>
    <x v="52"/>
    <x v="273"/>
    <x v="0"/>
    <x v="1"/>
    <n v="3"/>
    <x v="5"/>
    <n v="0"/>
    <n v="68.900000000000006"/>
    <n v="950"/>
    <n v="110"/>
    <n v="900"/>
    <n v="0.92"/>
    <x v="0"/>
    <n v="1033.779399837794"/>
    <n v="12405.352798053529"/>
    <n v="14365.352798053529"/>
  </r>
  <r>
    <x v="2"/>
    <x v="50"/>
    <x v="52"/>
    <x v="38"/>
    <x v="2"/>
    <n v="2"/>
    <x v="0"/>
    <n v="42000"/>
    <n v="71.2"/>
    <n v="1600"/>
    <n v="235"/>
    <n v="750"/>
    <n v="1.35"/>
    <x v="0"/>
    <n v="1068.2887266828873"/>
    <n v="12819.464720194646"/>
    <n v="57404.46472019465"/>
  </r>
  <r>
    <x v="3"/>
    <x v="51"/>
    <x v="53"/>
    <x v="68"/>
    <x v="0"/>
    <n v="4"/>
    <x v="4"/>
    <n v="31000"/>
    <n v="75.599999999999994"/>
    <n v="1700"/>
    <n v="450"/>
    <n v="650"/>
    <n v="1.52"/>
    <x v="0"/>
    <n v="1134.3065693430656"/>
    <n v="13611.678832116788"/>
    <n v="47411.678832116784"/>
  </r>
  <r>
    <x v="0"/>
    <x v="48"/>
    <x v="50"/>
    <x v="22"/>
    <x v="2"/>
    <n v="2"/>
    <x v="0"/>
    <n v="54000"/>
    <n v="83.2"/>
    <n v="2000"/>
    <n v="160"/>
    <n v="1500"/>
    <n v="1"/>
    <x v="0"/>
    <n v="1248.3373884833738"/>
    <n v="14980.048661800487"/>
    <n v="72640.04866180048"/>
  </r>
  <r>
    <x v="1"/>
    <x v="49"/>
    <x v="51"/>
    <x v="3"/>
    <x v="1"/>
    <n v="3"/>
    <x v="5"/>
    <n v="35000"/>
    <n v="65.400000000000006"/>
    <n v="900"/>
    <n v="485"/>
    <n v="800"/>
    <n v="0.79"/>
    <x v="0"/>
    <n v="981.26520681265208"/>
    <n v="11775.182481751825"/>
    <n v="48960.182481751821"/>
  </r>
  <r>
    <x v="4"/>
    <x v="80"/>
    <x v="274"/>
    <x v="9"/>
    <x v="2"/>
    <n v="2"/>
    <x v="0"/>
    <n v="0"/>
    <n v="69.8"/>
    <n v="1100"/>
    <n v="110"/>
    <n v="900"/>
    <n v="0.92"/>
    <x v="0"/>
    <n v="1047.2830494728303"/>
    <n v="12567.396593673962"/>
    <n v="14677.396593673962"/>
  </r>
  <r>
    <x v="2"/>
    <x v="222"/>
    <x v="252"/>
    <x v="0"/>
    <x v="0"/>
    <n v="4"/>
    <x v="4"/>
    <n v="38000"/>
    <n v="68.900000000000006"/>
    <n v="1400"/>
    <n v="235"/>
    <n v="750"/>
    <n v="1.35"/>
    <x v="0"/>
    <n v="1033.779399837794"/>
    <n v="12405.352798053529"/>
    <n v="52790.352798053529"/>
  </r>
  <r>
    <x v="3"/>
    <x v="229"/>
    <x v="262"/>
    <x v="1"/>
    <x v="2"/>
    <n v="2"/>
    <x v="0"/>
    <n v="32000"/>
    <n v="68.7"/>
    <n v="1200"/>
    <n v="450"/>
    <n v="650"/>
    <n v="1.52"/>
    <x v="0"/>
    <n v="1030.7785888077858"/>
    <n v="12369.343065693429"/>
    <n v="46669.343065693429"/>
  </r>
  <r>
    <x v="0"/>
    <x v="126"/>
    <x v="131"/>
    <x v="34"/>
    <x v="2"/>
    <n v="2"/>
    <x v="0"/>
    <n v="62000"/>
    <n v="100"/>
    <n v="2500"/>
    <n v="160"/>
    <n v="1500"/>
    <n v="1"/>
    <x v="0"/>
    <n v="1500.4055150040551"/>
    <n v="18004.866180048662"/>
    <n v="84164.866180048659"/>
  </r>
  <r>
    <x v="1"/>
    <x v="31"/>
    <x v="31"/>
    <x v="0"/>
    <x v="0"/>
    <n v="4"/>
    <x v="4"/>
    <n v="40000"/>
    <n v="71.5"/>
    <n v="1400"/>
    <n v="485"/>
    <n v="800"/>
    <n v="0.79"/>
    <x v="0"/>
    <n v="1072.7899432278994"/>
    <n v="12873.479318734793"/>
    <n v="55558.479318734797"/>
  </r>
  <r>
    <x v="4"/>
    <x v="78"/>
    <x v="81"/>
    <x v="4"/>
    <x v="1"/>
    <n v="3"/>
    <x v="5"/>
    <n v="0"/>
    <n v="65.400000000000006"/>
    <n v="800"/>
    <n v="110"/>
    <n v="900"/>
    <n v="0.92"/>
    <x v="0"/>
    <n v="981.26520681265208"/>
    <n v="11775.182481751825"/>
    <n v="13585.182481751825"/>
  </r>
  <r>
    <x v="2"/>
    <x v="23"/>
    <x v="23"/>
    <x v="6"/>
    <x v="2"/>
    <n v="2"/>
    <x v="0"/>
    <n v="40000"/>
    <n v="67.8"/>
    <n v="1300"/>
    <n v="235"/>
    <n v="750"/>
    <n v="1.35"/>
    <x v="0"/>
    <n v="1017.2749391727493"/>
    <n v="12207.299270072992"/>
    <n v="54492.299270072996"/>
  </r>
  <r>
    <x v="3"/>
    <x v="69"/>
    <x v="72"/>
    <x v="9"/>
    <x v="2"/>
    <n v="2"/>
    <x v="0"/>
    <n v="30000"/>
    <n v="67.2"/>
    <n v="1100"/>
    <n v="450"/>
    <n v="650"/>
    <n v="1.52"/>
    <x v="0"/>
    <n v="1008.272506082725"/>
    <n v="12099.2700729927"/>
    <n v="44299.270072992702"/>
  </r>
  <r>
    <x v="0"/>
    <x v="20"/>
    <x v="20"/>
    <x v="3"/>
    <x v="0"/>
    <n v="5"/>
    <x v="6"/>
    <n v="48000"/>
    <n v="71.2"/>
    <n v="1700"/>
    <n v="160"/>
    <n v="1500"/>
    <n v="1"/>
    <x v="0"/>
    <n v="1068.2887266828873"/>
    <n v="12819.464720194646"/>
    <n v="64179.46472019465"/>
  </r>
  <r>
    <x v="1"/>
    <x v="22"/>
    <x v="22"/>
    <x v="1"/>
    <x v="2"/>
    <n v="2"/>
    <x v="0"/>
    <n v="36000"/>
    <n v="68.900000000000006"/>
    <n v="1200"/>
    <n v="485"/>
    <n v="800"/>
    <n v="0.79"/>
    <x v="0"/>
    <n v="1033.779399837794"/>
    <n v="12405.352798053529"/>
    <n v="50890.352798053529"/>
  </r>
  <r>
    <x v="4"/>
    <x v="233"/>
    <x v="275"/>
    <x v="0"/>
    <x v="2"/>
    <n v="2"/>
    <x v="0"/>
    <n v="0"/>
    <n v="72.3"/>
    <n v="1300"/>
    <n v="110"/>
    <n v="900"/>
    <n v="0.92"/>
    <x v="0"/>
    <n v="1084.7931873479317"/>
    <n v="13017.51824817518"/>
    <n v="15327.51824817518"/>
  </r>
  <r>
    <x v="2"/>
    <x v="118"/>
    <x v="123"/>
    <x v="22"/>
    <x v="1"/>
    <n v="4"/>
    <x v="4"/>
    <n v="35000"/>
    <n v="65.400000000000006"/>
    <n v="1200"/>
    <n v="235"/>
    <n v="750"/>
    <n v="1.35"/>
    <x v="0"/>
    <n v="981.26520681265208"/>
    <n v="11775.182481751825"/>
    <n v="48960.182481751821"/>
  </r>
  <r>
    <x v="3"/>
    <x v="68"/>
    <x v="71"/>
    <x v="67"/>
    <x v="0"/>
    <n v="4"/>
    <x v="4"/>
    <n v="28000"/>
    <n v="64.5"/>
    <n v="1000"/>
    <n v="450"/>
    <n v="650"/>
    <n v="1.52"/>
    <x v="0"/>
    <n v="967.7615571776156"/>
    <n v="11613.138686131388"/>
    <n v="41713.138686131388"/>
  </r>
  <r>
    <x v="0"/>
    <x v="181"/>
    <x v="207"/>
    <x v="0"/>
    <x v="2"/>
    <n v="2"/>
    <x v="0"/>
    <n v="52000"/>
    <n v="79.8"/>
    <n v="2200"/>
    <n v="160"/>
    <n v="1500"/>
    <n v="1"/>
    <x v="0"/>
    <n v="1197.3236009732359"/>
    <n v="14367.883211678831"/>
    <n v="70227.883211678825"/>
  </r>
  <r>
    <x v="1"/>
    <x v="41"/>
    <x v="43"/>
    <x v="9"/>
    <x v="1"/>
    <n v="3"/>
    <x v="5"/>
    <n v="34000"/>
    <n v="64.5"/>
    <n v="950"/>
    <n v="485"/>
    <n v="800"/>
    <n v="0.79"/>
    <x v="0"/>
    <n v="967.7615571776156"/>
    <n v="11613.138686131388"/>
    <n v="47848.138686131388"/>
  </r>
  <r>
    <x v="4"/>
    <x v="79"/>
    <x v="82"/>
    <x v="3"/>
    <x v="2"/>
    <n v="2"/>
    <x v="0"/>
    <n v="0"/>
    <n v="68.7"/>
    <n v="1100"/>
    <n v="110"/>
    <n v="900"/>
    <n v="0.92"/>
    <x v="0"/>
    <n v="1030.7785888077858"/>
    <n v="12369.343065693429"/>
    <n v="14479.343065693429"/>
  </r>
  <r>
    <x v="2"/>
    <x v="40"/>
    <x v="42"/>
    <x v="1"/>
    <x v="2"/>
    <n v="2"/>
    <x v="0"/>
    <n v="37000"/>
    <n v="64.3"/>
    <n v="1100"/>
    <n v="235"/>
    <n v="750"/>
    <n v="1.35"/>
    <x v="0"/>
    <n v="964.76074614760739"/>
    <n v="11577.128953771289"/>
    <n v="50662.128953771287"/>
  </r>
  <r>
    <x v="3"/>
    <x v="36"/>
    <x v="38"/>
    <x v="0"/>
    <x v="0"/>
    <n v="4"/>
    <x v="4"/>
    <n v="33000"/>
    <n v="69.8"/>
    <n v="1300"/>
    <n v="450"/>
    <n v="650"/>
    <n v="1.52"/>
    <x v="0"/>
    <n v="1047.2830494728303"/>
    <n v="12567.396593673962"/>
    <n v="47967.396593673962"/>
  </r>
  <r>
    <x v="0"/>
    <x v="21"/>
    <x v="21"/>
    <x v="22"/>
    <x v="2"/>
    <n v="2"/>
    <x v="0"/>
    <n v="45000"/>
    <n v="68.900000000000006"/>
    <n v="1600"/>
    <n v="160"/>
    <n v="1500"/>
    <n v="1"/>
    <x v="0"/>
    <n v="1033.779399837794"/>
    <n v="12405.352798053529"/>
    <n v="60665.352798053529"/>
  </r>
  <r>
    <x v="1"/>
    <x v="98"/>
    <x v="102"/>
    <x v="67"/>
    <x v="0"/>
    <n v="4"/>
    <x v="4"/>
    <n v="35000"/>
    <n v="63.2"/>
    <n v="900"/>
    <n v="485"/>
    <n v="800"/>
    <n v="0.79"/>
    <x v="0"/>
    <n v="948.25628548256282"/>
    <n v="11379.075425790754"/>
    <n v="48564.075425790754"/>
  </r>
  <r>
    <x v="4"/>
    <x v="32"/>
    <x v="33"/>
    <x v="9"/>
    <x v="1"/>
    <n v="3"/>
    <x v="5"/>
    <n v="0"/>
    <n v="67.8"/>
    <n v="1000"/>
    <n v="110"/>
    <n v="900"/>
    <n v="0.92"/>
    <x v="0"/>
    <n v="1017.2749391727493"/>
    <n v="12207.299270072992"/>
    <n v="14217.299270072992"/>
  </r>
  <r>
    <x v="2"/>
    <x v="108"/>
    <x v="113"/>
    <x v="3"/>
    <x v="2"/>
    <n v="2"/>
    <x v="0"/>
    <n v="36000"/>
    <n v="63.4"/>
    <n v="1000"/>
    <n v="235"/>
    <n v="750"/>
    <n v="1.35"/>
    <x v="0"/>
    <n v="951.25709651257091"/>
    <n v="11415.08515815085"/>
    <n v="49400.085158150847"/>
  </r>
  <r>
    <x v="3"/>
    <x v="70"/>
    <x v="73"/>
    <x v="1"/>
    <x v="2"/>
    <n v="2"/>
    <x v="0"/>
    <n v="29000"/>
    <n v="65.400000000000006"/>
    <n v="1100"/>
    <n v="450"/>
    <n v="650"/>
    <n v="1.52"/>
    <x v="0"/>
    <n v="981.26520681265208"/>
    <n v="11775.182481751825"/>
    <n v="42975.182481751821"/>
  </r>
  <r>
    <x v="0"/>
    <x v="39"/>
    <x v="41"/>
    <x v="0"/>
    <x v="0"/>
    <n v="5"/>
    <x v="6"/>
    <n v="50000"/>
    <n v="77.8"/>
    <n v="2000"/>
    <n v="160"/>
    <n v="1500"/>
    <n v="1"/>
    <x v="0"/>
    <n v="1167.315490673155"/>
    <n v="14007.785888077859"/>
    <n v="67667.785888077866"/>
  </r>
  <r>
    <x v="1"/>
    <x v="100"/>
    <x v="104"/>
    <x v="3"/>
    <x v="2"/>
    <n v="2"/>
    <x v="0"/>
    <n v="33000"/>
    <n v="62.3"/>
    <n v="850"/>
    <n v="485"/>
    <n v="800"/>
    <n v="0.79"/>
    <x v="0"/>
    <n v="934.75263584752634"/>
    <n v="11217.031630170317"/>
    <n v="46352.031630170313"/>
  </r>
  <r>
    <x v="4"/>
    <x v="234"/>
    <x v="276"/>
    <x v="22"/>
    <x v="2"/>
    <n v="2"/>
    <x v="0"/>
    <n v="0"/>
    <n v="69.8"/>
    <n v="1200"/>
    <n v="110"/>
    <n v="900"/>
    <n v="0.92"/>
    <x v="0"/>
    <n v="1047.2830494728303"/>
    <n v="12567.396593673962"/>
    <n v="14777.396593673962"/>
  </r>
  <r>
    <x v="2"/>
    <x v="110"/>
    <x v="115"/>
    <x v="9"/>
    <x v="1"/>
    <n v="3"/>
    <x v="5"/>
    <n v="34000"/>
    <n v="62.1"/>
    <n v="900"/>
    <n v="235"/>
    <n v="750"/>
    <n v="1.35"/>
    <x v="0"/>
    <n v="931.75182481751835"/>
    <n v="11181.02189781022"/>
    <n v="47066.02189781022"/>
  </r>
  <r>
    <x v="3"/>
    <x v="72"/>
    <x v="75"/>
    <x v="67"/>
    <x v="2"/>
    <n v="2"/>
    <x v="0"/>
    <n v="27000"/>
    <n v="63.2"/>
    <n v="950"/>
    <n v="450"/>
    <n v="650"/>
    <n v="1.52"/>
    <x v="0"/>
    <n v="948.25628548256282"/>
    <n v="11379.075425790754"/>
    <n v="40429.075425790754"/>
  </r>
  <r>
    <x v="0"/>
    <x v="116"/>
    <x v="121"/>
    <x v="1"/>
    <x v="2"/>
    <n v="2"/>
    <x v="0"/>
    <n v="56000"/>
    <n v="65.400000000000006"/>
    <n v="1500"/>
    <n v="160"/>
    <n v="1500"/>
    <n v="1"/>
    <x v="0"/>
    <n v="981.26520681265208"/>
    <n v="11775.182481751825"/>
    <n v="70935.182481751821"/>
  </r>
  <r>
    <x v="1"/>
    <x v="103"/>
    <x v="107"/>
    <x v="0"/>
    <x v="0"/>
    <n v="4"/>
    <x v="4"/>
    <n v="34000"/>
    <n v="61.2"/>
    <n v="800"/>
    <n v="485"/>
    <n v="800"/>
    <n v="0.79"/>
    <x v="0"/>
    <n v="918.24817518248187"/>
    <n v="11018.978102189783"/>
    <n v="47103.97810218978"/>
  </r>
  <r>
    <x v="4"/>
    <x v="235"/>
    <x v="277"/>
    <x v="3"/>
    <x v="2"/>
    <n v="2"/>
    <x v="0"/>
    <n v="0"/>
    <n v="67.8"/>
    <n v="1100"/>
    <n v="110"/>
    <n v="900"/>
    <n v="0.92"/>
    <x v="0"/>
    <n v="1017.2749391727493"/>
    <n v="12207.299270072992"/>
    <n v="14317.299270072992"/>
  </r>
  <r>
    <x v="2"/>
    <x v="109"/>
    <x v="114"/>
    <x v="22"/>
    <x v="2"/>
    <n v="2"/>
    <x v="0"/>
    <n v="35000"/>
    <n v="64.5"/>
    <n v="1100"/>
    <n v="235"/>
    <n v="750"/>
    <n v="1.35"/>
    <x v="0"/>
    <n v="967.7615571776156"/>
    <n v="11613.138686131388"/>
    <n v="48698.138686131388"/>
  </r>
  <r>
    <x v="3"/>
    <x v="71"/>
    <x v="74"/>
    <x v="9"/>
    <x v="1"/>
    <n v="3"/>
    <x v="5"/>
    <n v="26000"/>
    <n v="62.1"/>
    <n v="900"/>
    <n v="450"/>
    <n v="650"/>
    <n v="1.52"/>
    <x v="0"/>
    <n v="931.75182481751835"/>
    <n v="11181.02189781022"/>
    <n v="39181.02189781022"/>
  </r>
  <r>
    <x v="0"/>
    <x v="38"/>
    <x v="40"/>
    <x v="67"/>
    <x v="0"/>
    <n v="5"/>
    <x v="6"/>
    <n v="49000"/>
    <n v="75.599999999999994"/>
    <n v="1900"/>
    <n v="160"/>
    <n v="1500"/>
    <n v="1"/>
    <x v="0"/>
    <n v="1134.3065693430656"/>
    <n v="13611.678832116788"/>
    <n v="66171.678832116784"/>
  </r>
  <r>
    <x v="1"/>
    <x v="92"/>
    <x v="219"/>
    <x v="3"/>
    <x v="2"/>
    <n v="2"/>
    <x v="0"/>
    <n v="35000"/>
    <n v="63.4"/>
    <n v="900"/>
    <n v="485"/>
    <n v="800"/>
    <n v="0.79"/>
    <x v="0"/>
    <n v="951.25709651257091"/>
    <n v="11415.08515815085"/>
    <n v="48600.085158150847"/>
  </r>
  <r>
    <x v="4"/>
    <x v="81"/>
    <x v="84"/>
    <x v="0"/>
    <x v="1"/>
    <n v="3"/>
    <x v="5"/>
    <n v="0"/>
    <n v="68.900000000000006"/>
    <n v="1000"/>
    <n v="110"/>
    <n v="900"/>
    <n v="0.92"/>
    <x v="0"/>
    <n v="1033.779399837794"/>
    <n v="12405.352798053529"/>
    <n v="14415.352798053529"/>
  </r>
  <r>
    <x v="2"/>
    <x v="111"/>
    <x v="116"/>
    <x v="1"/>
    <x v="2"/>
    <n v="2"/>
    <x v="0"/>
    <n v="33000"/>
    <n v="61.2"/>
    <n v="900"/>
    <n v="235"/>
    <n v="750"/>
    <n v="1.35"/>
    <x v="0"/>
    <n v="918.24817518248187"/>
    <n v="11018.978102189783"/>
    <n v="45903.97810218978"/>
  </r>
  <r>
    <x v="3"/>
    <x v="73"/>
    <x v="76"/>
    <x v="22"/>
    <x v="0"/>
    <n v="4"/>
    <x v="4"/>
    <n v="28000"/>
    <n v="63.4"/>
    <n v="950"/>
    <n v="450"/>
    <n v="650"/>
    <n v="1.52"/>
    <x v="0"/>
    <n v="951.25709651257091"/>
    <n v="11415.08515815085"/>
    <n v="41465.085158150847"/>
  </r>
  <r>
    <x v="0"/>
    <x v="236"/>
    <x v="278"/>
    <x v="1"/>
    <x v="2"/>
    <n v="2"/>
    <x v="0"/>
    <n v="52000"/>
    <n v="95.2"/>
    <n v="2400"/>
    <n v="160"/>
    <n v="1500"/>
    <n v="1"/>
    <x v="0"/>
    <n v="1428.3860502838606"/>
    <n v="17140.632603406328"/>
    <n v="73200.632603406324"/>
  </r>
  <r>
    <x v="1"/>
    <x v="1"/>
    <x v="217"/>
    <x v="0"/>
    <x v="2"/>
    <n v="1"/>
    <x v="1"/>
    <n v="39000"/>
    <n v="75.3"/>
    <n v="1900"/>
    <n v="485"/>
    <n v="800"/>
    <n v="0.79"/>
    <x v="0"/>
    <n v="1129.8053527980535"/>
    <n v="13557.664233576641"/>
    <n v="55742.664233576637"/>
  </r>
  <r>
    <x v="9"/>
    <x v="9"/>
    <x v="9"/>
    <x v="0"/>
    <x v="2"/>
    <n v="2"/>
    <x v="0"/>
    <n v="1500"/>
    <n v="122.4"/>
    <n v="2000"/>
    <n v="140"/>
    <n v="1200"/>
    <n v="0.89"/>
    <x v="0"/>
    <n v="1836.4963503649637"/>
    <n v="22037.956204379567"/>
    <n v="26877.956204379567"/>
  </r>
  <r>
    <x v="8"/>
    <x v="145"/>
    <x v="8"/>
    <x v="14"/>
    <x v="2"/>
    <n v="2"/>
    <x v="0"/>
    <n v="4500"/>
    <n v="84.3"/>
    <n v="1800"/>
    <n v="99"/>
    <n v="850"/>
    <n v="0.92"/>
    <x v="0"/>
    <n v="1264.8418491484183"/>
    <n v="15178.102189781021"/>
    <n v="22427.102189781021"/>
  </r>
  <r>
    <x v="14"/>
    <x v="14"/>
    <x v="14"/>
    <x v="0"/>
    <x v="0"/>
    <n v="4"/>
    <x v="4"/>
    <n v="18900"/>
    <n v="83.6"/>
    <n v="1700"/>
    <n v="150"/>
    <n v="750"/>
    <n v="0.92"/>
    <x v="0"/>
    <n v="1254.3390105433903"/>
    <n v="15052.068126520684"/>
    <n v="36552.06812652068"/>
  </r>
  <r>
    <x v="0"/>
    <x v="89"/>
    <x v="92"/>
    <x v="1"/>
    <x v="2"/>
    <n v="2"/>
    <x v="0"/>
    <n v="58000"/>
    <n v="84.1"/>
    <n v="1900"/>
    <n v="160"/>
    <n v="1500"/>
    <n v="1"/>
    <x v="0"/>
    <n v="1261.8410381184103"/>
    <n v="15142.092457420924"/>
    <n v="76702.09245742092"/>
  </r>
  <r>
    <x v="1"/>
    <x v="0"/>
    <x v="279"/>
    <x v="14"/>
    <x v="1"/>
    <n v="3"/>
    <x v="5"/>
    <n v="35000"/>
    <n v="71.2"/>
    <n v="1500"/>
    <n v="485"/>
    <n v="800"/>
    <n v="0.79"/>
    <x v="0"/>
    <n v="1068.2887266828873"/>
    <n v="12819.464720194646"/>
    <n v="50604.46472019465"/>
  </r>
  <r>
    <x v="9"/>
    <x v="155"/>
    <x v="168"/>
    <x v="0"/>
    <x v="0"/>
    <n v="4"/>
    <x v="4"/>
    <n v="1500"/>
    <n v="119.8"/>
    <n v="1900"/>
    <n v="140"/>
    <n v="1200"/>
    <n v="0.89"/>
    <x v="0"/>
    <n v="1797.485806974858"/>
    <n v="21569.829683698295"/>
    <n v="26309.829683698295"/>
  </r>
  <r>
    <x v="8"/>
    <x v="147"/>
    <x v="280"/>
    <x v="1"/>
    <x v="2"/>
    <n v="2"/>
    <x v="0"/>
    <n v="4200"/>
    <n v="75.599999999999994"/>
    <n v="1200"/>
    <n v="99"/>
    <n v="850"/>
    <n v="0.92"/>
    <x v="0"/>
    <n v="1134.3065693430656"/>
    <n v="13611.678832116788"/>
    <n v="19960.678832116788"/>
  </r>
  <r>
    <x v="14"/>
    <x v="237"/>
    <x v="281"/>
    <x v="0"/>
    <x v="2"/>
    <n v="2"/>
    <x v="0"/>
    <n v="16800"/>
    <n v="75.400000000000006"/>
    <n v="1300"/>
    <n v="150"/>
    <n v="750"/>
    <n v="0.92"/>
    <x v="0"/>
    <n v="1131.3057583130576"/>
    <n v="13575.669099756691"/>
    <n v="32575.669099756691"/>
  </r>
  <r>
    <x v="0"/>
    <x v="30"/>
    <x v="282"/>
    <x v="14"/>
    <x v="2"/>
    <n v="2"/>
    <x v="0"/>
    <n v="54000"/>
    <n v="82.1"/>
    <n v="2200"/>
    <n v="160"/>
    <n v="1500"/>
    <n v="1"/>
    <x v="0"/>
    <n v="1231.8329278183292"/>
    <n v="14781.99513381995"/>
    <n v="72641.995133819946"/>
  </r>
  <r>
    <x v="1"/>
    <x v="189"/>
    <x v="232"/>
    <x v="0"/>
    <x v="2"/>
    <n v="1"/>
    <x v="1"/>
    <n v="37000"/>
    <n v="67.8"/>
    <n v="1200"/>
    <n v="485"/>
    <n v="800"/>
    <n v="0.79"/>
    <x v="0"/>
    <n v="1017.2749391727493"/>
    <n v="12207.299270072992"/>
    <n v="51692.299270072996"/>
  </r>
  <r>
    <x v="9"/>
    <x v="156"/>
    <x v="169"/>
    <x v="1"/>
    <x v="2"/>
    <n v="2"/>
    <x v="0"/>
    <n v="1500"/>
    <n v="116.5"/>
    <n v="1800"/>
    <n v="140"/>
    <n v="1200"/>
    <n v="0.89"/>
    <x v="0"/>
    <n v="1747.9724249797243"/>
    <n v="20975.669099756691"/>
    <n v="25615.669099756691"/>
  </r>
  <r>
    <x v="8"/>
    <x v="146"/>
    <x v="283"/>
    <x v="0"/>
    <x v="1"/>
    <n v="3"/>
    <x v="5"/>
    <n v="4000"/>
    <n v="71.2"/>
    <n v="900"/>
    <n v="99"/>
    <n v="850"/>
    <n v="0.92"/>
    <x v="0"/>
    <n v="1068.2887266828873"/>
    <n v="12819.464720194646"/>
    <n v="18668.464720194646"/>
  </r>
  <r>
    <x v="14"/>
    <x v="45"/>
    <x v="47"/>
    <x v="14"/>
    <x v="2"/>
    <n v="2"/>
    <x v="0"/>
    <n v="15900"/>
    <n v="72.3"/>
    <n v="1100"/>
    <n v="150"/>
    <n v="750"/>
    <n v="0.92"/>
    <x v="0"/>
    <n v="1084.7931873479317"/>
    <n v="13017.51824817518"/>
    <n v="30917.51824817518"/>
  </r>
  <r>
    <x v="0"/>
    <x v="39"/>
    <x v="41"/>
    <x v="1"/>
    <x v="0"/>
    <n v="4"/>
    <x v="4"/>
    <n v="51000"/>
    <n v="77.8"/>
    <n v="2100"/>
    <n v="160"/>
    <n v="1500"/>
    <n v="1"/>
    <x v="0"/>
    <n v="1167.315490673155"/>
    <n v="14007.785888077859"/>
    <n v="68767.785888077866"/>
  </r>
  <r>
    <x v="1"/>
    <x v="101"/>
    <x v="105"/>
    <x v="0"/>
    <x v="2"/>
    <n v="1"/>
    <x v="1"/>
    <n v="36000"/>
    <n v="65.400000000000006"/>
    <n v="1100"/>
    <n v="485"/>
    <n v="800"/>
    <n v="0.79"/>
    <x v="0"/>
    <n v="981.26520681265208"/>
    <n v="11775.182481751825"/>
    <n v="50160.182481751821"/>
  </r>
  <r>
    <x v="9"/>
    <x v="33"/>
    <x v="175"/>
    <x v="1"/>
    <x v="2"/>
    <n v="2"/>
    <x v="0"/>
    <n v="1500"/>
    <n v="114.3"/>
    <n v="1700"/>
    <n v="140"/>
    <n v="1200"/>
    <n v="0.89"/>
    <x v="0"/>
    <n v="1714.963503649635"/>
    <n v="20579.56204379562"/>
    <n v="25119.56204379562"/>
  </r>
  <r>
    <x v="8"/>
    <x v="150"/>
    <x v="163"/>
    <x v="14"/>
    <x v="2"/>
    <n v="2"/>
    <x v="0"/>
    <n v="4300"/>
    <n v="72.099999999999994"/>
    <n v="1000"/>
    <n v="99"/>
    <n v="850"/>
    <n v="0.92"/>
    <x v="0"/>
    <n v="1081.7923763179238"/>
    <n v="12981.508515815085"/>
    <n v="19230.508515815083"/>
  </r>
  <r>
    <x v="14"/>
    <x v="238"/>
    <x v="284"/>
    <x v="0"/>
    <x v="1"/>
    <n v="4"/>
    <x v="4"/>
    <n v="15400"/>
    <n v="71.2"/>
    <n v="1000"/>
    <n v="150"/>
    <n v="750"/>
    <n v="0.92"/>
    <x v="0"/>
    <n v="1068.2887266828873"/>
    <n v="12819.464720194646"/>
    <n v="30119.464720194646"/>
  </r>
  <r>
    <x v="0"/>
    <x v="21"/>
    <x v="21"/>
    <x v="0"/>
    <x v="2"/>
    <n v="2"/>
    <x v="0"/>
    <n v="49000"/>
    <n v="68.900000000000006"/>
    <n v="1800"/>
    <n v="160"/>
    <n v="1500"/>
    <n v="1"/>
    <x v="0"/>
    <n v="1033.779399837794"/>
    <n v="12405.352798053529"/>
    <n v="64865.352798053529"/>
  </r>
  <r>
    <x v="1"/>
    <x v="49"/>
    <x v="285"/>
    <x v="1"/>
    <x v="2"/>
    <n v="1"/>
    <x v="1"/>
    <n v="35000"/>
    <n v="65.400000000000006"/>
    <n v="1000"/>
    <n v="485"/>
    <n v="800"/>
    <n v="0.79"/>
    <x v="0"/>
    <n v="981.26520681265208"/>
    <n v="11775.182481751825"/>
    <n v="49060.182481751821"/>
  </r>
  <r>
    <x v="9"/>
    <x v="158"/>
    <x v="171"/>
    <x v="14"/>
    <x v="2"/>
    <n v="2"/>
    <x v="0"/>
    <n v="1500"/>
    <n v="112.1"/>
    <n v="1600"/>
    <n v="140"/>
    <n v="1200"/>
    <n v="0.89"/>
    <x v="0"/>
    <n v="1681.9545823195458"/>
    <n v="20183.45498783455"/>
    <n v="24623.45498783455"/>
  </r>
  <r>
    <x v="8"/>
    <x v="149"/>
    <x v="286"/>
    <x v="0"/>
    <x v="2"/>
    <n v="2"/>
    <x v="0"/>
    <n v="4100"/>
    <n v="76.5"/>
    <n v="1300"/>
    <n v="99"/>
    <n v="850"/>
    <n v="0.92"/>
    <x v="0"/>
    <n v="1147.8102189781023"/>
    <n v="13773.722627737228"/>
    <n v="20122.722627737228"/>
  </r>
  <r>
    <x v="14"/>
    <x v="239"/>
    <x v="287"/>
    <x v="1"/>
    <x v="0"/>
    <n v="4"/>
    <x v="4"/>
    <n v="14900"/>
    <n v="70.099999999999994"/>
    <n v="950"/>
    <n v="150"/>
    <n v="750"/>
    <n v="0.92"/>
    <x v="0"/>
    <n v="1051.7842660178426"/>
    <n v="12621.411192214111"/>
    <n v="29371.411192214109"/>
  </r>
  <r>
    <x v="0"/>
    <x v="240"/>
    <x v="288"/>
    <x v="14"/>
    <x v="2"/>
    <n v="2"/>
    <x v="0"/>
    <n v="47000"/>
    <n v="69.8"/>
    <n v="1700"/>
    <n v="160"/>
    <n v="1500"/>
    <n v="1"/>
    <x v="0"/>
    <n v="1047.2830494728303"/>
    <n v="12567.396593673962"/>
    <n v="62927.396593673962"/>
  </r>
  <r>
    <x v="1"/>
    <x v="98"/>
    <x v="289"/>
    <x v="0"/>
    <x v="1"/>
    <n v="3"/>
    <x v="5"/>
    <n v="34000"/>
    <n v="63.2"/>
    <n v="900"/>
    <n v="485"/>
    <n v="800"/>
    <n v="0.79"/>
    <x v="0"/>
    <n v="948.25628548256282"/>
    <n v="11379.075425790754"/>
    <n v="47564.075425790754"/>
  </r>
  <r>
    <x v="9"/>
    <x v="157"/>
    <x v="170"/>
    <x v="1"/>
    <x v="2"/>
    <n v="2"/>
    <x v="0"/>
    <n v="1500"/>
    <n v="110.4"/>
    <n v="1500"/>
    <n v="140"/>
    <n v="1200"/>
    <n v="0.89"/>
    <x v="0"/>
    <n v="1656.4476885644769"/>
    <n v="19877.372262773722"/>
    <n v="24217.372262773722"/>
  </r>
  <r>
    <x v="8"/>
    <x v="151"/>
    <x v="290"/>
    <x v="14"/>
    <x v="0"/>
    <n v="4"/>
    <x v="4"/>
    <n v="4200"/>
    <n v="69.8"/>
    <n v="950"/>
    <n v="99"/>
    <n v="850"/>
    <n v="0.92"/>
    <x v="0"/>
    <n v="1047.2830494728303"/>
    <n v="12567.396593673962"/>
    <n v="18666.396593673962"/>
  </r>
  <r>
    <x v="14"/>
    <x v="241"/>
    <x v="291"/>
    <x v="0"/>
    <x v="2"/>
    <n v="2"/>
    <x v="0"/>
    <n v="14500"/>
    <n v="68.900000000000006"/>
    <n v="900"/>
    <n v="150"/>
    <n v="750"/>
    <n v="0.92"/>
    <x v="0"/>
    <n v="1033.779399837794"/>
    <n v="12405.352798053529"/>
    <n v="28705.352798053529"/>
  </r>
  <r>
    <x v="0"/>
    <x v="242"/>
    <x v="292"/>
    <x v="1"/>
    <x v="2"/>
    <n v="2"/>
    <x v="0"/>
    <n v="45000"/>
    <n v="71.2"/>
    <n v="1600"/>
    <n v="160"/>
    <n v="1500"/>
    <n v="1"/>
    <x v="0"/>
    <n v="1068.2887266828873"/>
    <n v="12819.464720194646"/>
    <n v="61079.46472019465"/>
  </r>
  <r>
    <x v="1"/>
    <x v="22"/>
    <x v="293"/>
    <x v="0"/>
    <x v="2"/>
    <n v="1"/>
    <x v="1"/>
    <n v="33000"/>
    <n v="68.900000000000006"/>
    <n v="1100"/>
    <n v="485"/>
    <n v="800"/>
    <n v="0.79"/>
    <x v="0"/>
    <n v="1033.779399837794"/>
    <n v="12405.352798053529"/>
    <n v="47790.352798053529"/>
  </r>
  <r>
    <x v="9"/>
    <x v="159"/>
    <x v="294"/>
    <x v="14"/>
    <x v="2"/>
    <n v="2"/>
    <x v="0"/>
    <n v="1500"/>
    <n v="108.9"/>
    <n v="1400"/>
    <n v="140"/>
    <n v="1200"/>
    <n v="0.89"/>
    <x v="0"/>
    <n v="1633.9416058394161"/>
    <n v="19607.299270072992"/>
    <n v="23847.299270072992"/>
  </r>
  <r>
    <x v="8"/>
    <x v="153"/>
    <x v="166"/>
    <x v="0"/>
    <x v="2"/>
    <n v="2"/>
    <x v="0"/>
    <n v="4000"/>
    <n v="70.2"/>
    <n v="1000"/>
    <n v="99"/>
    <n v="850"/>
    <n v="0.92"/>
    <x v="0"/>
    <n v="1053.2846715328469"/>
    <n v="12639.416058394163"/>
    <n v="18588.416058394163"/>
  </r>
  <r>
    <x v="14"/>
    <x v="243"/>
    <x v="295"/>
    <x v="1"/>
    <x v="1"/>
    <n v="4"/>
    <x v="4"/>
    <n v="14000"/>
    <n v="67.5"/>
    <n v="850"/>
    <n v="150"/>
    <n v="750"/>
    <n v="0.92"/>
    <x v="0"/>
    <n v="1012.7737226277372"/>
    <n v="12153.284671532847"/>
    <n v="27903.284671532849"/>
  </r>
  <r>
    <x v="0"/>
    <x v="96"/>
    <x v="99"/>
    <x v="0"/>
    <x v="0"/>
    <n v="4"/>
    <x v="4"/>
    <n v="48000"/>
    <n v="72.3"/>
    <n v="1700"/>
    <n v="160"/>
    <n v="1500"/>
    <n v="1"/>
    <x v="0"/>
    <n v="1084.7931873479317"/>
    <n v="13017.51824817518"/>
    <n v="64377.518248175184"/>
  </r>
  <r>
    <x v="1"/>
    <x v="104"/>
    <x v="108"/>
    <x v="14"/>
    <x v="2"/>
    <n v="1"/>
    <x v="1"/>
    <n v="34000"/>
    <n v="64.5"/>
    <n v="950"/>
    <n v="485"/>
    <n v="800"/>
    <n v="0.79"/>
    <x v="0"/>
    <n v="967.7615571776156"/>
    <n v="11613.138686131388"/>
    <n v="47848.138686131388"/>
  </r>
  <r>
    <x v="9"/>
    <x v="160"/>
    <x v="173"/>
    <x v="0"/>
    <x v="2"/>
    <n v="2"/>
    <x v="0"/>
    <n v="1500"/>
    <n v="107.8"/>
    <n v="1300"/>
    <n v="140"/>
    <n v="1200"/>
    <n v="0.89"/>
    <x v="0"/>
    <n v="1617.4371451743714"/>
    <n v="19409.245742092455"/>
    <n v="23549.245742092455"/>
  </r>
  <r>
    <x v="8"/>
    <x v="148"/>
    <x v="161"/>
    <x v="1"/>
    <x v="2"/>
    <n v="2"/>
    <x v="0"/>
    <n v="4100"/>
    <n v="71.5"/>
    <n v="1100"/>
    <n v="99"/>
    <n v="850"/>
    <n v="0.92"/>
    <x v="0"/>
    <n v="1072.7899432278994"/>
    <n v="12873.479318734793"/>
    <n v="19022.479318734793"/>
  </r>
  <r>
    <x v="14"/>
    <x v="244"/>
    <x v="296"/>
    <x v="14"/>
    <x v="2"/>
    <n v="2"/>
    <x v="0"/>
    <n v="13800"/>
    <n v="66.7"/>
    <n v="800"/>
    <n v="150"/>
    <n v="750"/>
    <n v="0.92"/>
    <x v="0"/>
    <n v="1000.7704785077049"/>
    <n v="12009.245742092458"/>
    <n v="27509.245742092458"/>
  </r>
  <r>
    <x v="29"/>
    <x v="57"/>
    <x v="59"/>
    <x v="0"/>
    <x v="2"/>
    <n v="2"/>
    <x v="0"/>
    <n v="0"/>
    <n v="83.2"/>
    <n v="1400"/>
    <n v="275"/>
    <n v="700"/>
    <n v="10.45"/>
    <x v="1"/>
    <n v="1248.3373884833738"/>
    <n v="14980.048661800487"/>
    <n v="17355.048661800487"/>
  </r>
  <r>
    <x v="28"/>
    <x v="56"/>
    <x v="58"/>
    <x v="1"/>
    <x v="2"/>
    <n v="2"/>
    <x v="0"/>
    <n v="0"/>
    <n v="79.400000000000006"/>
    <n v="1200"/>
    <n v="350"/>
    <n v="650"/>
    <n v="0.92"/>
    <x v="0"/>
    <n v="1191.3219789132199"/>
    <n v="14295.863746958639"/>
    <n v="16495.863746958639"/>
  </r>
  <r>
    <x v="4"/>
    <x v="52"/>
    <x v="297"/>
    <x v="4"/>
    <x v="2"/>
    <n v="2"/>
    <x v="0"/>
    <n v="0"/>
    <n v="68.900000000000006"/>
    <n v="1100"/>
    <n v="110"/>
    <n v="900"/>
    <n v="0.92"/>
    <x v="0"/>
    <n v="1033.779399837794"/>
    <n v="12405.352798053529"/>
    <n v="14515.352798053529"/>
  </r>
  <r>
    <x v="11"/>
    <x v="11"/>
    <x v="11"/>
    <x v="9"/>
    <x v="0"/>
    <n v="4"/>
    <x v="4"/>
    <n v="0"/>
    <n v="82.1"/>
    <n v="1500"/>
    <n v="450"/>
    <n v="800"/>
    <n v="7.45"/>
    <x v="1"/>
    <n v="1231.8329278183292"/>
    <n v="14781.99513381995"/>
    <n v="17531.99513381995"/>
  </r>
  <r>
    <x v="29"/>
    <x v="245"/>
    <x v="298"/>
    <x v="30"/>
    <x v="2"/>
    <n v="2"/>
    <x v="0"/>
    <n v="0"/>
    <n v="75.599999999999994"/>
    <n v="1100"/>
    <n v="275"/>
    <n v="700"/>
    <n v="10.45"/>
    <x v="1"/>
    <n v="1134.3065693430656"/>
    <n v="13611.678832116788"/>
    <n v="15686.678832116788"/>
  </r>
  <r>
    <x v="28"/>
    <x v="246"/>
    <x v="299"/>
    <x v="12"/>
    <x v="1"/>
    <n v="3"/>
    <x v="5"/>
    <n v="0"/>
    <n v="77.8"/>
    <n v="1000"/>
    <n v="350"/>
    <n v="650"/>
    <n v="0.92"/>
    <x v="0"/>
    <n v="1167.315490673155"/>
    <n v="14007.785888077859"/>
    <n v="16007.785888077859"/>
  </r>
  <r>
    <x v="4"/>
    <x v="4"/>
    <x v="300"/>
    <x v="22"/>
    <x v="0"/>
    <n v="4"/>
    <x v="4"/>
    <n v="0"/>
    <n v="71.5"/>
    <n v="1300"/>
    <n v="110"/>
    <n v="900"/>
    <n v="0.92"/>
    <x v="0"/>
    <n v="1072.7899432278994"/>
    <n v="12873.479318734793"/>
    <n v="15183.479318734793"/>
  </r>
  <r>
    <x v="11"/>
    <x v="164"/>
    <x v="178"/>
    <x v="14"/>
    <x v="2"/>
    <n v="2"/>
    <x v="0"/>
    <n v="0"/>
    <n v="76.5"/>
    <n v="1200"/>
    <n v="450"/>
    <n v="800"/>
    <n v="7.45"/>
    <x v="1"/>
    <n v="1147.8102189781023"/>
    <n v="13773.722627737228"/>
    <n v="16223.722627737228"/>
  </r>
  <r>
    <x v="29"/>
    <x v="247"/>
    <x v="301"/>
    <x v="6"/>
    <x v="2"/>
    <n v="2"/>
    <x v="0"/>
    <n v="0"/>
    <n v="74.3"/>
    <n v="1200"/>
    <n v="275"/>
    <n v="700"/>
    <n v="10.45"/>
    <x v="1"/>
    <n v="1114.8012976480129"/>
    <n v="13377.615571776154"/>
    <n v="15552.615571776154"/>
  </r>
  <r>
    <x v="28"/>
    <x v="248"/>
    <x v="302"/>
    <x v="39"/>
    <x v="2"/>
    <n v="2"/>
    <x v="0"/>
    <n v="0"/>
    <n v="72.099999999999994"/>
    <n v="900"/>
    <n v="350"/>
    <n v="650"/>
    <n v="0.92"/>
    <x v="0"/>
    <n v="1081.7923763179238"/>
    <n v="12981.508515815085"/>
    <n v="14881.508515815085"/>
  </r>
  <r>
    <x v="4"/>
    <x v="78"/>
    <x v="81"/>
    <x v="0"/>
    <x v="1"/>
    <n v="3"/>
    <x v="5"/>
    <n v="0"/>
    <n v="65.400000000000006"/>
    <n v="900"/>
    <n v="110"/>
    <n v="900"/>
    <n v="0.92"/>
    <x v="0"/>
    <n v="981.26520681265208"/>
    <n v="11775.182481751825"/>
    <n v="13685.182481751825"/>
  </r>
  <r>
    <x v="11"/>
    <x v="249"/>
    <x v="303"/>
    <x v="68"/>
    <x v="2"/>
    <n v="2"/>
    <x v="0"/>
    <n v="0"/>
    <n v="73.2"/>
    <n v="1100"/>
    <n v="450"/>
    <n v="800"/>
    <n v="7.45"/>
    <x v="1"/>
    <n v="1098.2968369829684"/>
    <n v="13179.56204379562"/>
    <n v="15529.56204379562"/>
  </r>
  <r>
    <x v="29"/>
    <x v="250"/>
    <x v="304"/>
    <x v="69"/>
    <x v="0"/>
    <n v="4"/>
    <x v="4"/>
    <n v="0"/>
    <n v="71.2"/>
    <n v="1000"/>
    <n v="275"/>
    <n v="700"/>
    <n v="10.45"/>
    <x v="1"/>
    <n v="1068.2887266828873"/>
    <n v="12819.464720194646"/>
    <n v="14794.464720194646"/>
  </r>
  <r>
    <x v="28"/>
    <x v="251"/>
    <x v="305"/>
    <x v="11"/>
    <x v="2"/>
    <n v="2"/>
    <x v="0"/>
    <n v="0"/>
    <n v="71.8"/>
    <n v="850"/>
    <n v="350"/>
    <n v="650"/>
    <n v="0.92"/>
    <x v="0"/>
    <n v="1077.2911597729117"/>
    <n v="12927.49391727494"/>
    <n v="14777.49391727494"/>
  </r>
  <r>
    <x v="4"/>
    <x v="80"/>
    <x v="83"/>
    <x v="27"/>
    <x v="2"/>
    <n v="2"/>
    <x v="0"/>
    <n v="0"/>
    <n v="69.8"/>
    <n v="1200"/>
    <n v="110"/>
    <n v="900"/>
    <n v="0.92"/>
    <x v="0"/>
    <n v="1047.2830494728303"/>
    <n v="12567.396593673962"/>
    <n v="14777.396593673962"/>
  </r>
  <r>
    <x v="11"/>
    <x v="43"/>
    <x v="45"/>
    <x v="70"/>
    <x v="1"/>
    <n v="3"/>
    <x v="5"/>
    <n v="0"/>
    <n v="71.5"/>
    <n v="1000"/>
    <n v="450"/>
    <n v="800"/>
    <n v="7.45"/>
    <x v="1"/>
    <n v="1072.7899432278994"/>
    <n v="12873.479318734793"/>
    <n v="15123.479318734793"/>
  </r>
  <r>
    <x v="29"/>
    <x v="252"/>
    <x v="306"/>
    <x v="71"/>
    <x v="2"/>
    <n v="2"/>
    <x v="0"/>
    <n v="0"/>
    <n v="72.400000000000006"/>
    <n v="1100"/>
    <n v="275"/>
    <n v="700"/>
    <n v="10.45"/>
    <x v="1"/>
    <n v="1086.2935928629361"/>
    <n v="13035.523114355234"/>
    <n v="15110.523114355234"/>
  </r>
  <r>
    <x v="28"/>
    <x v="253"/>
    <x v="307"/>
    <x v="0"/>
    <x v="0"/>
    <n v="4"/>
    <x v="4"/>
    <n v="0"/>
    <n v="70.2"/>
    <n v="800"/>
    <n v="350"/>
    <n v="650"/>
    <n v="0.92"/>
    <x v="0"/>
    <n v="1053.2846715328469"/>
    <n v="12639.416058394163"/>
    <n v="14439.416058394163"/>
  </r>
  <r>
    <x v="4"/>
    <x v="79"/>
    <x v="82"/>
    <x v="19"/>
    <x v="2"/>
    <n v="2"/>
    <x v="0"/>
    <n v="0"/>
    <n v="68.7"/>
    <n v="1100"/>
    <n v="110"/>
    <n v="900"/>
    <n v="0.92"/>
    <x v="0"/>
    <n v="1030.7785888077858"/>
    <n v="12369.343065693429"/>
    <n v="14479.343065693429"/>
  </r>
  <r>
    <x v="11"/>
    <x v="254"/>
    <x v="308"/>
    <x v="38"/>
    <x v="2"/>
    <n v="2"/>
    <x v="0"/>
    <n v="0"/>
    <n v="70.8"/>
    <n v="1000"/>
    <n v="450"/>
    <n v="800"/>
    <n v="7.45"/>
    <x v="1"/>
    <n v="1062.2871046228711"/>
    <n v="12747.445255474453"/>
    <n v="14997.445255474453"/>
  </r>
  <r>
    <x v="29"/>
    <x v="255"/>
    <x v="309"/>
    <x v="68"/>
    <x v="2"/>
    <n v="2"/>
    <x v="0"/>
    <n v="0"/>
    <n v="70.5"/>
    <n v="900"/>
    <n v="275"/>
    <n v="700"/>
    <n v="10.45"/>
    <x v="1"/>
    <n v="1057.7858880778588"/>
    <n v="12693.430656934306"/>
    <n v="14568.430656934306"/>
  </r>
  <r>
    <x v="28"/>
    <x v="256"/>
    <x v="310"/>
    <x v="72"/>
    <x v="2"/>
    <n v="2"/>
    <x v="0"/>
    <n v="0"/>
    <n v="69.8"/>
    <n v="800"/>
    <n v="350"/>
    <n v="650"/>
    <n v="0.92"/>
    <x v="0"/>
    <n v="1047.2830494728303"/>
    <n v="12567.396593673962"/>
    <n v="14367.396593673962"/>
  </r>
  <r>
    <x v="4"/>
    <x v="82"/>
    <x v="85"/>
    <x v="73"/>
    <x v="0"/>
    <n v="4"/>
    <x v="4"/>
    <n v="0"/>
    <n v="67.900000000000006"/>
    <n v="1000"/>
    <n v="110"/>
    <n v="900"/>
    <n v="0.92"/>
    <x v="0"/>
    <n v="1018.7753446877535"/>
    <n v="12225.304136253042"/>
    <n v="14235.304136253042"/>
  </r>
  <r>
    <x v="11"/>
    <x v="257"/>
    <x v="311"/>
    <x v="74"/>
    <x v="2"/>
    <n v="2"/>
    <x v="0"/>
    <n v="0"/>
    <n v="81.2"/>
    <n v="1400"/>
    <n v="450"/>
    <n v="800"/>
    <n v="7.45"/>
    <x v="1"/>
    <n v="1218.3292781832929"/>
    <n v="14619.951338199515"/>
    <n v="17269.951338199513"/>
  </r>
  <r>
    <x v="29"/>
    <x v="258"/>
    <x v="312"/>
    <x v="16"/>
    <x v="1"/>
    <n v="3"/>
    <x v="5"/>
    <n v="0"/>
    <n v="69.400000000000006"/>
    <n v="850"/>
    <n v="275"/>
    <n v="700"/>
    <n v="10.45"/>
    <x v="1"/>
    <n v="1041.2814274128143"/>
    <n v="12495.377128953773"/>
    <n v="14320.377128953773"/>
  </r>
  <r>
    <x v="28"/>
    <x v="259"/>
    <x v="313"/>
    <x v="1"/>
    <x v="2"/>
    <n v="2"/>
    <x v="0"/>
    <n v="0"/>
    <n v="68.7"/>
    <n v="750"/>
    <n v="350"/>
    <n v="650"/>
    <n v="0.92"/>
    <x v="0"/>
    <n v="1030.7785888077858"/>
    <n v="12369.343065693429"/>
    <n v="14119.343065693429"/>
  </r>
  <r>
    <x v="4"/>
    <x v="83"/>
    <x v="86"/>
    <x v="12"/>
    <x v="2"/>
    <n v="2"/>
    <x v="0"/>
    <n v="0"/>
    <n v="66.8"/>
    <n v="950"/>
    <n v="110"/>
    <n v="900"/>
    <n v="0.92"/>
    <x v="0"/>
    <n v="1002.2708840227087"/>
    <n v="12027.250608272505"/>
    <n v="13987.250608272505"/>
  </r>
  <r>
    <x v="11"/>
    <x v="260"/>
    <x v="303"/>
    <x v="39"/>
    <x v="0"/>
    <n v="4"/>
    <x v="4"/>
    <n v="0"/>
    <n v="69.5"/>
    <n v="900"/>
    <n v="450"/>
    <n v="800"/>
    <n v="7.45"/>
    <x v="1"/>
    <n v="1042.7818329278184"/>
    <n v="12513.381995133821"/>
    <n v="14663.381995133821"/>
  </r>
  <r>
    <x v="29"/>
    <x v="261"/>
    <x v="314"/>
    <x v="65"/>
    <x v="2"/>
    <n v="2"/>
    <x v="0"/>
    <n v="0"/>
    <n v="68.900000000000006"/>
    <n v="800"/>
    <n v="275"/>
    <n v="700"/>
    <n v="10.45"/>
    <x v="1"/>
    <n v="1033.779399837794"/>
    <n v="12405.352798053529"/>
    <n v="14180.352798053529"/>
  </r>
  <r>
    <x v="28"/>
    <x v="262"/>
    <x v="315"/>
    <x v="20"/>
    <x v="2"/>
    <n v="2"/>
    <x v="0"/>
    <n v="0"/>
    <n v="67.5"/>
    <n v="700"/>
    <n v="350"/>
    <n v="650"/>
    <n v="0.92"/>
    <x v="0"/>
    <n v="1012.7737226277372"/>
    <n v="12153.284671532847"/>
    <n v="13853.284671532847"/>
  </r>
  <r>
    <x v="4"/>
    <x v="263"/>
    <x v="316"/>
    <x v="30"/>
    <x v="2"/>
    <n v="2"/>
    <x v="0"/>
    <n v="0"/>
    <n v="66.5"/>
    <n v="900"/>
    <n v="110"/>
    <n v="900"/>
    <n v="0.92"/>
    <x v="0"/>
    <n v="997.76966747769666"/>
    <n v="11973.23600973236"/>
    <n v="13883.23600973236"/>
  </r>
  <r>
    <x v="11"/>
    <x v="264"/>
    <x v="303"/>
    <x v="75"/>
    <x v="2"/>
    <n v="2"/>
    <x v="0"/>
    <n v="0"/>
    <n v="68.400000000000006"/>
    <n v="850"/>
    <n v="450"/>
    <n v="800"/>
    <n v="7.45"/>
    <x v="1"/>
    <n v="1026.277372262774"/>
    <n v="12315.328467153287"/>
    <n v="14415.328467153287"/>
  </r>
  <r>
    <x v="29"/>
    <x v="265"/>
    <x v="317"/>
    <x v="76"/>
    <x v="0"/>
    <n v="4"/>
    <x v="4"/>
    <n v="0"/>
    <n v="67.8"/>
    <n v="850"/>
    <n v="275"/>
    <n v="700"/>
    <n v="10.45"/>
    <x v="1"/>
    <n v="1017.2749391727493"/>
    <n v="12207.299270072992"/>
    <n v="14032.299270072992"/>
  </r>
  <r>
    <x v="28"/>
    <x v="266"/>
    <x v="318"/>
    <x v="38"/>
    <x v="1"/>
    <n v="3"/>
    <x v="5"/>
    <n v="0"/>
    <n v="66.900000000000006"/>
    <n v="700"/>
    <n v="350"/>
    <n v="650"/>
    <n v="0.92"/>
    <x v="0"/>
    <n v="1003.7712895377128"/>
    <n v="12045.255474452555"/>
    <n v="13745.255474452555"/>
  </r>
  <r>
    <x v="4"/>
    <x v="81"/>
    <x v="84"/>
    <x v="77"/>
    <x v="2"/>
    <n v="2"/>
    <x v="0"/>
    <n v="0"/>
    <n v="68.900000000000006"/>
    <n v="1000"/>
    <n v="110"/>
    <n v="900"/>
    <n v="0.92"/>
    <x v="0"/>
    <n v="1033.779399837794"/>
    <n v="12405.352798053529"/>
    <n v="14415.352798053529"/>
  </r>
  <r>
    <x v="11"/>
    <x v="267"/>
    <x v="11"/>
    <x v="11"/>
    <x v="2"/>
    <n v="2"/>
    <x v="0"/>
    <n v="0"/>
    <n v="67.5"/>
    <n v="900"/>
    <n v="450"/>
    <n v="800"/>
    <n v="7.45"/>
    <x v="1"/>
    <n v="1012.7737226277372"/>
    <n v="12153.284671532847"/>
    <n v="14303.284671532847"/>
  </r>
  <r>
    <x v="29"/>
    <x v="268"/>
    <x v="319"/>
    <x v="78"/>
    <x v="2"/>
    <n v="2"/>
    <x v="0"/>
    <n v="0"/>
    <n v="66.7"/>
    <n v="800"/>
    <n v="275"/>
    <n v="700"/>
    <n v="10.45"/>
    <x v="1"/>
    <n v="1000.7704785077049"/>
    <n v="12009.245742092458"/>
    <n v="13784.245742092458"/>
  </r>
  <r>
    <x v="28"/>
    <x v="269"/>
    <x v="318"/>
    <x v="79"/>
    <x v="0"/>
    <n v="4"/>
    <x v="4"/>
    <n v="0"/>
    <n v="65.8"/>
    <n v="650"/>
    <n v="350"/>
    <n v="650"/>
    <n v="0.92"/>
    <x v="0"/>
    <n v="987.26682887266816"/>
    <n v="11847.201946472018"/>
    <n v="13497.201946472018"/>
  </r>
  <r>
    <x v="4"/>
    <x v="85"/>
    <x v="88"/>
    <x v="80"/>
    <x v="2"/>
    <n v="2"/>
    <x v="0"/>
    <n v="0"/>
    <n v="65.400000000000006"/>
    <n v="850"/>
    <n v="110"/>
    <n v="900"/>
    <n v="0.92"/>
    <x v="0"/>
    <n v="981.26520681265208"/>
    <n v="11775.182481751825"/>
    <n v="13635.182481751825"/>
  </r>
  <r>
    <x v="11"/>
    <x v="270"/>
    <x v="178"/>
    <x v="81"/>
    <x v="2"/>
    <n v="2"/>
    <x v="0"/>
    <n v="0"/>
    <n v="66.2"/>
    <n v="800"/>
    <n v="450"/>
    <n v="800"/>
    <n v="7.45"/>
    <x v="1"/>
    <n v="993.26845093268469"/>
    <n v="11919.221411192217"/>
    <n v="13969.221411192217"/>
  </r>
  <r>
    <x v="15"/>
    <x v="16"/>
    <x v="16"/>
    <x v="0"/>
    <x v="2"/>
    <n v="2"/>
    <x v="0"/>
    <n v="32000"/>
    <n v="79.5"/>
    <n v="1200"/>
    <n v="330"/>
    <n v="600"/>
    <n v="1.65"/>
    <x v="0"/>
    <n v="1192.8223844282238"/>
    <n v="14313.868613138686"/>
    <n v="48443.868613138686"/>
  </r>
  <r>
    <x v="0"/>
    <x v="30"/>
    <x v="282"/>
    <x v="1"/>
    <x v="2"/>
    <n v="2"/>
    <x v="0"/>
    <n v="54000"/>
    <n v="82.1"/>
    <n v="2000"/>
    <n v="160"/>
    <n v="1500"/>
    <n v="1"/>
    <x v="0"/>
    <n v="1231.8329278183292"/>
    <n v="14781.99513381995"/>
    <n v="72441.995133819946"/>
  </r>
  <r>
    <x v="10"/>
    <x v="10"/>
    <x v="10"/>
    <x v="82"/>
    <x v="2"/>
    <n v="2"/>
    <x v="0"/>
    <n v="0"/>
    <n v="78.400000000000006"/>
    <n v="1100"/>
    <n v="120"/>
    <n v="750"/>
    <n v="10.45"/>
    <x v="1"/>
    <n v="1176.3179237631794"/>
    <n v="14115.815085158152"/>
    <n v="16085.815085158152"/>
  </r>
  <r>
    <x v="6"/>
    <x v="6"/>
    <x v="6"/>
    <x v="6"/>
    <x v="0"/>
    <n v="4"/>
    <x v="4"/>
    <n v="15000"/>
    <n v="81.2"/>
    <n v="1300"/>
    <n v="171"/>
    <n v="720"/>
    <n v="0.92"/>
    <x v="0"/>
    <n v="1218.3292781832929"/>
    <n v="14619.951338199515"/>
    <n v="31810.951338199513"/>
  </r>
  <r>
    <x v="19"/>
    <x v="25"/>
    <x v="25"/>
    <x v="12"/>
    <x v="2"/>
    <n v="2"/>
    <x v="0"/>
    <n v="7000"/>
    <n v="65.8"/>
    <n v="800"/>
    <n v="75"/>
    <n v="400"/>
    <n v="0.92"/>
    <x v="0"/>
    <n v="987.26682887266816"/>
    <n v="11847.201946472018"/>
    <n v="20122.201946472018"/>
  </r>
  <r>
    <x v="15"/>
    <x v="271"/>
    <x v="320"/>
    <x v="14"/>
    <x v="2"/>
    <n v="2"/>
    <x v="0"/>
    <n v="30000"/>
    <n v="75.599999999999994"/>
    <n v="1100"/>
    <n v="330"/>
    <n v="600"/>
    <n v="1.65"/>
    <x v="0"/>
    <n v="1134.3065693430656"/>
    <n v="13611.678832116788"/>
    <n v="45641.678832116784"/>
  </r>
  <r>
    <x v="0"/>
    <x v="21"/>
    <x v="21"/>
    <x v="30"/>
    <x v="0"/>
    <n v="5"/>
    <x v="6"/>
    <n v="48000"/>
    <n v="68.900000000000006"/>
    <n v="1600"/>
    <n v="160"/>
    <n v="1500"/>
    <n v="1"/>
    <x v="0"/>
    <n v="1033.779399837794"/>
    <n v="12405.352798053529"/>
    <n v="63665.352798053529"/>
  </r>
  <r>
    <x v="10"/>
    <x v="272"/>
    <x v="321"/>
    <x v="22"/>
    <x v="1"/>
    <n v="3"/>
    <x v="5"/>
    <n v="0"/>
    <n v="72.3"/>
    <n v="900"/>
    <n v="120"/>
    <n v="750"/>
    <n v="10.45"/>
    <x v="1"/>
    <n v="1084.7931873479317"/>
    <n v="13017.51824817518"/>
    <n v="14787.51824817518"/>
  </r>
  <r>
    <x v="6"/>
    <x v="55"/>
    <x v="57"/>
    <x v="2"/>
    <x v="2"/>
    <n v="2"/>
    <x v="0"/>
    <n v="14500"/>
    <n v="77.8"/>
    <n v="1200"/>
    <n v="171"/>
    <n v="720"/>
    <n v="0.92"/>
    <x v="0"/>
    <n v="1167.315490673155"/>
    <n v="14007.785888077859"/>
    <n v="30598.785888077859"/>
  </r>
  <r>
    <x v="19"/>
    <x v="273"/>
    <x v="322"/>
    <x v="39"/>
    <x v="2"/>
    <n v="2"/>
    <x v="0"/>
    <n v="6500"/>
    <n v="62.4"/>
    <n v="700"/>
    <n v="75"/>
    <n v="400"/>
    <n v="0.92"/>
    <x v="0"/>
    <n v="936.25304136253055"/>
    <n v="11235.036496350367"/>
    <n v="18910.036496350367"/>
  </r>
  <r>
    <x v="15"/>
    <x v="274"/>
    <x v="323"/>
    <x v="4"/>
    <x v="0"/>
    <n v="4"/>
    <x v="4"/>
    <n v="31000"/>
    <n v="72.400000000000006"/>
    <n v="950"/>
    <n v="330"/>
    <n v="600"/>
    <n v="1.65"/>
    <x v="0"/>
    <n v="1086.2935928629361"/>
    <n v="13035.523114355234"/>
    <n v="45915.523114355237"/>
  </r>
  <r>
    <x v="0"/>
    <x v="38"/>
    <x v="40"/>
    <x v="68"/>
    <x v="2"/>
    <n v="2"/>
    <x v="0"/>
    <n v="49000"/>
    <n v="75.599999999999994"/>
    <n v="1900"/>
    <n v="160"/>
    <n v="1500"/>
    <n v="1"/>
    <x v="0"/>
    <n v="1134.3065693430656"/>
    <n v="13611.678832116788"/>
    <n v="66171.678832116784"/>
  </r>
  <r>
    <x v="10"/>
    <x v="275"/>
    <x v="324"/>
    <x v="83"/>
    <x v="2"/>
    <n v="2"/>
    <x v="0"/>
    <n v="0"/>
    <n v="71.2"/>
    <n v="950"/>
    <n v="120"/>
    <n v="750"/>
    <n v="10.45"/>
    <x v="1"/>
    <n v="1068.2887266828873"/>
    <n v="12819.464720194646"/>
    <n v="14639.464720194646"/>
  </r>
  <r>
    <x v="6"/>
    <x v="34"/>
    <x v="35"/>
    <x v="0"/>
    <x v="2"/>
    <n v="2"/>
    <x v="0"/>
    <n v="15500"/>
    <n v="76.5"/>
    <n v="1100"/>
    <n v="171"/>
    <n v="720"/>
    <n v="0.92"/>
    <x v="0"/>
    <n v="1147.8102189781023"/>
    <n v="13773.722627737228"/>
    <n v="31264.722627737228"/>
  </r>
  <r>
    <x v="19"/>
    <x v="276"/>
    <x v="325"/>
    <x v="1"/>
    <x v="1"/>
    <n v="3"/>
    <x v="5"/>
    <n v="6000"/>
    <n v="58.9"/>
    <n v="600"/>
    <n v="75"/>
    <n v="400"/>
    <n v="0.92"/>
    <x v="0"/>
    <n v="883.7388483373885"/>
    <n v="10604.866180048662"/>
    <n v="17679.866180048662"/>
  </r>
  <r>
    <x v="15"/>
    <x v="277"/>
    <x v="326"/>
    <x v="40"/>
    <x v="2"/>
    <n v="2"/>
    <x v="0"/>
    <n v="29000"/>
    <n v="70.2"/>
    <n v="900"/>
    <n v="330"/>
    <n v="600"/>
    <n v="1.65"/>
    <x v="0"/>
    <n v="1053.2846715328469"/>
    <n v="12639.416058394163"/>
    <n v="43469.416058394163"/>
  </r>
  <r>
    <x v="0"/>
    <x v="39"/>
    <x v="41"/>
    <x v="12"/>
    <x v="2"/>
    <n v="2"/>
    <x v="0"/>
    <n v="51000"/>
    <n v="77.8"/>
    <n v="2100"/>
    <n v="160"/>
    <n v="1500"/>
    <n v="1"/>
    <x v="0"/>
    <n v="1167.315490673155"/>
    <n v="14007.785888077859"/>
    <n v="68767.785888077866"/>
  </r>
  <r>
    <x v="10"/>
    <x v="37"/>
    <x v="39"/>
    <x v="9"/>
    <x v="0"/>
    <n v="4"/>
    <x v="4"/>
    <n v="0"/>
    <n v="73.400000000000006"/>
    <n v="1000"/>
    <n v="120"/>
    <n v="750"/>
    <n v="10.45"/>
    <x v="1"/>
    <n v="1101.2976480129764"/>
    <n v="13215.571776155717"/>
    <n v="15085.571776155717"/>
  </r>
  <r>
    <x v="6"/>
    <x v="136"/>
    <x v="141"/>
    <x v="6"/>
    <x v="2"/>
    <n v="2"/>
    <x v="0"/>
    <n v="14800"/>
    <n v="72.3"/>
    <n v="950"/>
    <n v="171"/>
    <n v="720"/>
    <n v="0.92"/>
    <x v="0"/>
    <n v="1084.7931873479317"/>
    <n v="13017.51824817518"/>
    <n v="29658.51824817518"/>
  </r>
  <r>
    <x v="19"/>
    <x v="278"/>
    <x v="327"/>
    <x v="0"/>
    <x v="2"/>
    <n v="2"/>
    <x v="0"/>
    <n v="6200"/>
    <n v="57.8"/>
    <n v="550"/>
    <n v="75"/>
    <n v="400"/>
    <n v="0.92"/>
    <x v="0"/>
    <n v="867.23438767234393"/>
    <n v="10406.812652068127"/>
    <n v="17631.812652068125"/>
  </r>
  <r>
    <x v="15"/>
    <x v="106"/>
    <x v="328"/>
    <x v="38"/>
    <x v="2"/>
    <n v="2"/>
    <x v="0"/>
    <n v="28500"/>
    <n v="68.900000000000006"/>
    <n v="850"/>
    <n v="330"/>
    <n v="600"/>
    <n v="1.65"/>
    <x v="0"/>
    <n v="1033.779399837794"/>
    <n v="12405.352798053529"/>
    <n v="42685.352798053529"/>
  </r>
  <r>
    <x v="0"/>
    <x v="20"/>
    <x v="20"/>
    <x v="84"/>
    <x v="0"/>
    <n v="5"/>
    <x v="6"/>
    <n v="48000"/>
    <n v="71.2"/>
    <n v="1700"/>
    <n v="160"/>
    <n v="1500"/>
    <n v="1"/>
    <x v="0"/>
    <n v="1068.2887266828873"/>
    <n v="12819.464720194646"/>
    <n v="64179.46472019465"/>
  </r>
  <r>
    <x v="10"/>
    <x v="279"/>
    <x v="329"/>
    <x v="0"/>
    <x v="2"/>
    <n v="2"/>
    <x v="0"/>
    <n v="0"/>
    <n v="69.8"/>
    <n v="850"/>
    <n v="120"/>
    <n v="750"/>
    <n v="10.45"/>
    <x v="1"/>
    <n v="1047.2830494728303"/>
    <n v="12567.396593673962"/>
    <n v="14287.396593673962"/>
  </r>
  <r>
    <x v="6"/>
    <x v="142"/>
    <x v="147"/>
    <x v="1"/>
    <x v="1"/>
    <n v="3"/>
    <x v="5"/>
    <n v="13900"/>
    <n v="75.400000000000006"/>
    <n v="1100"/>
    <n v="171"/>
    <n v="720"/>
    <n v="0.92"/>
    <x v="0"/>
    <n v="1131.3057583130576"/>
    <n v="13575.669099756691"/>
    <n v="29466.669099756691"/>
  </r>
  <r>
    <x v="19"/>
    <x v="280"/>
    <x v="330"/>
    <x v="30"/>
    <x v="0"/>
    <n v="4"/>
    <x v="4"/>
    <n v="6800"/>
    <n v="56.7"/>
    <n v="500"/>
    <n v="75"/>
    <n v="400"/>
    <n v="0.92"/>
    <x v="0"/>
    <n v="850.72992700729935"/>
    <n v="10208.759124087592"/>
    <n v="17983.759124087592"/>
  </r>
  <r>
    <x v="15"/>
    <x v="281"/>
    <x v="331"/>
    <x v="12"/>
    <x v="1"/>
    <n v="3"/>
    <x v="5"/>
    <n v="27500"/>
    <n v="67.5"/>
    <n v="800"/>
    <n v="330"/>
    <n v="600"/>
    <n v="1.65"/>
    <x v="0"/>
    <n v="1012.7737226277372"/>
    <n v="12153.284671532847"/>
    <n v="41383.284671532849"/>
  </r>
  <r>
    <x v="0"/>
    <x v="116"/>
    <x v="121"/>
    <x v="39"/>
    <x v="2"/>
    <n v="2"/>
    <x v="0"/>
    <n v="56000"/>
    <n v="65.400000000000006"/>
    <n v="1500"/>
    <n v="160"/>
    <n v="1500"/>
    <n v="1"/>
    <x v="0"/>
    <n v="981.26520681265208"/>
    <n v="11775.182481751825"/>
    <n v="70935.182481751821"/>
  </r>
  <r>
    <x v="10"/>
    <x v="282"/>
    <x v="332"/>
    <x v="6"/>
    <x v="2"/>
    <n v="2"/>
    <x v="0"/>
    <n v="0"/>
    <n v="68.5"/>
    <n v="800"/>
    <n v="120"/>
    <n v="750"/>
    <n v="10.45"/>
    <x v="1"/>
    <n v="1027.7777777777778"/>
    <n v="12333.333333333334"/>
    <n v="14003.333333333334"/>
  </r>
  <r>
    <x v="6"/>
    <x v="138"/>
    <x v="143"/>
    <x v="43"/>
    <x v="0"/>
    <n v="4"/>
    <x v="4"/>
    <n v="14200"/>
    <n v="71.2"/>
    <n v="900"/>
    <n v="171"/>
    <n v="720"/>
    <n v="0.92"/>
    <x v="0"/>
    <n v="1068.2887266828873"/>
    <n v="12819.464720194646"/>
    <n v="28810.464720194646"/>
  </r>
  <r>
    <x v="19"/>
    <x v="283"/>
    <x v="333"/>
    <x v="40"/>
    <x v="2"/>
    <n v="2"/>
    <x v="0"/>
    <n v="5900"/>
    <n v="55.4"/>
    <n v="480"/>
    <n v="75"/>
    <n v="400"/>
    <n v="0.92"/>
    <x v="0"/>
    <n v="831.22465531224657"/>
    <n v="9974.6958637469579"/>
    <n v="16829.695863746958"/>
  </r>
  <r>
    <x v="15"/>
    <x v="16"/>
    <x v="334"/>
    <x v="14"/>
    <x v="2"/>
    <n v="2"/>
    <x v="0"/>
    <n v="29500"/>
    <n v="79.5"/>
    <n v="1150"/>
    <n v="330"/>
    <n v="600"/>
    <n v="1.65"/>
    <x v="0"/>
    <n v="1192.8223844282238"/>
    <n v="14313.868613138686"/>
    <n v="45893.868613138686"/>
  </r>
  <r>
    <x v="0"/>
    <x v="186"/>
    <x v="214"/>
    <x v="0"/>
    <x v="2"/>
    <n v="2"/>
    <x v="0"/>
    <n v="47000"/>
    <n v="67.8"/>
    <n v="1400"/>
    <n v="160"/>
    <n v="1500"/>
    <n v="1"/>
    <x v="0"/>
    <n v="1017.2749391727493"/>
    <n v="12207.299270072992"/>
    <n v="62267.299270072996"/>
  </r>
  <r>
    <x v="10"/>
    <x v="284"/>
    <x v="335"/>
    <x v="40"/>
    <x v="1"/>
    <n v="3"/>
    <x v="5"/>
    <n v="0"/>
    <n v="67.2"/>
    <n v="750"/>
    <n v="120"/>
    <n v="750"/>
    <n v="10.45"/>
    <x v="1"/>
    <n v="1008.272506082725"/>
    <n v="12099.2700729927"/>
    <n v="13719.2700729927"/>
  </r>
  <r>
    <x v="6"/>
    <x v="141"/>
    <x v="146"/>
    <x v="1"/>
    <x v="2"/>
    <n v="2"/>
    <x v="0"/>
    <n v="14000"/>
    <n v="70.5"/>
    <n v="950"/>
    <n v="171"/>
    <n v="720"/>
    <n v="0.92"/>
    <x v="0"/>
    <n v="1057.7858880778588"/>
    <n v="12693.430656934306"/>
    <n v="28534.430656934306"/>
  </r>
  <r>
    <x v="19"/>
    <x v="285"/>
    <x v="336"/>
    <x v="12"/>
    <x v="2"/>
    <n v="2"/>
    <x v="0"/>
    <n v="5700"/>
    <n v="54.3"/>
    <n v="450"/>
    <n v="75"/>
    <n v="400"/>
    <n v="0.92"/>
    <x v="0"/>
    <n v="814.72019464720188"/>
    <n v="9776.6423357664225"/>
    <n v="16401.642335766424"/>
  </r>
  <r>
    <x v="15"/>
    <x v="274"/>
    <x v="337"/>
    <x v="85"/>
    <x v="0"/>
    <n v="4"/>
    <x v="4"/>
    <n v="28000"/>
    <n v="72.400000000000006"/>
    <n v="900"/>
    <n v="330"/>
    <n v="600"/>
    <n v="1.65"/>
    <x v="0"/>
    <n v="1086.2935928629361"/>
    <n v="13035.523114355234"/>
    <n v="42865.523114355237"/>
  </r>
  <r>
    <x v="0"/>
    <x v="97"/>
    <x v="100"/>
    <x v="1"/>
    <x v="2"/>
    <n v="2"/>
    <x v="0"/>
    <n v="48000"/>
    <n v="73.2"/>
    <n v="1600"/>
    <n v="160"/>
    <n v="1500"/>
    <n v="1"/>
    <x v="0"/>
    <n v="1098.2968369829684"/>
    <n v="13179.56204379562"/>
    <n v="64439.562043795624"/>
  </r>
  <r>
    <x v="10"/>
    <x v="286"/>
    <x v="338"/>
    <x v="39"/>
    <x v="2"/>
    <n v="2"/>
    <x v="0"/>
    <n v="0"/>
    <n v="66.5"/>
    <n v="700"/>
    <n v="120"/>
    <n v="750"/>
    <n v="10.45"/>
    <x v="1"/>
    <n v="997.76966747769666"/>
    <n v="11973.23600973236"/>
    <n v="13543.23600973236"/>
  </r>
  <r>
    <x v="6"/>
    <x v="144"/>
    <x v="149"/>
    <x v="11"/>
    <x v="2"/>
    <n v="2"/>
    <x v="0"/>
    <n v="14500"/>
    <n v="69.8"/>
    <n v="900"/>
    <n v="171"/>
    <n v="720"/>
    <n v="0.92"/>
    <x v="0"/>
    <n v="1047.2830494728303"/>
    <n v="12567.396593673962"/>
    <n v="28858.396593673962"/>
  </r>
  <r>
    <x v="19"/>
    <x v="287"/>
    <x v="339"/>
    <x v="86"/>
    <x v="1"/>
    <n v="3"/>
    <x v="5"/>
    <n v="5500"/>
    <n v="53.2"/>
    <n v="400"/>
    <n v="75"/>
    <n v="400"/>
    <n v="0.92"/>
    <x v="0"/>
    <n v="798.2157339821573"/>
    <n v="9578.5888077858872"/>
    <n v="15953.588807785887"/>
  </r>
  <r>
    <x v="26"/>
    <x v="288"/>
    <x v="340"/>
    <x v="0"/>
    <x v="2"/>
    <n v="2"/>
    <x v="0"/>
    <n v="3500"/>
    <n v="71.400000000000006"/>
    <n v="1100"/>
    <n v="80"/>
    <n v="750"/>
    <n v="0.92"/>
    <x v="0"/>
    <n v="1071.2895377128955"/>
    <n v="12855.474452554747"/>
    <n v="18285.474452554747"/>
  </r>
  <r>
    <x v="27"/>
    <x v="54"/>
    <x v="56"/>
    <x v="44"/>
    <x v="2"/>
    <n v="2"/>
    <x v="0"/>
    <n v="4000"/>
    <n v="73.2"/>
    <n v="1200"/>
    <n v="120"/>
    <n v="700"/>
    <n v="0.92"/>
    <x v="0"/>
    <n v="1098.2968369829684"/>
    <n v="13179.56204379562"/>
    <n v="19199.56204379562"/>
  </r>
  <r>
    <x v="34"/>
    <x v="123"/>
    <x v="128"/>
    <x v="27"/>
    <x v="0"/>
    <n v="4"/>
    <x v="4"/>
    <n v="0"/>
    <n v="65.8"/>
    <n v="650"/>
    <n v="100"/>
    <n v="600"/>
    <n v="0.92"/>
    <x v="0"/>
    <n v="987.26682887266816"/>
    <n v="11847.201946472018"/>
    <n v="13197.201946472018"/>
  </r>
  <r>
    <x v="16"/>
    <x v="17"/>
    <x v="341"/>
    <x v="39"/>
    <x v="2"/>
    <n v="2"/>
    <x v="0"/>
    <n v="1500"/>
    <n v="78.5"/>
    <n v="950"/>
    <n v="160"/>
    <n v="850"/>
    <n v="0.92"/>
    <x v="0"/>
    <n v="1177.8183292781832"/>
    <n v="14133.819951338199"/>
    <n v="17593.819951338199"/>
  </r>
  <r>
    <x v="33"/>
    <x v="122"/>
    <x v="127"/>
    <x v="12"/>
    <x v="1"/>
    <n v="4"/>
    <x v="4"/>
    <n v="800"/>
    <n v="52.4"/>
    <n v="600"/>
    <n v="40"/>
    <n v="400"/>
    <n v="17.05"/>
    <x v="1"/>
    <n v="786.21248986212493"/>
    <n v="9434.5498783454987"/>
    <n v="11274.549878345499"/>
  </r>
  <r>
    <x v="26"/>
    <x v="53"/>
    <x v="342"/>
    <x v="6"/>
    <x v="2"/>
    <n v="2"/>
    <x v="0"/>
    <n v="3800"/>
    <n v="73.599999999999994"/>
    <n v="1000"/>
    <n v="80"/>
    <n v="750"/>
    <n v="0.92"/>
    <x v="0"/>
    <n v="1104.2984590429846"/>
    <n v="13251.581508515816"/>
    <n v="18881.581508515817"/>
  </r>
  <r>
    <x v="27"/>
    <x v="289"/>
    <x v="343"/>
    <x v="30"/>
    <x v="0"/>
    <n v="4"/>
    <x v="4"/>
    <n v="3500"/>
    <n v="71.2"/>
    <n v="1100"/>
    <n v="120"/>
    <n v="700"/>
    <n v="0.92"/>
    <x v="0"/>
    <n v="1068.2887266828873"/>
    <n v="12819.464720194646"/>
    <n v="18239.464720194646"/>
  </r>
  <r>
    <x v="34"/>
    <x v="290"/>
    <x v="344"/>
    <x v="12"/>
    <x v="2"/>
    <n v="2"/>
    <x v="0"/>
    <n v="0"/>
    <n v="62.4"/>
    <n v="500"/>
    <n v="100"/>
    <n v="600"/>
    <n v="0.92"/>
    <x v="0"/>
    <n v="936.25304136253055"/>
    <n v="11235.036496350367"/>
    <n v="12435.036496350367"/>
  </r>
  <r>
    <x v="16"/>
    <x v="291"/>
    <x v="345"/>
    <x v="4"/>
    <x v="1"/>
    <n v="3"/>
    <x v="5"/>
    <n v="1500"/>
    <n v="71.2"/>
    <n v="750"/>
    <n v="160"/>
    <n v="850"/>
    <n v="0.92"/>
    <x v="0"/>
    <n v="1068.2887266828873"/>
    <n v="12819.464720194646"/>
    <n v="16079.464720194646"/>
  </r>
  <r>
    <x v="33"/>
    <x v="292"/>
    <x v="346"/>
    <x v="1"/>
    <x v="2"/>
    <n v="2"/>
    <x v="0"/>
    <n v="12000"/>
    <n v="48.9"/>
    <n v="700"/>
    <n v="40"/>
    <n v="400"/>
    <n v="17.05"/>
    <x v="1"/>
    <n v="733.69829683698299"/>
    <n v="8804.3795620437959"/>
    <n v="21944.379562043796"/>
  </r>
  <r>
    <x v="26"/>
    <x v="293"/>
    <x v="347"/>
    <x v="1"/>
    <x v="2"/>
    <n v="2"/>
    <x v="0"/>
    <n v="3200"/>
    <n v="68.5"/>
    <n v="800"/>
    <n v="80"/>
    <n v="750"/>
    <n v="0.92"/>
    <x v="0"/>
    <n v="1027.7777777777778"/>
    <n v="12333.333333333334"/>
    <n v="17163.333333333336"/>
  </r>
  <r>
    <x v="27"/>
    <x v="294"/>
    <x v="348"/>
    <x v="12"/>
    <x v="2"/>
    <n v="2"/>
    <x v="0"/>
    <n v="3800"/>
    <n v="69.8"/>
    <n v="900"/>
    <n v="120"/>
    <n v="700"/>
    <n v="0.92"/>
    <x v="0"/>
    <n v="1047.2830494728303"/>
    <n v="12567.396593673962"/>
    <n v="18087.396593673962"/>
  </r>
  <r>
    <x v="34"/>
    <x v="295"/>
    <x v="349"/>
    <x v="87"/>
    <x v="0"/>
    <n v="4"/>
    <x v="4"/>
    <n v="0"/>
    <n v="60.5"/>
    <n v="450"/>
    <n v="100"/>
    <n v="600"/>
    <n v="0.92"/>
    <x v="0"/>
    <n v="907.74533657745337"/>
    <n v="10892.94403892944"/>
    <n v="12042.94403892944"/>
  </r>
  <r>
    <x v="16"/>
    <x v="296"/>
    <x v="350"/>
    <x v="6"/>
    <x v="2"/>
    <n v="2"/>
    <x v="0"/>
    <n v="1500"/>
    <n v="70.400000000000006"/>
    <n v="700"/>
    <n v="160"/>
    <n v="850"/>
    <n v="0.92"/>
    <x v="0"/>
    <n v="1056.2854825628549"/>
    <n v="12675.42579075426"/>
    <n v="15885.42579075426"/>
  </r>
  <r>
    <x v="33"/>
    <x v="297"/>
    <x v="351"/>
    <x v="39"/>
    <x v="1"/>
    <n v="4"/>
    <x v="4"/>
    <n v="900"/>
    <n v="45.6"/>
    <n v="500"/>
    <n v="40"/>
    <n v="400"/>
    <n v="17.05"/>
    <x v="1"/>
    <n v="684.18491484184915"/>
    <n v="8210.2189781021898"/>
    <n v="10050.21897810219"/>
  </r>
  <r>
    <x v="26"/>
    <x v="298"/>
    <x v="352"/>
    <x v="30"/>
    <x v="2"/>
    <n v="2"/>
    <x v="0"/>
    <n v="3000"/>
    <n v="65.400000000000006"/>
    <n v="750"/>
    <n v="80"/>
    <n v="750"/>
    <n v="0.92"/>
    <x v="0"/>
    <n v="981.26520681265208"/>
    <n v="11775.182481751825"/>
    <n v="16355.182481751825"/>
  </r>
  <r>
    <x v="27"/>
    <x v="299"/>
    <x v="353"/>
    <x v="41"/>
    <x v="0"/>
    <n v="4"/>
    <x v="4"/>
    <n v="3600"/>
    <n v="70.5"/>
    <n v="950"/>
    <n v="120"/>
    <n v="700"/>
    <n v="0.92"/>
    <x v="0"/>
    <n v="1057.7858880778588"/>
    <n v="12693.430656934306"/>
    <n v="18063.430656934306"/>
  </r>
  <r>
    <x v="34"/>
    <x v="300"/>
    <x v="354"/>
    <x v="0"/>
    <x v="2"/>
    <n v="2"/>
    <x v="0"/>
    <n v="0"/>
    <n v="61.2"/>
    <n v="480"/>
    <n v="100"/>
    <n v="600"/>
    <n v="0.92"/>
    <x v="0"/>
    <n v="918.24817518248187"/>
    <n v="11018.978102189783"/>
    <n v="12198.978102189783"/>
  </r>
  <r>
    <x v="16"/>
    <x v="301"/>
    <x v="355"/>
    <x v="14"/>
    <x v="1"/>
    <n v="3"/>
    <x v="5"/>
    <n v="1500"/>
    <n v="72.3"/>
    <n v="800"/>
    <n v="160"/>
    <n v="850"/>
    <n v="0.92"/>
    <x v="0"/>
    <n v="1084.7931873479317"/>
    <n v="13017.51824817518"/>
    <n v="16327.51824817518"/>
  </r>
  <r>
    <x v="33"/>
    <x v="302"/>
    <x v="356"/>
    <x v="12"/>
    <x v="2"/>
    <n v="2"/>
    <x v="0"/>
    <n v="10000"/>
    <n v="44.5"/>
    <n v="450"/>
    <n v="40"/>
    <n v="400"/>
    <n v="17.05"/>
    <x v="1"/>
    <n v="667.68045417680446"/>
    <n v="8012.1654501216535"/>
    <n v="18902.165450121654"/>
  </r>
  <r>
    <x v="26"/>
    <x v="303"/>
    <x v="357"/>
    <x v="0"/>
    <x v="0"/>
    <n v="4"/>
    <x v="4"/>
    <n v="3400"/>
    <n v="67.8"/>
    <n v="850"/>
    <n v="80"/>
    <n v="750"/>
    <n v="0.92"/>
    <x v="0"/>
    <n v="1017.2749391727493"/>
    <n v="12207.299270072992"/>
    <n v="17287.299270072992"/>
  </r>
  <r>
    <x v="27"/>
    <x v="304"/>
    <x v="358"/>
    <x v="48"/>
    <x v="2"/>
    <n v="2"/>
    <x v="0"/>
    <n v="3500"/>
    <n v="71.2"/>
    <n v="1000"/>
    <n v="120"/>
    <n v="700"/>
    <n v="0.92"/>
    <x v="0"/>
    <n v="1068.2887266828873"/>
    <n v="12819.464720194646"/>
    <n v="18139.464720194646"/>
  </r>
  <r>
    <x v="34"/>
    <x v="305"/>
    <x v="359"/>
    <x v="58"/>
    <x v="2"/>
    <n v="2"/>
    <x v="0"/>
    <n v="0"/>
    <n v="59.8"/>
    <n v="400"/>
    <n v="100"/>
    <n v="600"/>
    <n v="0.92"/>
    <x v="0"/>
    <n v="897.24249797242499"/>
    <n v="10766.909975669099"/>
    <n v="11866.909975669099"/>
  </r>
  <r>
    <x v="16"/>
    <x v="306"/>
    <x v="360"/>
    <x v="73"/>
    <x v="2"/>
    <n v="2"/>
    <x v="0"/>
    <n v="1500"/>
    <n v="71.5"/>
    <n v="780"/>
    <n v="160"/>
    <n v="850"/>
    <n v="0.92"/>
    <x v="0"/>
    <n v="1072.7899432278994"/>
    <n v="12873.479318734793"/>
    <n v="16163.479318734793"/>
  </r>
  <r>
    <x v="33"/>
    <x v="307"/>
    <x v="361"/>
    <x v="14"/>
    <x v="1"/>
    <n v="4"/>
    <x v="4"/>
    <n v="11000"/>
    <n v="46.7"/>
    <n v="480"/>
    <n v="40"/>
    <n v="400"/>
    <n v="17.05"/>
    <x v="1"/>
    <n v="700.68937550689384"/>
    <n v="8408.2725060827252"/>
    <n v="20328.272506082725"/>
  </r>
  <r>
    <x v="26"/>
    <x v="308"/>
    <x v="362"/>
    <x v="6"/>
    <x v="2"/>
    <n v="2"/>
    <x v="0"/>
    <n v="2800"/>
    <n v="64.5"/>
    <n v="700"/>
    <n v="80"/>
    <n v="750"/>
    <n v="0.92"/>
    <x v="0"/>
    <n v="967.7615571776156"/>
    <n v="11613.138686131388"/>
    <n v="15943.138686131388"/>
  </r>
  <r>
    <x v="27"/>
    <x v="309"/>
    <x v="363"/>
    <x v="39"/>
    <x v="0"/>
    <n v="4"/>
    <x v="4"/>
    <n v="3200"/>
    <n v="67.8"/>
    <n v="800"/>
    <n v="120"/>
    <n v="700"/>
    <n v="0.92"/>
    <x v="0"/>
    <n v="1017.2749391727493"/>
    <n v="12207.299270072992"/>
    <n v="17027.299270072992"/>
  </r>
  <r>
    <x v="34"/>
    <x v="310"/>
    <x v="364"/>
    <x v="40"/>
    <x v="1"/>
    <n v="4"/>
    <x v="4"/>
    <n v="0"/>
    <n v="58.9"/>
    <n v="380"/>
    <n v="100"/>
    <n v="600"/>
    <n v="0.92"/>
    <x v="0"/>
    <n v="883.7388483373885"/>
    <n v="10604.866180048662"/>
    <n v="11684.866180048662"/>
  </r>
  <r>
    <x v="16"/>
    <x v="311"/>
    <x v="365"/>
    <x v="1"/>
    <x v="2"/>
    <n v="2"/>
    <x v="0"/>
    <n v="1500"/>
    <n v="69.400000000000006"/>
    <n v="720"/>
    <n v="160"/>
    <n v="850"/>
    <n v="0.92"/>
    <x v="0"/>
    <n v="1041.2814274128143"/>
    <n v="12495.377128953773"/>
    <n v="15725.377128953773"/>
  </r>
  <r>
    <x v="33"/>
    <x v="312"/>
    <x v="366"/>
    <x v="12"/>
    <x v="2"/>
    <n v="2"/>
    <x v="0"/>
    <n v="3500"/>
    <n v="43.2"/>
    <n v="400"/>
    <n v="40"/>
    <n v="400"/>
    <n v="17.05"/>
    <x v="1"/>
    <n v="648.1751824817519"/>
    <n v="7778.1021897810224"/>
    <n v="12118.102189781022"/>
  </r>
  <r>
    <x v="26"/>
    <x v="313"/>
    <x v="367"/>
    <x v="30"/>
    <x v="2"/>
    <n v="2"/>
    <x v="0"/>
    <n v="2900"/>
    <n v="63.2"/>
    <n v="650"/>
    <n v="80"/>
    <n v="750"/>
    <n v="0.92"/>
    <x v="0"/>
    <n v="948.25628548256282"/>
    <n v="11379.075425790754"/>
    <n v="15759.075425790754"/>
  </r>
  <r>
    <x v="27"/>
    <x v="314"/>
    <x v="368"/>
    <x v="12"/>
    <x v="2"/>
    <n v="2"/>
    <x v="0"/>
    <n v="3300"/>
    <n v="68.900000000000006"/>
    <n v="850"/>
    <n v="120"/>
    <n v="700"/>
    <n v="0.92"/>
    <x v="0"/>
    <n v="1033.779399837794"/>
    <n v="12405.352798053529"/>
    <n v="17375.352798053529"/>
  </r>
  <r>
    <x v="34"/>
    <x v="315"/>
    <x v="369"/>
    <x v="61"/>
    <x v="2"/>
    <n v="2"/>
    <x v="0"/>
    <n v="0"/>
    <n v="61.2"/>
    <n v="420"/>
    <n v="100"/>
    <n v="600"/>
    <n v="0.92"/>
    <x v="0"/>
    <n v="918.24817518248187"/>
    <n v="11018.978102189783"/>
    <n v="12138.978102189783"/>
  </r>
  <r>
    <x v="16"/>
    <x v="316"/>
    <x v="370"/>
    <x v="20"/>
    <x v="0"/>
    <n v="4"/>
    <x v="4"/>
    <n v="1500"/>
    <n v="68.7"/>
    <n v="700"/>
    <n v="160"/>
    <n v="850"/>
    <n v="0.92"/>
    <x v="0"/>
    <n v="1030.7785888077858"/>
    <n v="12369.343065693429"/>
    <n v="15579.343065693429"/>
  </r>
  <r>
    <x v="33"/>
    <x v="317"/>
    <x v="371"/>
    <x v="41"/>
    <x v="1"/>
    <n v="4"/>
    <x v="4"/>
    <n v="9500"/>
    <n v="45.4"/>
    <n v="550"/>
    <n v="40"/>
    <n v="400"/>
    <n v="17.05"/>
    <x v="1"/>
    <n v="681.18410381184094"/>
    <n v="8174.2092457420913"/>
    <n v="18664.209245742091"/>
  </r>
  <r>
    <x v="26"/>
    <x v="318"/>
    <x v="372"/>
    <x v="1"/>
    <x v="0"/>
    <n v="4"/>
    <x v="4"/>
    <n v="3100"/>
    <n v="62.1"/>
    <n v="600"/>
    <n v="80"/>
    <n v="750"/>
    <n v="0.92"/>
    <x v="0"/>
    <n v="931.75182481751835"/>
    <n v="11181.02189781022"/>
    <n v="15711.02189781022"/>
  </r>
  <r>
    <x v="27"/>
    <x v="319"/>
    <x v="373"/>
    <x v="6"/>
    <x v="2"/>
    <n v="2"/>
    <x v="0"/>
    <n v="3400"/>
    <n v="69.5"/>
    <n v="900"/>
    <n v="120"/>
    <n v="700"/>
    <n v="0.92"/>
    <x v="0"/>
    <n v="1042.7818329278184"/>
    <n v="12513.381995133821"/>
    <n v="17633.381995133823"/>
  </r>
  <r>
    <x v="34"/>
    <x v="320"/>
    <x v="374"/>
    <x v="88"/>
    <x v="2"/>
    <n v="2"/>
    <x v="0"/>
    <n v="0"/>
    <n v="60.4"/>
    <n v="450"/>
    <n v="100"/>
    <n v="600"/>
    <n v="0.92"/>
    <x v="0"/>
    <n v="906.24493106244927"/>
    <n v="10874.939172749391"/>
    <n v="12024.939172749391"/>
  </r>
  <r>
    <x v="16"/>
    <x v="321"/>
    <x v="375"/>
    <x v="42"/>
    <x v="1"/>
    <n v="3"/>
    <x v="5"/>
    <n v="1500"/>
    <n v="70.2"/>
    <n v="800"/>
    <n v="160"/>
    <n v="850"/>
    <n v="0.92"/>
    <x v="0"/>
    <n v="1053.2846715328469"/>
    <n v="12639.416058394163"/>
    <n v="15949.416058394163"/>
  </r>
  <r>
    <x v="33"/>
    <x v="322"/>
    <x v="376"/>
    <x v="64"/>
    <x v="2"/>
    <n v="2"/>
    <x v="0"/>
    <n v="2800"/>
    <n v="42.8"/>
    <n v="380"/>
    <n v="40"/>
    <n v="400"/>
    <n v="17.05"/>
    <x v="1"/>
    <n v="642.1735604217356"/>
    <n v="7706.0827250608272"/>
    <n v="11326.082725060827"/>
  </r>
  <r>
    <x v="31"/>
    <x v="120"/>
    <x v="125"/>
    <x v="12"/>
    <x v="2"/>
    <n v="2"/>
    <x v="0"/>
    <n v="1500"/>
    <n v="51.2"/>
    <n v="600"/>
    <n v="90"/>
    <n v="500"/>
    <n v="28.5"/>
    <x v="1"/>
    <n v="768.20762368207625"/>
    <n v="9218.491484184915"/>
    <n v="11908.491484184915"/>
  </r>
  <r>
    <x v="34"/>
    <x v="123"/>
    <x v="377"/>
    <x v="1"/>
    <x v="2"/>
    <n v="2"/>
    <x v="0"/>
    <n v="0"/>
    <n v="65.8"/>
    <n v="650"/>
    <n v="100"/>
    <n v="600"/>
    <n v="0.92"/>
    <x v="0"/>
    <n v="987.26682887266816"/>
    <n v="11847.201946472018"/>
    <n v="13197.201946472018"/>
  </r>
  <r>
    <x v="17"/>
    <x v="323"/>
    <x v="18"/>
    <x v="6"/>
    <x v="0"/>
    <n v="4"/>
    <x v="4"/>
    <n v="3800"/>
    <n v="76.5"/>
    <n v="950"/>
    <n v="180"/>
    <n v="800"/>
    <n v="0.92"/>
    <x v="0"/>
    <n v="1147.8102189781023"/>
    <n v="13773.722627737228"/>
    <n v="19503.722627737228"/>
  </r>
  <r>
    <x v="44"/>
    <x v="324"/>
    <x v="378"/>
    <x v="39"/>
    <x v="2"/>
    <n v="2"/>
    <x v="0"/>
    <n v="6500"/>
    <n v="53.4"/>
    <n v="500"/>
    <n v="140"/>
    <n v="450"/>
    <n v="350.25"/>
    <x v="1"/>
    <n v="801.21654501216551"/>
    <n v="9614.5985401459857"/>
    <n v="17204.598540145984"/>
  </r>
  <r>
    <x v="32"/>
    <x v="121"/>
    <x v="126"/>
    <x v="0"/>
    <x v="1"/>
    <n v="4"/>
    <x v="4"/>
    <n v="5500"/>
    <n v="62.3"/>
    <n v="600"/>
    <n v="160"/>
    <n v="400"/>
    <n v="95.5"/>
    <x v="1"/>
    <n v="934.75263584752634"/>
    <n v="11217.031630170317"/>
    <n v="17877.031630170317"/>
  </r>
  <r>
    <x v="31"/>
    <x v="325"/>
    <x v="379"/>
    <x v="44"/>
    <x v="2"/>
    <n v="2"/>
    <x v="0"/>
    <n v="1200"/>
    <n v="48.5"/>
    <n v="450"/>
    <n v="90"/>
    <n v="500"/>
    <n v="28.5"/>
    <x v="1"/>
    <n v="727.69667477696669"/>
    <n v="8732.3600973236007"/>
    <n v="10972.360097323601"/>
  </r>
  <r>
    <x v="34"/>
    <x v="290"/>
    <x v="380"/>
    <x v="40"/>
    <x v="0"/>
    <n v="4"/>
    <x v="4"/>
    <n v="0"/>
    <n v="62.4"/>
    <n v="500"/>
    <n v="100"/>
    <n v="600"/>
    <n v="0.92"/>
    <x v="0"/>
    <n v="936.25304136253055"/>
    <n v="11235.036496350367"/>
    <n v="12435.036496350367"/>
  </r>
  <r>
    <x v="17"/>
    <x v="326"/>
    <x v="381"/>
    <x v="0"/>
    <x v="2"/>
    <n v="2"/>
    <x v="0"/>
    <n v="3500"/>
    <n v="72.8"/>
    <n v="850"/>
    <n v="180"/>
    <n v="800"/>
    <n v="0.92"/>
    <x v="0"/>
    <n v="1092.2952149229523"/>
    <n v="13107.542579075427"/>
    <n v="18437.542579075427"/>
  </r>
  <r>
    <x v="44"/>
    <x v="327"/>
    <x v="382"/>
    <x v="73"/>
    <x v="1"/>
    <n v="3"/>
    <x v="5"/>
    <n v="5800"/>
    <n v="48.9"/>
    <n v="400"/>
    <n v="140"/>
    <n v="450"/>
    <n v="350.25"/>
    <x v="1"/>
    <n v="733.69829683698299"/>
    <n v="8804.3795620437959"/>
    <n v="15594.379562043796"/>
  </r>
  <r>
    <x v="32"/>
    <x v="328"/>
    <x v="383"/>
    <x v="1"/>
    <x v="2"/>
    <n v="2"/>
    <x v="0"/>
    <n v="5000"/>
    <n v="60.1"/>
    <n v="550"/>
    <n v="160"/>
    <n v="400"/>
    <n v="95.5"/>
    <x v="1"/>
    <n v="901.74371451743718"/>
    <n v="10820.924574209246"/>
    <n v="16930.924574209246"/>
  </r>
  <r>
    <x v="31"/>
    <x v="329"/>
    <x v="384"/>
    <x v="25"/>
    <x v="0"/>
    <n v="4"/>
    <x v="4"/>
    <n v="1300"/>
    <n v="47.8"/>
    <n v="400"/>
    <n v="90"/>
    <n v="500"/>
    <n v="28.5"/>
    <x v="1"/>
    <n v="717.19383617193841"/>
    <n v="8606.3260340632605"/>
    <n v="10896.326034063261"/>
  </r>
  <r>
    <x v="34"/>
    <x v="295"/>
    <x v="349"/>
    <x v="12"/>
    <x v="2"/>
    <n v="2"/>
    <x v="0"/>
    <n v="0"/>
    <n v="60.5"/>
    <n v="450"/>
    <n v="100"/>
    <n v="600"/>
    <n v="0.92"/>
    <x v="0"/>
    <n v="907.74533657745337"/>
    <n v="10892.94403892944"/>
    <n v="12042.94403892944"/>
  </r>
  <r>
    <x v="17"/>
    <x v="18"/>
    <x v="385"/>
    <x v="30"/>
    <x v="2"/>
    <n v="2"/>
    <x v="0"/>
    <n v="3600"/>
    <n v="75.400000000000006"/>
    <n v="900"/>
    <n v="180"/>
    <n v="800"/>
    <n v="0.92"/>
    <x v="0"/>
    <n v="1131.3057583130576"/>
    <n v="13575.669099756691"/>
    <n v="19055.669099756691"/>
  </r>
  <r>
    <x v="44"/>
    <x v="330"/>
    <x v="386"/>
    <x v="0"/>
    <x v="0"/>
    <n v="4"/>
    <x v="4"/>
    <n v="6000"/>
    <n v="47.2"/>
    <n v="380"/>
    <n v="140"/>
    <n v="450"/>
    <n v="350.25"/>
    <x v="1"/>
    <n v="708.19140308191402"/>
    <n v="8498.2968369829687"/>
    <n v="15468.296836982969"/>
  </r>
  <r>
    <x v="32"/>
    <x v="331"/>
    <x v="387"/>
    <x v="22"/>
    <x v="2"/>
    <n v="2"/>
    <x v="0"/>
    <n v="4800"/>
    <n v="55.4"/>
    <n v="400"/>
    <n v="160"/>
    <n v="400"/>
    <n v="95.5"/>
    <x v="1"/>
    <n v="831.22465531224657"/>
    <n v="9974.6958637469579"/>
    <n v="15734.695863746958"/>
  </r>
  <r>
    <x v="31"/>
    <x v="332"/>
    <x v="388"/>
    <x v="40"/>
    <x v="1"/>
    <n v="4"/>
    <x v="4"/>
    <n v="1000"/>
    <n v="45.6"/>
    <n v="350"/>
    <n v="90"/>
    <n v="500"/>
    <n v="28.5"/>
    <x v="1"/>
    <n v="684.18491484184915"/>
    <n v="8210.2189781021898"/>
    <n v="10150.21897810219"/>
  </r>
  <r>
    <x v="34"/>
    <x v="300"/>
    <x v="354"/>
    <x v="14"/>
    <x v="2"/>
    <n v="2"/>
    <x v="0"/>
    <n v="0"/>
    <n v="61.2"/>
    <n v="480"/>
    <n v="100"/>
    <n v="600"/>
    <n v="0.92"/>
    <x v="0"/>
    <n v="918.24817518248187"/>
    <n v="11018.978102189783"/>
    <n v="12198.978102189783"/>
  </r>
  <r>
    <x v="17"/>
    <x v="333"/>
    <x v="389"/>
    <x v="0"/>
    <x v="0"/>
    <n v="4"/>
    <x v="4"/>
    <n v="3700"/>
    <n v="71.2"/>
    <n v="800"/>
    <n v="180"/>
    <n v="800"/>
    <n v="0.92"/>
    <x v="0"/>
    <n v="1068.2887266828873"/>
    <n v="12819.464720194646"/>
    <n v="18299.464720194646"/>
  </r>
  <r>
    <x v="44"/>
    <x v="334"/>
    <x v="390"/>
    <x v="42"/>
    <x v="2"/>
    <n v="2"/>
    <x v="0"/>
    <n v="5500"/>
    <n v="46.8"/>
    <n v="350"/>
    <n v="140"/>
    <n v="450"/>
    <n v="350.25"/>
    <x v="1"/>
    <n v="702.18978102189783"/>
    <n v="8426.2773722627735"/>
    <n v="14866.277372262773"/>
  </r>
  <r>
    <x v="32"/>
    <x v="335"/>
    <x v="391"/>
    <x v="6"/>
    <x v="1"/>
    <n v="4"/>
    <x v="4"/>
    <n v="4500"/>
    <n v="52.3"/>
    <n v="380"/>
    <n v="160"/>
    <n v="400"/>
    <n v="95.5"/>
    <x v="1"/>
    <n v="784.71208434712082"/>
    <n v="9416.5450121654503"/>
    <n v="14856.54501216545"/>
  </r>
  <r>
    <x v="31"/>
    <x v="336"/>
    <x v="392"/>
    <x v="0"/>
    <x v="2"/>
    <n v="2"/>
    <x v="0"/>
    <n v="1100"/>
    <n v="46.5"/>
    <n v="380"/>
    <n v="90"/>
    <n v="500"/>
    <n v="28.5"/>
    <x v="1"/>
    <n v="697.68856447688563"/>
    <n v="8372.2627737226285"/>
    <n v="10442.262773722628"/>
  </r>
  <r>
    <x v="34"/>
    <x v="305"/>
    <x v="359"/>
    <x v="48"/>
    <x v="0"/>
    <n v="4"/>
    <x v="4"/>
    <n v="0"/>
    <n v="59.8"/>
    <n v="400"/>
    <n v="100"/>
    <n v="600"/>
    <n v="0.92"/>
    <x v="0"/>
    <n v="897.24249797242499"/>
    <n v="10766.909975669099"/>
    <n v="11866.909975669099"/>
  </r>
  <r>
    <x v="17"/>
    <x v="337"/>
    <x v="393"/>
    <x v="44"/>
    <x v="2"/>
    <n v="2"/>
    <x v="0"/>
    <n v="3500"/>
    <n v="70.5"/>
    <n v="780"/>
    <n v="180"/>
    <n v="800"/>
    <n v="0.92"/>
    <x v="0"/>
    <n v="1057.7858880778588"/>
    <n v="12693.430656934306"/>
    <n v="17953.430656934306"/>
  </r>
  <r>
    <x v="44"/>
    <x v="338"/>
    <x v="394"/>
    <x v="30"/>
    <x v="1"/>
    <n v="3"/>
    <x v="5"/>
    <n v="5200"/>
    <n v="45.6"/>
    <n v="320"/>
    <n v="140"/>
    <n v="450"/>
    <n v="350.25"/>
    <x v="1"/>
    <n v="684.18491484184915"/>
    <n v="8210.2189781021898"/>
    <n v="14320.21897810219"/>
  </r>
  <r>
    <x v="32"/>
    <x v="339"/>
    <x v="395"/>
    <x v="39"/>
    <x v="2"/>
    <n v="2"/>
    <x v="0"/>
    <n v="4600"/>
    <n v="51.2"/>
    <n v="350"/>
    <n v="160"/>
    <n v="400"/>
    <n v="95.5"/>
    <x v="1"/>
    <n v="768.20762368207625"/>
    <n v="9218.491484184915"/>
    <n v="14728.491484184915"/>
  </r>
  <r>
    <x v="31"/>
    <x v="340"/>
    <x v="396"/>
    <x v="1"/>
    <x v="0"/>
    <n v="4"/>
    <x v="4"/>
    <n v="1400"/>
    <n v="47.8"/>
    <n v="420"/>
    <n v="90"/>
    <n v="500"/>
    <n v="28.5"/>
    <x v="1"/>
    <n v="717.19383617193841"/>
    <n v="8606.3260340632605"/>
    <n v="11016.326034063261"/>
  </r>
  <r>
    <x v="34"/>
    <x v="341"/>
    <x v="397"/>
    <x v="41"/>
    <x v="2"/>
    <n v="2"/>
    <x v="0"/>
    <n v="0"/>
    <n v="63.4"/>
    <n v="550"/>
    <n v="100"/>
    <n v="600"/>
    <n v="0.92"/>
    <x v="0"/>
    <n v="951.25709651257091"/>
    <n v="11415.08515815085"/>
    <n v="12665.08515815085"/>
  </r>
  <r>
    <x v="17"/>
    <x v="342"/>
    <x v="398"/>
    <x v="6"/>
    <x v="1"/>
    <n v="3"/>
    <x v="5"/>
    <n v="3400"/>
    <n v="69.8"/>
    <n v="750"/>
    <n v="180"/>
    <n v="800"/>
    <n v="0.92"/>
    <x v="0"/>
    <n v="1047.2830494728303"/>
    <n v="12567.396593673962"/>
    <n v="17697.396593673962"/>
  </r>
  <r>
    <x v="44"/>
    <x v="343"/>
    <x v="399"/>
    <x v="12"/>
    <x v="2"/>
    <n v="2"/>
    <x v="0"/>
    <n v="5300"/>
    <n v="44.5"/>
    <n v="300"/>
    <n v="140"/>
    <n v="450"/>
    <n v="350.25"/>
    <x v="1"/>
    <n v="667.68045417680446"/>
    <n v="8012.1654501216535"/>
    <n v="14202.165450121654"/>
  </r>
  <r>
    <x v="32"/>
    <x v="344"/>
    <x v="400"/>
    <x v="14"/>
    <x v="0"/>
    <n v="4"/>
    <x v="4"/>
    <n v="4700"/>
    <n v="53.4"/>
    <n v="400"/>
    <n v="160"/>
    <n v="400"/>
    <n v="95.5"/>
    <x v="1"/>
    <n v="801.21654501216551"/>
    <n v="9614.5985401459857"/>
    <n v="15274.598540145986"/>
  </r>
  <r>
    <x v="31"/>
    <x v="345"/>
    <x v="401"/>
    <x v="39"/>
    <x v="2"/>
    <n v="2"/>
    <x v="0"/>
    <n v="1200"/>
    <n v="45.2"/>
    <n v="350"/>
    <n v="90"/>
    <n v="500"/>
    <n v="28.5"/>
    <x v="1"/>
    <n v="678.18329278183296"/>
    <n v="8138.1995133819955"/>
    <n v="10278.199513381995"/>
  </r>
  <r>
    <x v="34"/>
    <x v="346"/>
    <x v="402"/>
    <x v="12"/>
    <x v="1"/>
    <n v="4"/>
    <x v="4"/>
    <n v="0"/>
    <n v="58.7"/>
    <n v="380"/>
    <n v="100"/>
    <n v="600"/>
    <n v="0.92"/>
    <x v="0"/>
    <n v="880.73803730738041"/>
    <n v="10568.856447688566"/>
    <n v="11648.856447688566"/>
  </r>
  <r>
    <x v="17"/>
    <x v="347"/>
    <x v="403"/>
    <x v="1"/>
    <x v="0"/>
    <n v="4"/>
    <x v="4"/>
    <n v="3600"/>
    <n v="68.900000000000006"/>
    <n v="720"/>
    <n v="180"/>
    <n v="800"/>
    <n v="0.92"/>
    <x v="0"/>
    <n v="1033.779399837794"/>
    <n v="12405.352798053529"/>
    <n v="17705.352798053529"/>
  </r>
  <r>
    <x v="44"/>
    <x v="348"/>
    <x v="404"/>
    <x v="40"/>
    <x v="2"/>
    <n v="2"/>
    <x v="0"/>
    <n v="5100"/>
    <n v="44.8"/>
    <n v="310"/>
    <n v="140"/>
    <n v="450"/>
    <n v="350.25"/>
    <x v="1"/>
    <n v="672.18167072181666"/>
    <n v="8066.1800486617994"/>
    <n v="14066.180048661799"/>
  </r>
  <r>
    <x v="32"/>
    <x v="349"/>
    <x v="405"/>
    <x v="0"/>
    <x v="2"/>
    <n v="2"/>
    <x v="0"/>
    <n v="4400"/>
    <n v="50.5"/>
    <n v="370"/>
    <n v="160"/>
    <n v="400"/>
    <n v="95.5"/>
    <x v="1"/>
    <n v="757.70478507704797"/>
    <n v="9092.4574209245766"/>
    <n v="14422.457420924577"/>
  </r>
  <r>
    <x v="31"/>
    <x v="350"/>
    <x v="406"/>
    <x v="6"/>
    <x v="1"/>
    <n v="4"/>
    <x v="4"/>
    <n v="1000"/>
    <n v="44.5"/>
    <n v="330"/>
    <n v="90"/>
    <n v="500"/>
    <n v="28.5"/>
    <x v="1"/>
    <n v="667.68045417680446"/>
    <n v="8012.1654501216535"/>
    <n v="9932.1654501216544"/>
  </r>
  <r>
    <x v="34"/>
    <x v="351"/>
    <x v="369"/>
    <x v="58"/>
    <x v="2"/>
    <n v="2"/>
    <x v="0"/>
    <n v="0"/>
    <n v="59.2"/>
    <n v="400"/>
    <n v="100"/>
    <n v="600"/>
    <n v="0.92"/>
    <x v="0"/>
    <n v="888.24006488240082"/>
    <n v="10658.880778588809"/>
    <n v="11758.880778588809"/>
  </r>
  <r>
    <x v="17"/>
    <x v="352"/>
    <x v="407"/>
    <x v="12"/>
    <x v="2"/>
    <n v="2"/>
    <x v="0"/>
    <n v="3500"/>
    <n v="67.8"/>
    <n v="700"/>
    <n v="180"/>
    <n v="800"/>
    <n v="0.92"/>
    <x v="0"/>
    <n v="1017.2749391727493"/>
    <n v="12207.299270072992"/>
    <n v="17387.299270072992"/>
  </r>
  <r>
    <x v="44"/>
    <x v="353"/>
    <x v="408"/>
    <x v="14"/>
    <x v="0"/>
    <n v="4"/>
    <x v="4"/>
    <n v="5400"/>
    <n v="43.9"/>
    <n v="290"/>
    <n v="140"/>
    <n v="450"/>
    <n v="350.25"/>
    <x v="1"/>
    <n v="658.67802108678018"/>
    <n v="7904.1362530413626"/>
    <n v="14184.136253041363"/>
  </r>
  <r>
    <x v="32"/>
    <x v="354"/>
    <x v="409"/>
    <x v="41"/>
    <x v="1"/>
    <n v="4"/>
    <x v="4"/>
    <n v="4200"/>
    <n v="49.8"/>
    <n v="350"/>
    <n v="160"/>
    <n v="400"/>
    <n v="95.5"/>
    <x v="1"/>
    <n v="747.20194647201947"/>
    <n v="8966.4233576642328"/>
    <n v="14076.423357664233"/>
  </r>
  <r>
    <x v="30"/>
    <x v="119"/>
    <x v="124"/>
    <x v="0"/>
    <x v="2"/>
    <n v="2"/>
    <x v="0"/>
    <n v="0"/>
    <n v="55.8"/>
    <n v="600"/>
    <n v="90"/>
    <n v="400"/>
    <n v="4.95"/>
    <x v="0"/>
    <n v="837.22627737226276"/>
    <n v="10046.715328467153"/>
    <n v="11136.715328467153"/>
  </r>
  <r>
    <x v="23"/>
    <x v="42"/>
    <x v="44"/>
    <x v="1"/>
    <x v="0"/>
    <n v="4"/>
    <x v="4"/>
    <n v="2000"/>
    <n v="45.2"/>
    <n v="300"/>
    <n v="180"/>
    <n v="300"/>
    <n v="82.75"/>
    <x v="1"/>
    <n v="678.18329278183296"/>
    <n v="8138.1995133819955"/>
    <n v="10918.199513381995"/>
  </r>
  <r>
    <x v="35"/>
    <x v="124"/>
    <x v="129"/>
    <x v="39"/>
    <x v="2"/>
    <n v="2"/>
    <x v="0"/>
    <n v="15000"/>
    <n v="51.4"/>
    <n v="500"/>
    <n v="80"/>
    <n v="350"/>
    <n v="35.25"/>
    <x v="1"/>
    <n v="771.20843471208434"/>
    <n v="9254.5012165450116"/>
    <n v="25184.50121654501"/>
  </r>
  <r>
    <x v="38"/>
    <x v="130"/>
    <x v="410"/>
    <x v="12"/>
    <x v="1"/>
    <n v="4"/>
    <x v="4"/>
    <n v="2500"/>
    <n v="31.8"/>
    <n v="250"/>
    <n v="100"/>
    <n v="200"/>
    <n v="30.9"/>
    <x v="1"/>
    <n v="477.12895377128956"/>
    <n v="5725.5474452554745"/>
    <n v="8775.5474452554736"/>
  </r>
  <r>
    <x v="7"/>
    <x v="7"/>
    <x v="7"/>
    <x v="6"/>
    <x v="2"/>
    <n v="2"/>
    <x v="0"/>
    <n v="42000"/>
    <n v="83.8"/>
    <n v="1200"/>
    <n v="90"/>
    <n v="800"/>
    <n v="1.35"/>
    <x v="0"/>
    <n v="1257.3398215733982"/>
    <n v="15088.077858880779"/>
    <n v="59178.077858880781"/>
  </r>
  <r>
    <x v="36"/>
    <x v="125"/>
    <x v="411"/>
    <x v="14"/>
    <x v="2"/>
    <n v="2"/>
    <x v="0"/>
    <n v="25000"/>
    <n v="72.400000000000006"/>
    <n v="1100"/>
    <n v="270"/>
    <n v="750"/>
    <n v="3.67"/>
    <x v="0"/>
    <n v="1086.2935928629361"/>
    <n v="13035.523114355234"/>
    <n v="40155.523114355237"/>
  </r>
  <r>
    <x v="30"/>
    <x v="355"/>
    <x v="412"/>
    <x v="40"/>
    <x v="0"/>
    <n v="4"/>
    <x v="4"/>
    <n v="8000"/>
    <n v="53.2"/>
    <n v="550"/>
    <n v="90"/>
    <n v="400"/>
    <n v="4.95"/>
    <x v="0"/>
    <n v="798.2157339821573"/>
    <n v="9578.5888077858872"/>
    <n v="18618.588807785887"/>
  </r>
  <r>
    <x v="23"/>
    <x v="356"/>
    <x v="413"/>
    <x v="12"/>
    <x v="2"/>
    <n v="2"/>
    <x v="0"/>
    <n v="1800"/>
    <n v="47.5"/>
    <n v="350"/>
    <n v="180"/>
    <n v="300"/>
    <n v="82.75"/>
    <x v="1"/>
    <n v="712.69261962692622"/>
    <n v="8552.3114355231155"/>
    <n v="11182.311435523116"/>
  </r>
  <r>
    <x v="35"/>
    <x v="357"/>
    <x v="414"/>
    <x v="1"/>
    <x v="1"/>
    <n v="4"/>
    <x v="4"/>
    <n v="12000"/>
    <n v="45.6"/>
    <n v="300"/>
    <n v="80"/>
    <n v="350"/>
    <n v="35.25"/>
    <x v="1"/>
    <n v="684.18491484184915"/>
    <n v="8210.2189781021898"/>
    <n v="20940.218978102188"/>
  </r>
  <r>
    <x v="7"/>
    <x v="7"/>
    <x v="151"/>
    <x v="0"/>
    <x v="0"/>
    <n v="4"/>
    <x v="4"/>
    <n v="40000"/>
    <n v="83.8"/>
    <n v="1100"/>
    <n v="90"/>
    <n v="800"/>
    <n v="1.35"/>
    <x v="0"/>
    <n v="1257.3398215733982"/>
    <n v="15088.077858880779"/>
    <n v="57078.077858880781"/>
  </r>
  <r>
    <x v="36"/>
    <x v="358"/>
    <x v="415"/>
    <x v="30"/>
    <x v="2"/>
    <n v="2"/>
    <x v="0"/>
    <n v="27000"/>
    <n v="71.8"/>
    <n v="1000"/>
    <n v="270"/>
    <n v="750"/>
    <n v="3.67"/>
    <x v="0"/>
    <n v="1077.2911597729117"/>
    <n v="12927.49391727494"/>
    <n v="41947.493917274944"/>
  </r>
  <r>
    <x v="30"/>
    <x v="359"/>
    <x v="416"/>
    <x v="12"/>
    <x v="2"/>
    <n v="2"/>
    <x v="0"/>
    <n v="0"/>
    <n v="51.4"/>
    <n v="450"/>
    <n v="90"/>
    <n v="400"/>
    <n v="4.95"/>
    <x v="0"/>
    <n v="771.20843471208434"/>
    <n v="9254.5012165450116"/>
    <n v="10194.501216545012"/>
  </r>
  <r>
    <x v="23"/>
    <x v="360"/>
    <x v="417"/>
    <x v="6"/>
    <x v="0"/>
    <n v="4"/>
    <x v="4"/>
    <n v="1900"/>
    <n v="44.8"/>
    <n v="320"/>
    <n v="180"/>
    <n v="300"/>
    <n v="82.75"/>
    <x v="1"/>
    <n v="672.18167072181666"/>
    <n v="8066.1800486617994"/>
    <n v="10766.180048661799"/>
  </r>
  <r>
    <x v="35"/>
    <x v="361"/>
    <x v="418"/>
    <x v="41"/>
    <x v="2"/>
    <n v="2"/>
    <x v="0"/>
    <n v="11000"/>
    <n v="42.5"/>
    <n v="250"/>
    <n v="80"/>
    <n v="350"/>
    <n v="35.25"/>
    <x v="1"/>
    <n v="637.6723438767234"/>
    <n v="7652.0681265206804"/>
    <n v="19332.06812652068"/>
  </r>
  <r>
    <x v="38"/>
    <x v="362"/>
    <x v="419"/>
    <x v="39"/>
    <x v="2"/>
    <n v="2"/>
    <x v="0"/>
    <n v="2200"/>
    <n v="30.5"/>
    <n v="200"/>
    <n v="100"/>
    <n v="200"/>
    <n v="30.9"/>
    <x v="1"/>
    <n v="457.62368207623683"/>
    <n v="5491.4841849148415"/>
    <n v="8191.4841849148415"/>
  </r>
  <r>
    <x v="7"/>
    <x v="7"/>
    <x v="152"/>
    <x v="14"/>
    <x v="1"/>
    <n v="4"/>
    <x v="4"/>
    <n v="38000"/>
    <n v="83.8"/>
    <n v="1150"/>
    <n v="90"/>
    <n v="800"/>
    <n v="1.35"/>
    <x v="0"/>
    <n v="1257.3398215733982"/>
    <n v="15088.077858880779"/>
    <n v="55128.077858880781"/>
  </r>
  <r>
    <x v="36"/>
    <x v="363"/>
    <x v="420"/>
    <x v="0"/>
    <x v="0"/>
    <n v="4"/>
    <x v="4"/>
    <n v="26000"/>
    <n v="68.5"/>
    <n v="900"/>
    <n v="270"/>
    <n v="750"/>
    <n v="3.67"/>
    <x v="0"/>
    <n v="1027.7777777777778"/>
    <n v="12333.333333333334"/>
    <n v="40253.333333333336"/>
  </r>
  <r>
    <x v="30"/>
    <x v="364"/>
    <x v="421"/>
    <x v="1"/>
    <x v="1"/>
    <n v="4"/>
    <x v="4"/>
    <n v="0"/>
    <n v="49.8"/>
    <n v="400"/>
    <n v="90"/>
    <n v="400"/>
    <n v="4.95"/>
    <x v="0"/>
    <n v="747.20194647201947"/>
    <n v="8966.4233576642328"/>
    <n v="9856.4233576642328"/>
  </r>
  <r>
    <x v="23"/>
    <x v="365"/>
    <x v="422"/>
    <x v="39"/>
    <x v="2"/>
    <n v="2"/>
    <x v="0"/>
    <n v="1700"/>
    <n v="42.4"/>
    <n v="280"/>
    <n v="180"/>
    <n v="300"/>
    <n v="82.75"/>
    <x v="1"/>
    <n v="636.17193836171941"/>
    <n v="7634.063260340633"/>
    <n v="10094.063260340634"/>
  </r>
  <r>
    <x v="35"/>
    <x v="366"/>
    <x v="423"/>
    <x v="12"/>
    <x v="2"/>
    <n v="2"/>
    <x v="0"/>
    <n v="10000"/>
    <n v="44.8"/>
    <n v="300"/>
    <n v="80"/>
    <n v="350"/>
    <n v="35.25"/>
    <x v="1"/>
    <n v="672.18167072181666"/>
    <n v="8066.1800486617994"/>
    <n v="18796.180048661801"/>
  </r>
  <r>
    <x v="38"/>
    <x v="367"/>
    <x v="424"/>
    <x v="1"/>
    <x v="0"/>
    <n v="4"/>
    <x v="4"/>
    <n v="2400"/>
    <n v="31.2"/>
    <n v="220"/>
    <n v="100"/>
    <n v="200"/>
    <n v="30.9"/>
    <x v="1"/>
    <n v="468.12652068126528"/>
    <n v="5617.5182481751835"/>
    <n v="8537.5182481751835"/>
  </r>
  <r>
    <x v="7"/>
    <x v="7"/>
    <x v="425"/>
    <x v="6"/>
    <x v="2"/>
    <n v="2"/>
    <x v="0"/>
    <n v="39000"/>
    <n v="83.8"/>
    <n v="1100"/>
    <n v="90"/>
    <n v="800"/>
    <n v="1.35"/>
    <x v="0"/>
    <n v="1257.3398215733982"/>
    <n v="15088.077858880779"/>
    <n v="56078.077858880781"/>
  </r>
  <r>
    <x v="36"/>
    <x v="368"/>
    <x v="426"/>
    <x v="40"/>
    <x v="1"/>
    <n v="4"/>
    <x v="4"/>
    <n v="23000"/>
    <n v="65.400000000000006"/>
    <n v="800"/>
    <n v="270"/>
    <n v="750"/>
    <n v="3.67"/>
    <x v="0"/>
    <n v="981.26520681265208"/>
    <n v="11775.182481751825"/>
    <n v="36595.182481751821"/>
  </r>
  <r>
    <x v="30"/>
    <x v="369"/>
    <x v="427"/>
    <x v="12"/>
    <x v="2"/>
    <n v="2"/>
    <x v="0"/>
    <n v="0"/>
    <n v="47.5"/>
    <n v="350"/>
    <n v="90"/>
    <n v="400"/>
    <n v="4.95"/>
    <x v="0"/>
    <n v="712.69261962692622"/>
    <n v="8552.3114355231155"/>
    <n v="9392.3114355231155"/>
  </r>
  <r>
    <x v="23"/>
    <x v="370"/>
    <x v="428"/>
    <x v="14"/>
    <x v="0"/>
    <n v="4"/>
    <x v="4"/>
    <n v="1800"/>
    <n v="41.2"/>
    <n v="260"/>
    <n v="180"/>
    <n v="300"/>
    <n v="82.75"/>
    <x v="1"/>
    <n v="618.16707218167073"/>
    <n v="7418.0048661800483"/>
    <n v="9958.0048661800483"/>
  </r>
  <r>
    <x v="35"/>
    <x v="371"/>
    <x v="423"/>
    <x v="39"/>
    <x v="1"/>
    <n v="4"/>
    <x v="4"/>
    <n v="9500"/>
    <n v="43.2"/>
    <n v="280"/>
    <n v="80"/>
    <n v="350"/>
    <n v="35.25"/>
    <x v="1"/>
    <n v="648.1751824817519"/>
    <n v="7778.1021897810224"/>
    <n v="17988.102189781021"/>
  </r>
  <r>
    <x v="38"/>
    <x v="372"/>
    <x v="429"/>
    <x v="0"/>
    <x v="2"/>
    <n v="2"/>
    <x v="0"/>
    <n v="2100"/>
    <n v="29.8"/>
    <n v="180"/>
    <n v="100"/>
    <n v="200"/>
    <n v="30.9"/>
    <x v="1"/>
    <n v="447.12084347120845"/>
    <n v="5365.4501216545013"/>
    <n v="7945.4501216545013"/>
  </r>
  <r>
    <x v="7"/>
    <x v="7"/>
    <x v="153"/>
    <x v="30"/>
    <x v="0"/>
    <n v="4"/>
    <x v="4"/>
    <n v="37000"/>
    <n v="83.8"/>
    <n v="1050"/>
    <n v="90"/>
    <n v="800"/>
    <n v="1.35"/>
    <x v="0"/>
    <n v="1257.3398215733982"/>
    <n v="15088.077858880779"/>
    <n v="54028.077858880781"/>
  </r>
  <r>
    <x v="36"/>
    <x v="373"/>
    <x v="430"/>
    <x v="1"/>
    <x v="2"/>
    <n v="2"/>
    <x v="0"/>
    <n v="24000"/>
    <n v="64.2"/>
    <n v="750"/>
    <n v="270"/>
    <n v="750"/>
    <n v="3.67"/>
    <x v="0"/>
    <n v="963.26034063260352"/>
    <n v="11559.124087591243"/>
    <n v="37329.124087591241"/>
  </r>
  <r>
    <x v="30"/>
    <x v="374"/>
    <x v="431"/>
    <x v="41"/>
    <x v="0"/>
    <n v="4"/>
    <x v="4"/>
    <n v="0"/>
    <n v="48.9"/>
    <n v="400"/>
    <n v="90"/>
    <n v="400"/>
    <n v="4.95"/>
    <x v="0"/>
    <n v="733.69829683698299"/>
    <n v="8804.3795620437959"/>
    <n v="9694.3795620437959"/>
  </r>
  <r>
    <x v="23"/>
    <x v="375"/>
    <x v="432"/>
    <x v="0"/>
    <x v="2"/>
    <n v="2"/>
    <x v="0"/>
    <n v="1600"/>
    <n v="40.5"/>
    <n v="250"/>
    <n v="180"/>
    <n v="300"/>
    <n v="82.75"/>
    <x v="1"/>
    <n v="607.66423357664235"/>
    <n v="7291.9708029197081"/>
    <n v="9621.9708029197081"/>
  </r>
  <r>
    <x v="35"/>
    <x v="376"/>
    <x v="433"/>
    <x v="44"/>
    <x v="2"/>
    <n v="2"/>
    <x v="0"/>
    <n v="9000"/>
    <n v="41.8"/>
    <n v="250"/>
    <n v="80"/>
    <n v="350"/>
    <n v="35.25"/>
    <x v="1"/>
    <n v="627.16950527169513"/>
    <n v="7526.034063260342"/>
    <n v="17206.03406326034"/>
  </r>
  <r>
    <x v="38"/>
    <x v="377"/>
    <x v="434"/>
    <x v="40"/>
    <x v="1"/>
    <n v="4"/>
    <x v="4"/>
    <n v="2000"/>
    <n v="28.5"/>
    <n v="170"/>
    <n v="100"/>
    <n v="200"/>
    <n v="30.9"/>
    <x v="1"/>
    <n v="427.61557177615572"/>
    <n v="5131.3868613138684"/>
    <n v="7601.3868613138684"/>
  </r>
  <r>
    <x v="7"/>
    <x v="7"/>
    <x v="435"/>
    <x v="39"/>
    <x v="1"/>
    <n v="4"/>
    <x v="4"/>
    <n v="35000"/>
    <n v="83.8"/>
    <n v="1000"/>
    <n v="90"/>
    <n v="800"/>
    <n v="1.35"/>
    <x v="0"/>
    <n v="1257.3398215733982"/>
    <n v="15088.077858880779"/>
    <n v="51978.077858880781"/>
  </r>
  <r>
    <x v="36"/>
    <x v="378"/>
    <x v="436"/>
    <x v="12"/>
    <x v="2"/>
    <n v="2"/>
    <x v="0"/>
    <n v="22000"/>
    <n v="62.5"/>
    <n v="700"/>
    <n v="270"/>
    <n v="750"/>
    <n v="3.67"/>
    <x v="0"/>
    <n v="937.75344687753443"/>
    <n v="11253.041362530414"/>
    <n v="34973.041362530414"/>
  </r>
  <r>
    <x v="30"/>
    <x v="379"/>
    <x v="437"/>
    <x v="1"/>
    <x v="2"/>
    <n v="2"/>
    <x v="0"/>
    <n v="0"/>
    <n v="46.8"/>
    <n v="380"/>
    <n v="90"/>
    <n v="400"/>
    <n v="4.95"/>
    <x v="0"/>
    <n v="702.18978102189783"/>
    <n v="8426.2773722627735"/>
    <n v="9296.2773722627735"/>
  </r>
  <r>
    <x v="23"/>
    <x v="380"/>
    <x v="438"/>
    <x v="6"/>
    <x v="0"/>
    <n v="4"/>
    <x v="4"/>
    <n v="1900"/>
    <n v="39.799999999999997"/>
    <n v="240"/>
    <n v="180"/>
    <n v="300"/>
    <n v="82.75"/>
    <x v="1"/>
    <n v="597.16139497161384"/>
    <n v="7165.9367396593661"/>
    <n v="9785.9367396593661"/>
  </r>
  <r>
    <x v="35"/>
    <x v="381"/>
    <x v="439"/>
    <x v="12"/>
    <x v="1"/>
    <n v="4"/>
    <x v="4"/>
    <n v="8500"/>
    <n v="42.5"/>
    <n v="270"/>
    <n v="80"/>
    <n v="350"/>
    <n v="35.25"/>
    <x v="1"/>
    <n v="637.6723438767234"/>
    <n v="7652.0681265206804"/>
    <n v="16852.06812652068"/>
  </r>
  <r>
    <x v="38"/>
    <x v="382"/>
    <x v="440"/>
    <x v="14"/>
    <x v="2"/>
    <n v="2"/>
    <x v="0"/>
    <n v="1900"/>
    <n v="27.8"/>
    <n v="160"/>
    <n v="100"/>
    <n v="200"/>
    <n v="30.9"/>
    <x v="1"/>
    <n v="417.11273317112739"/>
    <n v="5005.3527980535291"/>
    <n v="7365.3527980535291"/>
  </r>
  <r>
    <x v="36"/>
    <x v="383"/>
    <x v="441"/>
    <x v="41"/>
    <x v="1"/>
    <n v="4"/>
    <x v="4"/>
    <n v="21000"/>
    <n v="61.4"/>
    <n v="650"/>
    <n v="270"/>
    <n v="750"/>
    <n v="3.67"/>
    <x v="0"/>
    <n v="921.24898621248985"/>
    <n v="11054.987834549878"/>
    <n v="33724.98783454988"/>
  </r>
  <r>
    <x v="45"/>
    <x v="384"/>
    <x v="442"/>
    <x v="0"/>
    <x v="2"/>
    <n v="2"/>
    <x v="0"/>
    <n v="0"/>
    <n v="84.5"/>
    <n v="1200"/>
    <n v="140"/>
    <n v="900"/>
    <n v="137.5"/>
    <x v="1"/>
    <n v="1267.8426601784267"/>
    <n v="15214.111922141121"/>
    <n v="17454.111922141121"/>
  </r>
  <r>
    <x v="46"/>
    <x v="385"/>
    <x v="443"/>
    <x v="39"/>
    <x v="2"/>
    <n v="2"/>
    <x v="0"/>
    <n v="3500"/>
    <n v="41.2"/>
    <n v="400"/>
    <n v="80"/>
    <n v="300"/>
    <n v="3950"/>
    <x v="2"/>
    <n v="618.16707218167073"/>
    <n v="7418.0048661800483"/>
    <n v="11698.004866180048"/>
  </r>
  <r>
    <x v="24"/>
    <x v="44"/>
    <x v="46"/>
    <x v="1"/>
    <x v="0"/>
    <n v="4"/>
    <x v="4"/>
    <n v="3000"/>
    <n v="54.8"/>
    <n v="650"/>
    <n v="80"/>
    <n v="400"/>
    <n v="4.0999999999999996"/>
    <x v="0"/>
    <n v="822.22222222222217"/>
    <n v="9866.6666666666661"/>
    <n v="13996.666666666666"/>
  </r>
  <r>
    <x v="47"/>
    <x v="386"/>
    <x v="444"/>
    <x v="12"/>
    <x v="1"/>
    <n v="3"/>
    <x v="5"/>
    <n v="2500"/>
    <n v="45.2"/>
    <n v="450"/>
    <n v="120"/>
    <n v="350"/>
    <n v="4.6500000000000004"/>
    <x v="0"/>
    <n v="678.18329278183296"/>
    <n v="8138.1995133819955"/>
    <n v="11558.199513381995"/>
  </r>
  <r>
    <x v="48"/>
    <x v="387"/>
    <x v="445"/>
    <x v="6"/>
    <x v="2"/>
    <n v="2"/>
    <x v="0"/>
    <n v="400"/>
    <n v="83.2"/>
    <n v="1400"/>
    <n v="100"/>
    <n v="800"/>
    <n v="0.92"/>
    <x v="0"/>
    <n v="1248.3373884833738"/>
    <n v="14980.048661800487"/>
    <n v="17680.048661800487"/>
  </r>
  <r>
    <x v="40"/>
    <x v="132"/>
    <x v="137"/>
    <x v="40"/>
    <x v="2"/>
    <n v="2"/>
    <x v="0"/>
    <n v="5000"/>
    <n v="45.8"/>
    <n v="400"/>
    <n v="150"/>
    <n v="250"/>
    <n v="15600"/>
    <x v="2"/>
    <n v="687.18572587185724"/>
    <n v="8246.2287104622865"/>
    <n v="14046.228710462286"/>
  </r>
  <r>
    <x v="45"/>
    <x v="388"/>
    <x v="446"/>
    <x v="14"/>
    <x v="1"/>
    <n v="3"/>
    <x v="5"/>
    <n v="0"/>
    <n v="78.400000000000006"/>
    <n v="900"/>
    <n v="140"/>
    <n v="900"/>
    <n v="137.5"/>
    <x v="1"/>
    <n v="1176.3179237631794"/>
    <n v="14115.815085158152"/>
    <n v="16055.815085158152"/>
  </r>
  <r>
    <x v="46"/>
    <x v="389"/>
    <x v="447"/>
    <x v="0"/>
    <x v="0"/>
    <n v="4"/>
    <x v="4"/>
    <n v="4000"/>
    <n v="38.5"/>
    <n v="350"/>
    <n v="80"/>
    <n v="300"/>
    <n v="3950"/>
    <x v="2"/>
    <n v="577.65612327656117"/>
    <n v="6931.8734793187341"/>
    <n v="11661.873479318734"/>
  </r>
  <r>
    <x v="24"/>
    <x v="390"/>
    <x v="448"/>
    <x v="42"/>
    <x v="2"/>
    <n v="2"/>
    <x v="0"/>
    <n v="2800"/>
    <n v="52.4"/>
    <n v="600"/>
    <n v="80"/>
    <n v="400"/>
    <n v="4.0999999999999996"/>
    <x v="0"/>
    <n v="786.21248986212493"/>
    <n v="9434.5498783454987"/>
    <n v="13314.549878345499"/>
  </r>
  <r>
    <x v="47"/>
    <x v="391"/>
    <x v="449"/>
    <x v="1"/>
    <x v="2"/>
    <n v="2"/>
    <x v="0"/>
    <n v="2200"/>
    <n v="43.8"/>
    <n v="400"/>
    <n v="120"/>
    <n v="350"/>
    <n v="4.6500000000000004"/>
    <x v="0"/>
    <n v="657.17761557177619"/>
    <n v="7886.1313868613142"/>
    <n v="10956.131386861314"/>
  </r>
  <r>
    <x v="48"/>
    <x v="392"/>
    <x v="450"/>
    <x v="44"/>
    <x v="2"/>
    <n v="2"/>
    <x v="0"/>
    <n v="400"/>
    <n v="79.5"/>
    <n v="1200"/>
    <n v="100"/>
    <n v="800"/>
    <n v="0.92"/>
    <x v="0"/>
    <n v="1192.8223844282238"/>
    <n v="14313.868613138686"/>
    <n v="16813.868613138686"/>
  </r>
  <r>
    <x v="40"/>
    <x v="393"/>
    <x v="451"/>
    <x v="12"/>
    <x v="0"/>
    <n v="4"/>
    <x v="4"/>
    <n v="4500"/>
    <n v="42.4"/>
    <n v="300"/>
    <n v="150"/>
    <n v="250"/>
    <n v="15600"/>
    <x v="2"/>
    <n v="636.17193836171941"/>
    <n v="7634.063260340633"/>
    <n v="12834.063260340634"/>
  </r>
  <r>
    <x v="45"/>
    <x v="384"/>
    <x v="452"/>
    <x v="30"/>
    <x v="2"/>
    <n v="2"/>
    <x v="0"/>
    <n v="0"/>
    <n v="84.5"/>
    <n v="1150"/>
    <n v="140"/>
    <n v="900"/>
    <n v="137.5"/>
    <x v="1"/>
    <n v="1267.8426601784267"/>
    <n v="15214.111922141121"/>
    <n v="17404.111922141121"/>
  </r>
  <r>
    <x v="46"/>
    <x v="394"/>
    <x v="453"/>
    <x v="41"/>
    <x v="1"/>
    <n v="4"/>
    <x v="4"/>
    <n v="3200"/>
    <n v="36.799999999999997"/>
    <n v="300"/>
    <n v="80"/>
    <n v="300"/>
    <n v="3950"/>
    <x v="2"/>
    <n v="552.14922952149232"/>
    <n v="6625.7907542579078"/>
    <n v="10505.790754257909"/>
  </r>
  <r>
    <x v="24"/>
    <x v="395"/>
    <x v="454"/>
    <x v="6"/>
    <x v="2"/>
    <n v="2"/>
    <x v="0"/>
    <n v="2600"/>
    <n v="50.5"/>
    <n v="550"/>
    <n v="80"/>
    <n v="400"/>
    <n v="4.0999999999999996"/>
    <x v="0"/>
    <n v="757.70478507704797"/>
    <n v="9092.4574209245766"/>
    <n v="12722.457420924577"/>
  </r>
  <r>
    <x v="47"/>
    <x v="396"/>
    <x v="455"/>
    <x v="39"/>
    <x v="0"/>
    <n v="4"/>
    <x v="4"/>
    <n v="2400"/>
    <n v="42.5"/>
    <n v="380"/>
    <n v="120"/>
    <n v="350"/>
    <n v="4.6500000000000004"/>
    <x v="0"/>
    <n v="637.6723438767234"/>
    <n v="7652.0681265206804"/>
    <n v="10902.06812652068"/>
  </r>
  <r>
    <x v="48"/>
    <x v="397"/>
    <x v="456"/>
    <x v="0"/>
    <x v="1"/>
    <n v="3"/>
    <x v="5"/>
    <n v="400"/>
    <n v="78.400000000000006"/>
    <n v="1100"/>
    <n v="100"/>
    <n v="800"/>
    <n v="0.92"/>
    <x v="0"/>
    <n v="1176.3179237631794"/>
    <n v="14115.815085158152"/>
    <n v="16515.815085158152"/>
  </r>
  <r>
    <x v="40"/>
    <x v="398"/>
    <x v="457"/>
    <x v="1"/>
    <x v="2"/>
    <n v="2"/>
    <x v="0"/>
    <n v="4000"/>
    <n v="40.200000000000003"/>
    <n v="250"/>
    <n v="150"/>
    <n v="250"/>
    <n v="15600"/>
    <x v="2"/>
    <n v="603.16301703163026"/>
    <n v="7237.9562043795631"/>
    <n v="11887.956204379563"/>
  </r>
  <r>
    <x v="45"/>
    <x v="399"/>
    <x v="458"/>
    <x v="89"/>
    <x v="2"/>
    <n v="2"/>
    <x v="0"/>
    <n v="0"/>
    <n v="82.1"/>
    <n v="1000"/>
    <n v="140"/>
    <n v="900"/>
    <n v="137.5"/>
    <x v="1"/>
    <n v="1231.8329278183292"/>
    <n v="14781.99513381995"/>
    <n v="16821.99513381995"/>
  </r>
  <r>
    <x v="46"/>
    <x v="400"/>
    <x v="459"/>
    <x v="12"/>
    <x v="2"/>
    <n v="2"/>
    <x v="0"/>
    <n v="3800"/>
    <n v="35.4"/>
    <n v="280"/>
    <n v="80"/>
    <n v="300"/>
    <n v="3950"/>
    <x v="2"/>
    <n v="531.14355231143554"/>
    <n v="6373.7226277372265"/>
    <n v="10833.722627737227"/>
  </r>
  <r>
    <x v="24"/>
    <x v="401"/>
    <x v="460"/>
    <x v="0"/>
    <x v="0"/>
    <n v="4"/>
    <x v="4"/>
    <n v="2700"/>
    <n v="51.2"/>
    <n v="580"/>
    <n v="80"/>
    <n v="400"/>
    <n v="4.0999999999999996"/>
    <x v="0"/>
    <n v="768.20762368207625"/>
    <n v="9218.491484184915"/>
    <n v="12978.491484184915"/>
  </r>
  <r>
    <x v="47"/>
    <x v="402"/>
    <x v="461"/>
    <x v="40"/>
    <x v="2"/>
    <n v="2"/>
    <x v="0"/>
    <n v="2100"/>
    <n v="41.8"/>
    <n v="350"/>
    <n v="120"/>
    <n v="350"/>
    <n v="4.6500000000000004"/>
    <x v="0"/>
    <n v="627.16950527169513"/>
    <n v="7526.034063260342"/>
    <n v="10446.034063260342"/>
  </r>
  <r>
    <x v="48"/>
    <x v="403"/>
    <x v="462"/>
    <x v="14"/>
    <x v="2"/>
    <n v="2"/>
    <x v="0"/>
    <n v="400"/>
    <n v="81.5"/>
    <n v="1300"/>
    <n v="100"/>
    <n v="800"/>
    <n v="0.92"/>
    <x v="0"/>
    <n v="1222.830494728305"/>
    <n v="14673.96593673966"/>
    <n v="17273.96593673966"/>
  </r>
  <r>
    <x v="40"/>
    <x v="404"/>
    <x v="463"/>
    <x v="39"/>
    <x v="1"/>
    <n v="4"/>
    <x v="4"/>
    <n v="3800"/>
    <n v="41.5"/>
    <n v="280"/>
    <n v="150"/>
    <n v="250"/>
    <n v="15600"/>
    <x v="2"/>
    <n v="622.66828872668293"/>
    <n v="7472.0194647201952"/>
    <n v="11952.019464720195"/>
  </r>
  <r>
    <x v="45"/>
    <x v="405"/>
    <x v="464"/>
    <x v="90"/>
    <x v="1"/>
    <n v="3"/>
    <x v="5"/>
    <n v="0"/>
    <n v="81.2"/>
    <n v="950"/>
    <n v="140"/>
    <n v="900"/>
    <n v="137.5"/>
    <x v="1"/>
    <n v="1218.3292781832929"/>
    <n v="14619.951338199515"/>
    <n v="16609.951338199513"/>
  </r>
  <r>
    <x v="46"/>
    <x v="406"/>
    <x v="465"/>
    <x v="1"/>
    <x v="0"/>
    <n v="4"/>
    <x v="4"/>
    <n v="3500"/>
    <n v="34.799999999999997"/>
    <n v="260"/>
    <n v="80"/>
    <n v="300"/>
    <n v="3950"/>
    <x v="2"/>
    <n v="522.14111922141115"/>
    <n v="6265.6934306569337"/>
    <n v="10405.693430656935"/>
  </r>
  <r>
    <x v="24"/>
    <x v="407"/>
    <x v="466"/>
    <x v="48"/>
    <x v="2"/>
    <n v="2"/>
    <x v="0"/>
    <n v="2500"/>
    <n v="49.8"/>
    <n v="520"/>
    <n v="80"/>
    <n v="400"/>
    <n v="4.0999999999999996"/>
    <x v="0"/>
    <n v="747.20194647201947"/>
    <n v="8966.4233576642328"/>
    <n v="12466.423357664233"/>
  </r>
  <r>
    <x v="47"/>
    <x v="408"/>
    <x v="467"/>
    <x v="12"/>
    <x v="1"/>
    <n v="4"/>
    <x v="4"/>
    <n v="2000"/>
    <n v="40.5"/>
    <n v="330"/>
    <n v="120"/>
    <n v="350"/>
    <n v="4.6500000000000004"/>
    <x v="0"/>
    <n v="607.66423357664235"/>
    <n v="7291.9708029197081"/>
    <n v="10091.970802919708"/>
  </r>
  <r>
    <x v="48"/>
    <x v="409"/>
    <x v="468"/>
    <x v="41"/>
    <x v="2"/>
    <n v="2"/>
    <x v="0"/>
    <n v="400"/>
    <n v="77.8"/>
    <n v="1150"/>
    <n v="100"/>
    <n v="800"/>
    <n v="0.92"/>
    <x v="0"/>
    <n v="1167.315490673155"/>
    <n v="14007.785888077859"/>
    <n v="16457.785888077859"/>
  </r>
  <r>
    <x v="40"/>
    <x v="410"/>
    <x v="469"/>
    <x v="6"/>
    <x v="2"/>
    <n v="2"/>
    <x v="0"/>
    <n v="3500"/>
    <n v="39.799999999999997"/>
    <n v="240"/>
    <n v="150"/>
    <n v="250"/>
    <n v="15600"/>
    <x v="2"/>
    <n v="597.16139497161384"/>
    <n v="7165.9367396593661"/>
    <n v="11305.936739659366"/>
  </r>
  <r>
    <x v="24"/>
    <x v="411"/>
    <x v="470"/>
    <x v="39"/>
    <x v="2"/>
    <n v="2"/>
    <x v="0"/>
    <n v="2400"/>
    <n v="48.5"/>
    <n v="500"/>
    <n v="80"/>
    <n v="400"/>
    <n v="4.0999999999999996"/>
    <x v="0"/>
    <n v="727.69667477696669"/>
    <n v="8732.3600973236007"/>
    <n v="12112.360097323601"/>
  </r>
  <r>
    <x v="47"/>
    <x v="412"/>
    <x v="471"/>
    <x v="14"/>
    <x v="2"/>
    <n v="2"/>
    <x v="0"/>
    <n v="1900"/>
    <n v="39.799999999999997"/>
    <n v="320"/>
    <n v="120"/>
    <n v="350"/>
    <n v="4.6500000000000004"/>
    <x v="0"/>
    <n v="597.16139497161384"/>
    <n v="7165.9367396593661"/>
    <n v="9855.9367396593661"/>
  </r>
  <r>
    <x v="48"/>
    <x v="413"/>
    <x v="472"/>
    <x v="61"/>
    <x v="1"/>
    <n v="3"/>
    <x v="5"/>
    <n v="400"/>
    <n v="76.5"/>
    <n v="1100"/>
    <n v="100"/>
    <n v="800"/>
    <n v="0.92"/>
    <x v="0"/>
    <n v="1147.8102189781023"/>
    <n v="13773.722627737228"/>
    <n v="16173.722627737228"/>
  </r>
  <r>
    <x v="40"/>
    <x v="414"/>
    <x v="473"/>
    <x v="0"/>
    <x v="0"/>
    <n v="4"/>
    <x v="4"/>
    <n v="3200"/>
    <n v="38.5"/>
    <n v="220"/>
    <n v="150"/>
    <n v="250"/>
    <n v="15600"/>
    <x v="2"/>
    <n v="577.65612327656117"/>
    <n v="6931.8734793187341"/>
    <n v="10751.873479318734"/>
  </r>
  <r>
    <x v="45"/>
    <x v="415"/>
    <x v="474"/>
    <x v="91"/>
    <x v="2"/>
    <n v="2"/>
    <x v="0"/>
    <n v="0"/>
    <n v="79.8"/>
    <n v="900"/>
    <n v="140"/>
    <n v="900"/>
    <n v="137.5"/>
    <x v="1"/>
    <n v="1197.3236009732359"/>
    <n v="14367.883211678831"/>
    <n v="16307.883211678831"/>
  </r>
  <r>
    <x v="46"/>
    <x v="416"/>
    <x v="475"/>
    <x v="40"/>
    <x v="2"/>
    <n v="2"/>
    <x v="0"/>
    <n v="3300"/>
    <n v="35.200000000000003"/>
    <n v="290"/>
    <n v="80"/>
    <n v="300"/>
    <n v="3950"/>
    <x v="2"/>
    <n v="528.14274128142745"/>
    <n v="6337.7128953771298"/>
    <n v="10307.71289537713"/>
  </r>
  <r>
    <x v="24"/>
    <x v="417"/>
    <x v="476"/>
    <x v="12"/>
    <x v="1"/>
    <n v="3"/>
    <x v="5"/>
    <n v="2300"/>
    <n v="47.8"/>
    <n v="480"/>
    <n v="80"/>
    <n v="400"/>
    <n v="4.0999999999999996"/>
    <x v="0"/>
    <n v="717.19383617193841"/>
    <n v="8606.3260340632605"/>
    <n v="11866.326034063261"/>
  </r>
  <r>
    <x v="47"/>
    <x v="418"/>
    <x v="477"/>
    <x v="42"/>
    <x v="0"/>
    <n v="4"/>
    <x v="4"/>
    <n v="2200"/>
    <n v="38.9"/>
    <n v="300"/>
    <n v="120"/>
    <n v="350"/>
    <n v="4.6500000000000004"/>
    <x v="0"/>
    <n v="583.65774533657748"/>
    <n v="7003.8929440389293"/>
    <n v="9973.8929440389293"/>
  </r>
  <r>
    <x v="48"/>
    <x v="419"/>
    <x v="478"/>
    <x v="2"/>
    <x v="2"/>
    <n v="2"/>
    <x v="0"/>
    <n v="400"/>
    <n v="75.400000000000006"/>
    <n v="1050"/>
    <n v="100"/>
    <n v="800"/>
    <n v="0.92"/>
    <x v="0"/>
    <n v="1131.3057583130576"/>
    <n v="13575.669099756691"/>
    <n v="15925.669099756691"/>
  </r>
  <r>
    <x v="40"/>
    <x v="420"/>
    <x v="479"/>
    <x v="41"/>
    <x v="2"/>
    <n v="2"/>
    <x v="0"/>
    <n v="3000"/>
    <n v="37.9"/>
    <n v="200"/>
    <n v="150"/>
    <n v="250"/>
    <n v="15600"/>
    <x v="2"/>
    <n v="568.65369018653689"/>
    <n v="6823.8442822384422"/>
    <n v="10423.844282238442"/>
  </r>
  <r>
    <x v="49"/>
    <x v="421"/>
    <x v="480"/>
    <x v="0"/>
    <x v="2"/>
    <n v="2"/>
    <x v="0"/>
    <n v="1500"/>
    <n v="35.799999999999997"/>
    <n v="250"/>
    <n v="60"/>
    <n v="200"/>
    <n v="3.15"/>
    <x v="0"/>
    <n v="537.14517437145162"/>
    <n v="6445.7420924574199"/>
    <n v="8455.7420924574199"/>
  </r>
  <r>
    <x v="50"/>
    <x v="422"/>
    <x v="481"/>
    <x v="1"/>
    <x v="2"/>
    <n v="2"/>
    <x v="0"/>
    <n v="8000"/>
    <n v="65.400000000000006"/>
    <n v="600"/>
    <n v="100"/>
    <n v="500"/>
    <n v="0.92"/>
    <x v="0"/>
    <n v="981.26520681265208"/>
    <n v="11775.182481751825"/>
    <n v="20975.182481751825"/>
  </r>
  <r>
    <x v="51"/>
    <x v="423"/>
    <x v="482"/>
    <x v="39"/>
    <x v="0"/>
    <n v="4"/>
    <x v="4"/>
    <n v="4000"/>
    <n v="58.9"/>
    <n v="450"/>
    <n v="80"/>
    <n v="400"/>
    <n v="7.35"/>
    <x v="1"/>
    <n v="883.7388483373885"/>
    <n v="10604.866180048662"/>
    <n v="15534.866180048662"/>
  </r>
  <r>
    <x v="52"/>
    <x v="424"/>
    <x v="483"/>
    <x v="12"/>
    <x v="1"/>
    <n v="4"/>
    <x v="4"/>
    <n v="6000"/>
    <n v="42.5"/>
    <n v="350"/>
    <n v="100"/>
    <n v="300"/>
    <n v="56.8"/>
    <x v="1"/>
    <n v="637.6723438767234"/>
    <n v="7652.0681265206804"/>
    <n v="14402.06812652068"/>
  </r>
  <r>
    <x v="53"/>
    <x v="425"/>
    <x v="484"/>
    <x v="40"/>
    <x v="2"/>
    <n v="2"/>
    <x v="0"/>
    <n v="2000"/>
    <n v="41.2"/>
    <n v="300"/>
    <n v="70"/>
    <n v="250"/>
    <n v="10.15"/>
    <x v="1"/>
    <n v="618.16707218167073"/>
    <n v="7418.0048661800483"/>
    <n v="10038.004866180048"/>
  </r>
  <r>
    <x v="54"/>
    <x v="426"/>
    <x v="485"/>
    <x v="14"/>
    <x v="2"/>
    <n v="2"/>
    <x v="0"/>
    <n v="8500"/>
    <n v="44.8"/>
    <n v="400"/>
    <n v="120"/>
    <n v="350"/>
    <n v="3.75"/>
    <x v="0"/>
    <n v="672.18167072181666"/>
    <n v="8066.1800486617994"/>
    <n v="17436.180048661801"/>
  </r>
  <r>
    <x v="39"/>
    <x v="131"/>
    <x v="136"/>
    <x v="0"/>
    <x v="0"/>
    <n v="4"/>
    <x v="4"/>
    <n v="0"/>
    <n v="42.5"/>
    <n v="350"/>
    <n v="90"/>
    <n v="280"/>
    <n v="275"/>
    <x v="1"/>
    <n v="637.6723438767234"/>
    <n v="7652.0681265206804"/>
    <n v="8372.0681265206804"/>
  </r>
  <r>
    <x v="49"/>
    <x v="427"/>
    <x v="486"/>
    <x v="6"/>
    <x v="2"/>
    <n v="2"/>
    <x v="0"/>
    <n v="1400"/>
    <n v="33.200000000000003"/>
    <n v="200"/>
    <n v="60"/>
    <n v="200"/>
    <n v="3.15"/>
    <x v="0"/>
    <n v="498.13463098134633"/>
    <n v="5977.6155717761558"/>
    <n v="7837.6155717761558"/>
  </r>
  <r>
    <x v="50"/>
    <x v="428"/>
    <x v="487"/>
    <x v="42"/>
    <x v="1"/>
    <n v="4"/>
    <x v="4"/>
    <n v="7500"/>
    <n v="62.8"/>
    <n v="550"/>
    <n v="100"/>
    <n v="500"/>
    <n v="0.92"/>
    <x v="0"/>
    <n v="942.25466342254663"/>
    <n v="11307.05596107056"/>
    <n v="19957.05596107056"/>
  </r>
  <r>
    <x v="51"/>
    <x v="429"/>
    <x v="488"/>
    <x v="44"/>
    <x v="2"/>
    <n v="2"/>
    <x v="0"/>
    <n v="3800"/>
    <n v="56.4"/>
    <n v="400"/>
    <n v="80"/>
    <n v="400"/>
    <n v="7.35"/>
    <x v="1"/>
    <n v="846.22871046228715"/>
    <n v="10154.744525547445"/>
    <n v="14834.744525547445"/>
  </r>
  <r>
    <x v="52"/>
    <x v="430"/>
    <x v="489"/>
    <x v="41"/>
    <x v="2"/>
    <n v="2"/>
    <x v="0"/>
    <n v="5500"/>
    <n v="40.200000000000003"/>
    <n v="300"/>
    <n v="100"/>
    <n v="300"/>
    <n v="56.8"/>
    <x v="1"/>
    <n v="603.16301703163026"/>
    <n v="7237.9562043795631"/>
    <n v="13437.956204379563"/>
  </r>
  <r>
    <x v="53"/>
    <x v="431"/>
    <x v="490"/>
    <x v="12"/>
    <x v="0"/>
    <n v="4"/>
    <x v="4"/>
    <n v="2200"/>
    <n v="43.5"/>
    <n v="350"/>
    <n v="70"/>
    <n v="250"/>
    <n v="10.15"/>
    <x v="1"/>
    <n v="652.67639902676399"/>
    <n v="7832.1167883211674"/>
    <n v="10702.116788321167"/>
  </r>
  <r>
    <x v="54"/>
    <x v="432"/>
    <x v="491"/>
    <x v="39"/>
    <x v="1"/>
    <n v="4"/>
    <x v="4"/>
    <n v="7000"/>
    <n v="41.2"/>
    <n v="300"/>
    <n v="120"/>
    <n v="350"/>
    <n v="3.75"/>
    <x v="0"/>
    <n v="618.16707218167073"/>
    <n v="7418.0048661800483"/>
    <n v="15188.004866180048"/>
  </r>
  <r>
    <x v="39"/>
    <x v="433"/>
    <x v="492"/>
    <x v="1"/>
    <x v="2"/>
    <n v="2"/>
    <x v="0"/>
    <n v="0"/>
    <n v="39.799999999999997"/>
    <n v="280"/>
    <n v="90"/>
    <n v="280"/>
    <n v="275"/>
    <x v="1"/>
    <n v="597.16139497161384"/>
    <n v="7165.9367396593661"/>
    <n v="7815.9367396593661"/>
  </r>
  <r>
    <x v="49"/>
    <x v="434"/>
    <x v="493"/>
    <x v="64"/>
    <x v="1"/>
    <n v="3"/>
    <x v="5"/>
    <n v="1300"/>
    <n v="32.5"/>
    <n v="180"/>
    <n v="60"/>
    <n v="200"/>
    <n v="3.15"/>
    <x v="0"/>
    <n v="487.63179237631789"/>
    <n v="5851.5815085158147"/>
    <n v="7591.5815085158147"/>
  </r>
  <r>
    <x v="50"/>
    <x v="435"/>
    <x v="494"/>
    <x v="6"/>
    <x v="0"/>
    <n v="4"/>
    <x v="4"/>
    <n v="8200"/>
    <n v="61.5"/>
    <n v="500"/>
    <n v="100"/>
    <n v="500"/>
    <n v="0.92"/>
    <x v="0"/>
    <n v="922.74939172749396"/>
    <n v="11072.992700729927"/>
    <n v="20372.992700729927"/>
  </r>
  <r>
    <x v="51"/>
    <x v="436"/>
    <x v="495"/>
    <x v="40"/>
    <x v="2"/>
    <n v="2"/>
    <x v="0"/>
    <n v="3500"/>
    <n v="54.8"/>
    <n v="380"/>
    <n v="80"/>
    <n v="400"/>
    <n v="7.35"/>
    <x v="1"/>
    <n v="822.22222222222217"/>
    <n v="9866.6666666666661"/>
    <n v="14226.666666666666"/>
  </r>
  <r>
    <x v="52"/>
    <x v="437"/>
    <x v="496"/>
    <x v="0"/>
    <x v="1"/>
    <n v="4"/>
    <x v="4"/>
    <n v="5000"/>
    <n v="38.5"/>
    <n v="280"/>
    <n v="100"/>
    <n v="300"/>
    <n v="56.8"/>
    <x v="1"/>
    <n v="577.65612327656117"/>
    <n v="6931.8734793187341"/>
    <n v="12611.873479318734"/>
  </r>
  <r>
    <x v="53"/>
    <x v="438"/>
    <x v="497"/>
    <x v="14"/>
    <x v="2"/>
    <n v="2"/>
    <x v="0"/>
    <n v="1800"/>
    <n v="39.799999999999997"/>
    <n v="250"/>
    <n v="70"/>
    <n v="250"/>
    <n v="10.15"/>
    <x v="1"/>
    <n v="597.16139497161384"/>
    <n v="7165.9367396593661"/>
    <n v="9535.9367396593661"/>
  </r>
  <r>
    <x v="54"/>
    <x v="439"/>
    <x v="498"/>
    <x v="42"/>
    <x v="0"/>
    <n v="4"/>
    <x v="4"/>
    <n v="7500"/>
    <n v="40.5"/>
    <n v="280"/>
    <n v="120"/>
    <n v="350"/>
    <n v="3.75"/>
    <x v="0"/>
    <n v="607.66423357664235"/>
    <n v="7291.9708029197081"/>
    <n v="15541.970802919708"/>
  </r>
  <r>
    <x v="39"/>
    <x v="440"/>
    <x v="499"/>
    <x v="12"/>
    <x v="2"/>
    <n v="2"/>
    <x v="0"/>
    <n v="0"/>
    <n v="38.5"/>
    <n v="260"/>
    <n v="90"/>
    <n v="280"/>
    <n v="275"/>
    <x v="1"/>
    <n v="577.65612327656117"/>
    <n v="6931.8734793187341"/>
    <n v="7561.8734793187341"/>
  </r>
  <r>
    <x v="49"/>
    <x v="441"/>
    <x v="500"/>
    <x v="1"/>
    <x v="0"/>
    <n v="4"/>
    <x v="4"/>
    <n v="1600"/>
    <n v="31.8"/>
    <n v="170"/>
    <n v="60"/>
    <n v="200"/>
    <n v="3.15"/>
    <x v="0"/>
    <n v="477.12895377128956"/>
    <n v="5725.5474452554745"/>
    <n v="7755.5474452554745"/>
  </r>
  <r>
    <x v="50"/>
    <x v="442"/>
    <x v="501"/>
    <x v="39"/>
    <x v="2"/>
    <n v="2"/>
    <x v="0"/>
    <n v="7800"/>
    <n v="59.8"/>
    <n v="480"/>
    <n v="100"/>
    <n v="500"/>
    <n v="0.92"/>
    <x v="0"/>
    <n v="897.24249797242499"/>
    <n v="10766.909975669099"/>
    <n v="19646.909975669099"/>
  </r>
  <r>
    <x v="51"/>
    <x v="443"/>
    <x v="502"/>
    <x v="0"/>
    <x v="1"/>
    <n v="3"/>
    <x v="5"/>
    <n v="3200"/>
    <n v="52.5"/>
    <n v="350"/>
    <n v="80"/>
    <n v="400"/>
    <n v="7.35"/>
    <x v="1"/>
    <n v="787.71289537712903"/>
    <n v="9452.5547445255488"/>
    <n v="13482.554744525549"/>
  </r>
  <r>
    <x v="52"/>
    <x v="444"/>
    <x v="503"/>
    <x v="40"/>
    <x v="2"/>
    <n v="2"/>
    <x v="0"/>
    <n v="4800"/>
    <n v="37.200000000000003"/>
    <n v="260"/>
    <n v="100"/>
    <n v="300"/>
    <n v="56.8"/>
    <x v="1"/>
    <n v="558.1508515815085"/>
    <n v="6697.8102189781021"/>
    <n v="12157.810218978102"/>
  </r>
  <r>
    <x v="53"/>
    <x v="445"/>
    <x v="504"/>
    <x v="6"/>
    <x v="0"/>
    <n v="4"/>
    <x v="4"/>
    <n v="2100"/>
    <n v="40.5"/>
    <n v="280"/>
    <n v="70"/>
    <n v="250"/>
    <n v="10.15"/>
    <x v="1"/>
    <n v="607.66423357664235"/>
    <n v="7291.9708029197081"/>
    <n v="9991.9708029197081"/>
  </r>
  <r>
    <x v="54"/>
    <x v="446"/>
    <x v="505"/>
    <x v="14"/>
    <x v="2"/>
    <n v="2"/>
    <x v="0"/>
    <n v="6800"/>
    <n v="39.799999999999997"/>
    <n v="260"/>
    <n v="120"/>
    <n v="350"/>
    <n v="3.75"/>
    <x v="0"/>
    <n v="597.16139497161384"/>
    <n v="7165.9367396593661"/>
    <n v="14695.936739659366"/>
  </r>
  <r>
    <x v="39"/>
    <x v="447"/>
    <x v="506"/>
    <x v="42"/>
    <x v="1"/>
    <n v="4"/>
    <x v="4"/>
    <n v="0"/>
    <n v="37.5"/>
    <n v="240"/>
    <n v="90"/>
    <n v="280"/>
    <n v="275"/>
    <x v="1"/>
    <n v="562.6520681265207"/>
    <n v="6751.8248175182489"/>
    <n v="7361.8248175182489"/>
  </r>
  <r>
    <x v="49"/>
    <x v="448"/>
    <x v="507"/>
    <x v="12"/>
    <x v="2"/>
    <n v="2"/>
    <x v="0"/>
    <n v="1400"/>
    <n v="30.5"/>
    <n v="160"/>
    <n v="60"/>
    <n v="200"/>
    <n v="3.15"/>
    <x v="0"/>
    <n v="457.62368207623683"/>
    <n v="5491.4841849148415"/>
    <n v="7311.4841849148415"/>
  </r>
  <r>
    <x v="51"/>
    <x v="449"/>
    <x v="508"/>
    <x v="41"/>
    <x v="0"/>
    <n v="4"/>
    <x v="4"/>
    <n v="3600"/>
    <n v="53.2"/>
    <n v="370"/>
    <n v="80"/>
    <n v="400"/>
    <n v="7.35"/>
    <x v="1"/>
    <n v="798.2157339821573"/>
    <n v="9578.5888077858872"/>
    <n v="14028.588807785887"/>
  </r>
  <r>
    <x v="50"/>
    <x v="450"/>
    <x v="509"/>
    <x v="1"/>
    <x v="1"/>
    <n v="3"/>
    <x v="5"/>
    <n v="7400"/>
    <n v="58.5"/>
    <n v="450"/>
    <n v="100"/>
    <n v="500"/>
    <n v="0.92"/>
    <x v="0"/>
    <n v="877.73722627737232"/>
    <n v="10532.846715328467"/>
    <n v="18982.846715328466"/>
  </r>
  <r>
    <x v="52"/>
    <x v="451"/>
    <x v="510"/>
    <x v="0"/>
    <x v="0"/>
    <n v="4"/>
    <x v="4"/>
    <n v="4500"/>
    <n v="36.799999999999997"/>
    <n v="250"/>
    <n v="100"/>
    <n v="300"/>
    <n v="56.8"/>
    <x v="1"/>
    <n v="552.14922952149232"/>
    <n v="6625.7907542579078"/>
    <n v="11775.790754257909"/>
  </r>
  <r>
    <x v="53"/>
    <x v="452"/>
    <x v="511"/>
    <x v="39"/>
    <x v="2"/>
    <n v="2"/>
    <x v="0"/>
    <n v="1900"/>
    <n v="38.9"/>
    <n v="260"/>
    <n v="70"/>
    <n v="250"/>
    <n v="10.15"/>
    <x v="1"/>
    <n v="583.65774533657748"/>
    <n v="7003.8929440389293"/>
    <n v="9483.8929440389293"/>
  </r>
  <r>
    <x v="54"/>
    <x v="453"/>
    <x v="512"/>
    <x v="40"/>
    <x v="2"/>
    <n v="2"/>
    <x v="0"/>
    <n v="7200"/>
    <n v="38.5"/>
    <n v="250"/>
    <n v="120"/>
    <n v="350"/>
    <n v="3.75"/>
    <x v="0"/>
    <n v="577.65612327656117"/>
    <n v="6931.8734793187341"/>
    <n v="14851.873479318734"/>
  </r>
  <r>
    <x v="39"/>
    <x v="454"/>
    <x v="513"/>
    <x v="14"/>
    <x v="0"/>
    <n v="4"/>
    <x v="4"/>
    <n v="0"/>
    <n v="36.799999999999997"/>
    <n v="230"/>
    <n v="90"/>
    <n v="280"/>
    <n v="275"/>
    <x v="1"/>
    <n v="552.14922952149232"/>
    <n v="6625.7907542579078"/>
    <n v="7225.7907542579078"/>
  </r>
  <r>
    <x v="49"/>
    <x v="455"/>
    <x v="514"/>
    <x v="6"/>
    <x v="1"/>
    <n v="3"/>
    <x v="5"/>
    <n v="1200"/>
    <n v="29.8"/>
    <n v="150"/>
    <n v="60"/>
    <n v="200"/>
    <n v="3.15"/>
    <x v="0"/>
    <n v="447.12084347120845"/>
    <n v="5365.4501216545013"/>
    <n v="6975.4501216545013"/>
  </r>
  <r>
    <x v="50"/>
    <x v="456"/>
    <x v="515"/>
    <x v="12"/>
    <x v="2"/>
    <n v="2"/>
    <x v="0"/>
    <n v="7600"/>
    <n v="57.8"/>
    <n v="430"/>
    <n v="100"/>
    <n v="500"/>
    <n v="0.92"/>
    <x v="0"/>
    <n v="867.23438767234393"/>
    <n v="10406.812652068127"/>
    <n v="19036.812652068125"/>
  </r>
  <r>
    <x v="51"/>
    <x v="457"/>
    <x v="516"/>
    <x v="42"/>
    <x v="2"/>
    <n v="2"/>
    <x v="0"/>
    <n v="3400"/>
    <n v="54.5"/>
    <n v="390"/>
    <n v="80"/>
    <n v="400"/>
    <n v="7.35"/>
    <x v="1"/>
    <n v="817.72100567721009"/>
    <n v="9812.652068126521"/>
    <n v="14082.652068126521"/>
  </r>
  <r>
    <x v="53"/>
    <x v="458"/>
    <x v="517"/>
    <x v="0"/>
    <x v="1"/>
    <n v="4"/>
    <x v="4"/>
    <n v="1700"/>
    <n v="37.5"/>
    <n v="240"/>
    <n v="70"/>
    <n v="250"/>
    <n v="10.15"/>
    <x v="1"/>
    <n v="562.6520681265207"/>
    <n v="6751.8248175182489"/>
    <n v="9011.8248175182489"/>
  </r>
  <r>
    <x v="54"/>
    <x v="459"/>
    <x v="518"/>
    <x v="44"/>
    <x v="0"/>
    <n v="4"/>
    <x v="4"/>
    <n v="6500"/>
    <n v="37.799999999999997"/>
    <n v="240"/>
    <n v="120"/>
    <n v="350"/>
    <n v="3.75"/>
    <x v="0"/>
    <n v="567.15328467153279"/>
    <n v="6805.8394160583939"/>
    <n v="14015.839416058394"/>
  </r>
  <r>
    <x v="55"/>
    <x v="460"/>
    <x v="519"/>
    <x v="0"/>
    <x v="2"/>
    <n v="2"/>
    <x v="0"/>
    <n v="8500"/>
    <n v="45.8"/>
    <n v="400"/>
    <n v="100"/>
    <n v="300"/>
    <n v="1"/>
    <x v="0"/>
    <n v="687.18572587185724"/>
    <n v="8246.2287104622865"/>
    <n v="17546.228710462288"/>
  </r>
  <r>
    <x v="56"/>
    <x v="461"/>
    <x v="520"/>
    <x v="1"/>
    <x v="2"/>
    <n v="2"/>
    <x v="0"/>
    <n v="20000"/>
    <n v="58.9"/>
    <n v="600"/>
    <n v="150"/>
    <n v="500"/>
    <n v="15000"/>
    <x v="2"/>
    <n v="883.7388483373885"/>
    <n v="10604.866180048662"/>
    <n v="31854.866180048662"/>
  </r>
  <r>
    <x v="57"/>
    <x v="462"/>
    <x v="521"/>
    <x v="39"/>
    <x v="1"/>
    <n v="4"/>
    <x v="4"/>
    <n v="7000"/>
    <n v="65.400000000000006"/>
    <n v="700"/>
    <n v="130"/>
    <n v="600"/>
    <n v="0.38"/>
    <x v="0"/>
    <n v="981.26520681265208"/>
    <n v="11775.182481751825"/>
    <n v="20205.182481751825"/>
  </r>
  <r>
    <x v="58"/>
    <x v="463"/>
    <x v="522"/>
    <x v="12"/>
    <x v="0"/>
    <n v="4"/>
    <x v="4"/>
    <n v="0"/>
    <n v="52.4"/>
    <n v="450"/>
    <n v="90"/>
    <n v="350"/>
    <n v="39.5"/>
    <x v="1"/>
    <n v="786.21248986212493"/>
    <n v="9434.5498783454987"/>
    <n v="10324.549878345499"/>
  </r>
  <r>
    <x v="59"/>
    <x v="464"/>
    <x v="523"/>
    <x v="40"/>
    <x v="2"/>
    <n v="2"/>
    <x v="0"/>
    <n v="3500"/>
    <n v="48.5"/>
    <n v="400"/>
    <n v="110"/>
    <n v="300"/>
    <n v="1.85"/>
    <x v="0"/>
    <n v="727.69667477696669"/>
    <n v="8732.3600973236007"/>
    <n v="13042.360097323601"/>
  </r>
  <r>
    <x v="60"/>
    <x v="465"/>
    <x v="524"/>
    <x v="14"/>
    <x v="2"/>
    <n v="2"/>
    <x v="0"/>
    <n v="4500"/>
    <n v="42.1"/>
    <n v="300"/>
    <n v="120"/>
    <n v="250"/>
    <n v="12"/>
    <x v="1"/>
    <n v="631.67072181670721"/>
    <n v="7580.048661800487"/>
    <n v="12750.048661800487"/>
  </r>
  <r>
    <x v="61"/>
    <x v="466"/>
    <x v="525"/>
    <x v="0"/>
    <x v="1"/>
    <n v="3"/>
    <x v="5"/>
    <n v="1200"/>
    <n v="38.5"/>
    <n v="250"/>
    <n v="80"/>
    <n v="200"/>
    <n v="137.5"/>
    <x v="1"/>
    <n v="577.65612327656117"/>
    <n v="6931.8734793187341"/>
    <n v="8661.8734793187341"/>
  </r>
  <r>
    <x v="62"/>
    <x v="467"/>
    <x v="526"/>
    <x v="6"/>
    <x v="2"/>
    <n v="2"/>
    <x v="0"/>
    <n v="7500"/>
    <n v="51.2"/>
    <n v="600"/>
    <n v="100"/>
    <n v="400"/>
    <n v="1"/>
    <x v="0"/>
    <n v="768.20762368207625"/>
    <n v="9218.491484184915"/>
    <n v="17818.491484184917"/>
  </r>
  <r>
    <x v="55"/>
    <x v="468"/>
    <x v="527"/>
    <x v="42"/>
    <x v="0"/>
    <n v="4"/>
    <x v="4"/>
    <n v="7800"/>
    <n v="43.2"/>
    <n v="350"/>
    <n v="100"/>
    <n v="300"/>
    <n v="1"/>
    <x v="0"/>
    <n v="648.1751824817519"/>
    <n v="7778.1021897810224"/>
    <n v="16328.102189781022"/>
  </r>
  <r>
    <x v="56"/>
    <x v="469"/>
    <x v="528"/>
    <x v="44"/>
    <x v="2"/>
    <n v="2"/>
    <x v="0"/>
    <n v="18000"/>
    <n v="55.4"/>
    <n v="500"/>
    <n v="150"/>
    <n v="500"/>
    <n v="15000"/>
    <x v="2"/>
    <n v="831.22465531224657"/>
    <n v="9974.6958637469579"/>
    <n v="29124.695863746958"/>
  </r>
  <r>
    <x v="57"/>
    <x v="470"/>
    <x v="529"/>
    <x v="41"/>
    <x v="2"/>
    <n v="2"/>
    <x v="0"/>
    <n v="8000"/>
    <n v="63.2"/>
    <n v="650"/>
    <n v="130"/>
    <n v="600"/>
    <n v="0.38"/>
    <x v="0"/>
    <n v="948.25628548256282"/>
    <n v="11379.075425790754"/>
    <n v="20759.075425790754"/>
  </r>
  <r>
    <x v="58"/>
    <x v="471"/>
    <x v="530"/>
    <x v="0"/>
    <x v="2"/>
    <n v="2"/>
    <x v="0"/>
    <n v="6500"/>
    <n v="48.5"/>
    <n v="380"/>
    <n v="90"/>
    <n v="350"/>
    <n v="39.5"/>
    <x v="1"/>
    <n v="727.69667477696669"/>
    <n v="8732.3600973236007"/>
    <n v="16052.360097323601"/>
  </r>
  <r>
    <x v="59"/>
    <x v="472"/>
    <x v="531"/>
    <x v="1"/>
    <x v="1"/>
    <n v="3"/>
    <x v="5"/>
    <n v="3200"/>
    <n v="45.8"/>
    <n v="350"/>
    <n v="110"/>
    <n v="300"/>
    <n v="1.85"/>
    <x v="0"/>
    <n v="687.18572587185724"/>
    <n v="8246.2287104622865"/>
    <n v="12206.228710462286"/>
  </r>
  <r>
    <x v="60"/>
    <x v="473"/>
    <x v="532"/>
    <x v="39"/>
    <x v="0"/>
    <n v="4"/>
    <x v="4"/>
    <n v="4200"/>
    <n v="39.799999999999997"/>
    <n v="250"/>
    <n v="120"/>
    <n v="250"/>
    <n v="12"/>
    <x v="1"/>
    <n v="597.16139497161384"/>
    <n v="7165.9367396593661"/>
    <n v="11985.936739659366"/>
  </r>
  <r>
    <x v="61"/>
    <x v="474"/>
    <x v="533"/>
    <x v="12"/>
    <x v="2"/>
    <n v="2"/>
    <x v="0"/>
    <n v="1100"/>
    <n v="36.4"/>
    <n v="220"/>
    <n v="80"/>
    <n v="200"/>
    <n v="137.5"/>
    <x v="1"/>
    <n v="546.14760746147613"/>
    <n v="6553.7712895377135"/>
    <n v="8153.7712895377135"/>
  </r>
  <r>
    <x v="62"/>
    <x v="475"/>
    <x v="534"/>
    <x v="14"/>
    <x v="1"/>
    <n v="4"/>
    <x v="4"/>
    <n v="6800"/>
    <n v="47.5"/>
    <n v="450"/>
    <n v="100"/>
    <n v="400"/>
    <n v="1"/>
    <x v="0"/>
    <n v="712.69261962692622"/>
    <n v="8552.3114355231155"/>
    <n v="16302.311435523116"/>
  </r>
  <r>
    <x v="55"/>
    <x v="476"/>
    <x v="535"/>
    <x v="40"/>
    <x v="2"/>
    <n v="2"/>
    <x v="0"/>
    <n v="7200"/>
    <n v="42.5"/>
    <n v="320"/>
    <n v="100"/>
    <n v="300"/>
    <n v="1"/>
    <x v="0"/>
    <n v="637.6723438767234"/>
    <n v="7652.0681265206804"/>
    <n v="15572.06812652068"/>
  </r>
  <r>
    <x v="56"/>
    <x v="477"/>
    <x v="536"/>
    <x v="0"/>
    <x v="0"/>
    <n v="4"/>
    <x v="4"/>
    <n v="2000"/>
    <n v="52.1"/>
    <n v="400"/>
    <n v="150"/>
    <n v="500"/>
    <n v="15000"/>
    <x v="2"/>
    <n v="781.71127331711273"/>
    <n v="9380.5352798053536"/>
    <n v="12430.535279805354"/>
  </r>
  <r>
    <x v="57"/>
    <x v="478"/>
    <x v="537"/>
    <x v="42"/>
    <x v="1"/>
    <n v="4"/>
    <x v="4"/>
    <n v="6500"/>
    <n v="61.8"/>
    <n v="600"/>
    <n v="130"/>
    <n v="600"/>
    <n v="0.38"/>
    <x v="0"/>
    <n v="927.25060827250593"/>
    <n v="11127.007299270072"/>
    <n v="18957.007299270073"/>
  </r>
  <r>
    <x v="58"/>
    <x v="479"/>
    <x v="538"/>
    <x v="1"/>
    <x v="2"/>
    <n v="2"/>
    <x v="0"/>
    <n v="7000"/>
    <n v="49.2"/>
    <n v="400"/>
    <n v="90"/>
    <n v="350"/>
    <n v="39.5"/>
    <x v="1"/>
    <n v="738.19951338199519"/>
    <n v="8858.3941605839427"/>
    <n v="16698.394160583943"/>
  </r>
  <r>
    <x v="59"/>
    <x v="480"/>
    <x v="539"/>
    <x v="12"/>
    <x v="2"/>
    <n v="2"/>
    <x v="0"/>
    <n v="3100"/>
    <n v="44.2"/>
    <n v="330"/>
    <n v="110"/>
    <n v="300"/>
    <n v="1.85"/>
    <x v="0"/>
    <n v="663.17923763179249"/>
    <n v="7958.1508515815094"/>
    <n v="11798.150851581509"/>
  </r>
  <r>
    <x v="60"/>
    <x v="481"/>
    <x v="540"/>
    <x v="41"/>
    <x v="2"/>
    <n v="2"/>
    <x v="0"/>
    <n v="4000"/>
    <n v="38.5"/>
    <n v="230"/>
    <n v="120"/>
    <n v="250"/>
    <n v="12"/>
    <x v="1"/>
    <n v="577.65612327656117"/>
    <n v="6931.8734793187341"/>
    <n v="11531.873479318734"/>
  </r>
  <r>
    <x v="61"/>
    <x v="482"/>
    <x v="541"/>
    <x v="14"/>
    <x v="0"/>
    <n v="4"/>
    <x v="4"/>
    <n v="1300"/>
    <n v="35.799999999999997"/>
    <n v="200"/>
    <n v="80"/>
    <n v="200"/>
    <n v="137.5"/>
    <x v="1"/>
    <n v="537.14517437145162"/>
    <n v="6445.7420924574199"/>
    <n v="8225.7420924574199"/>
  </r>
  <r>
    <x v="62"/>
    <x v="430"/>
    <x v="542"/>
    <x v="0"/>
    <x v="2"/>
    <n v="2"/>
    <x v="0"/>
    <n v="6500"/>
    <n v="45.8"/>
    <n v="400"/>
    <n v="100"/>
    <n v="400"/>
    <n v="1"/>
    <x v="0"/>
    <n v="687.18572587185724"/>
    <n v="8246.2287104622865"/>
    <n v="15646.228710462286"/>
  </r>
  <r>
    <x v="55"/>
    <x v="483"/>
    <x v="543"/>
    <x v="6"/>
    <x v="1"/>
    <n v="3"/>
    <x v="5"/>
    <n v="6800"/>
    <n v="41.2"/>
    <n v="300"/>
    <n v="100"/>
    <n v="300"/>
    <n v="1"/>
    <x v="0"/>
    <n v="618.16707218167073"/>
    <n v="7418.0048661800483"/>
    <n v="14918.004866180048"/>
  </r>
  <r>
    <x v="56"/>
    <x v="484"/>
    <x v="544"/>
    <x v="39"/>
    <x v="2"/>
    <n v="2"/>
    <x v="0"/>
    <n v="16000"/>
    <n v="54.5"/>
    <n v="450"/>
    <n v="150"/>
    <n v="500"/>
    <n v="15000"/>
    <x v="2"/>
    <n v="817.72100567721009"/>
    <n v="9812.652068126521"/>
    <n v="26912.652068126521"/>
  </r>
  <r>
    <x v="57"/>
    <x v="485"/>
    <x v="545"/>
    <x v="1"/>
    <x v="0"/>
    <n v="4"/>
    <x v="4"/>
    <n v="9000"/>
    <n v="62.4"/>
    <n v="620"/>
    <n v="130"/>
    <n v="600"/>
    <n v="0.38"/>
    <x v="0"/>
    <n v="936.25304136253055"/>
    <n v="11235.036496350367"/>
    <n v="21585.036496350367"/>
  </r>
  <r>
    <x v="58"/>
    <x v="486"/>
    <x v="546"/>
    <x v="40"/>
    <x v="1"/>
    <n v="4"/>
    <x v="4"/>
    <n v="0"/>
    <n v="47.8"/>
    <n v="350"/>
    <n v="90"/>
    <n v="350"/>
    <n v="39.5"/>
    <x v="1"/>
    <n v="717.19383617193841"/>
    <n v="8606.3260340632605"/>
    <n v="9396.3260340632605"/>
  </r>
  <r>
    <x v="59"/>
    <x v="487"/>
    <x v="547"/>
    <x v="0"/>
    <x v="2"/>
    <n v="2"/>
    <x v="0"/>
    <n v="2900"/>
    <n v="43.5"/>
    <n v="320"/>
    <n v="110"/>
    <n v="300"/>
    <n v="1.85"/>
    <x v="0"/>
    <n v="652.67639902676399"/>
    <n v="7832.1167883211674"/>
    <n v="11462.116788321167"/>
  </r>
  <r>
    <x v="60"/>
    <x v="488"/>
    <x v="548"/>
    <x v="42"/>
    <x v="0"/>
    <n v="4"/>
    <x v="4"/>
    <n v="3800"/>
    <n v="36.799999999999997"/>
    <n v="200"/>
    <n v="120"/>
    <n v="250"/>
    <n v="12"/>
    <x v="1"/>
    <n v="552.14922952149232"/>
    <n v="6625.7907542579078"/>
    <n v="10995.790754257909"/>
  </r>
  <r>
    <x v="61"/>
    <x v="489"/>
    <x v="549"/>
    <x v="12"/>
    <x v="2"/>
    <n v="2"/>
    <x v="0"/>
    <n v="1000"/>
    <n v="34.5"/>
    <n v="180"/>
    <n v="80"/>
    <n v="200"/>
    <n v="137.5"/>
    <x v="1"/>
    <n v="517.63990267639906"/>
    <n v="6211.6788321167887"/>
    <n v="7671.6788321167887"/>
  </r>
  <r>
    <x v="62"/>
    <x v="490"/>
    <x v="550"/>
    <x v="14"/>
    <x v="1"/>
    <n v="3"/>
    <x v="5"/>
    <n v="6200"/>
    <n v="44.2"/>
    <n v="380"/>
    <n v="100"/>
    <n v="400"/>
    <n v="1"/>
    <x v="0"/>
    <n v="663.17923763179249"/>
    <n v="7958.1508515815094"/>
    <n v="15038.150851581509"/>
  </r>
  <r>
    <x v="55"/>
    <x v="491"/>
    <x v="551"/>
    <x v="41"/>
    <x v="0"/>
    <n v="4"/>
    <x v="4"/>
    <n v="6500"/>
    <n v="40.5"/>
    <n v="280"/>
    <n v="100"/>
    <n v="300"/>
    <n v="1"/>
    <x v="0"/>
    <n v="607.66423357664235"/>
    <n v="7291.9708029197081"/>
    <n v="14471.970802919708"/>
  </r>
  <r>
    <x v="56"/>
    <x v="492"/>
    <x v="552"/>
    <x v="0"/>
    <x v="1"/>
    <n v="4"/>
    <x v="4"/>
    <n v="15000"/>
    <n v="51.8"/>
    <n v="420"/>
    <n v="150"/>
    <n v="500"/>
    <n v="15000"/>
    <x v="2"/>
    <n v="777.21005677210053"/>
    <n v="9326.5206812652068"/>
    <n v="25396.520681265207"/>
  </r>
  <r>
    <x v="57"/>
    <x v="493"/>
    <x v="553"/>
    <x v="44"/>
    <x v="2"/>
    <n v="2"/>
    <x v="0"/>
    <n v="7500"/>
    <n v="61.5"/>
    <n v="580"/>
    <n v="130"/>
    <n v="600"/>
    <n v="0.38"/>
    <x v="0"/>
    <n v="922.74939172749396"/>
    <n v="11072.992700729927"/>
    <n v="19882.992700729927"/>
  </r>
  <r>
    <x v="58"/>
    <x v="494"/>
    <x v="554"/>
    <x v="39"/>
    <x v="2"/>
    <n v="2"/>
    <x v="0"/>
    <n v="0"/>
    <n v="46.5"/>
    <n v="330"/>
    <n v="90"/>
    <n v="350"/>
    <n v="39.5"/>
    <x v="1"/>
    <n v="697.68856447688563"/>
    <n v="8372.2627737226285"/>
    <n v="9142.2627737226285"/>
  </r>
  <r>
    <x v="59"/>
    <x v="495"/>
    <x v="555"/>
    <x v="6"/>
    <x v="0"/>
    <n v="4"/>
    <x v="4"/>
    <n v="3300"/>
    <n v="42.8"/>
    <n v="300"/>
    <n v="110"/>
    <n v="300"/>
    <n v="1.85"/>
    <x v="0"/>
    <n v="642.1735604217356"/>
    <n v="7706.0827250608272"/>
    <n v="11716.082725060827"/>
  </r>
  <r>
    <x v="60"/>
    <x v="496"/>
    <x v="556"/>
    <x v="1"/>
    <x v="2"/>
    <n v="2"/>
    <x v="0"/>
    <n v="3500"/>
    <n v="35.4"/>
    <n v="180"/>
    <n v="120"/>
    <n v="250"/>
    <n v="12"/>
    <x v="1"/>
    <n v="531.14355231143554"/>
    <n v="6373.7226277372265"/>
    <n v="10423.722627737227"/>
  </r>
  <r>
    <x v="61"/>
    <x v="497"/>
    <x v="557"/>
    <x v="40"/>
    <x v="1"/>
    <n v="3"/>
    <x v="5"/>
    <n v="900"/>
    <n v="33.200000000000003"/>
    <n v="160"/>
    <n v="80"/>
    <n v="200"/>
    <n v="137.5"/>
    <x v="1"/>
    <n v="498.13463098134633"/>
    <n v="5977.6155717761558"/>
    <n v="7317.6155717761558"/>
  </r>
  <r>
    <x v="62"/>
    <x v="498"/>
    <x v="558"/>
    <x v="0"/>
    <x v="2"/>
    <n v="2"/>
    <x v="0"/>
    <n v="6000"/>
    <n v="43.5"/>
    <n v="350"/>
    <n v="100"/>
    <n v="400"/>
    <n v="1"/>
    <x v="0"/>
    <n v="652.67639902676399"/>
    <n v="7832.1167883211674"/>
    <n v="14682.116788321167"/>
  </r>
  <r>
    <x v="63"/>
    <x v="499"/>
    <x v="559"/>
    <x v="0"/>
    <x v="2"/>
    <n v="2"/>
    <x v="0"/>
    <n v="2500"/>
    <n v="42.5"/>
    <n v="250"/>
    <n v="100"/>
    <n v="200"/>
    <n v="109.5"/>
    <x v="1"/>
    <n v="637.6723438767234"/>
    <n v="7652.0681265206804"/>
    <n v="10702.06812652068"/>
  </r>
  <r>
    <x v="64"/>
    <x v="500"/>
    <x v="560"/>
    <x v="1"/>
    <x v="2"/>
    <n v="2"/>
    <x v="0"/>
    <n v="3500"/>
    <n v="71.2"/>
    <n v="800"/>
    <n v="140"/>
    <n v="700"/>
    <n v="0.31"/>
    <x v="0"/>
    <n v="1068.2887266828873"/>
    <n v="12819.464720194646"/>
    <n v="17959.464720194646"/>
  </r>
  <r>
    <x v="65"/>
    <x v="501"/>
    <x v="561"/>
    <x v="39"/>
    <x v="1"/>
    <n v="4"/>
    <x v="4"/>
    <n v="3800"/>
    <n v="45.8"/>
    <n v="400"/>
    <n v="120"/>
    <n v="300"/>
    <n v="36.799999999999997"/>
    <x v="1"/>
    <n v="687.18572587185724"/>
    <n v="8246.2287104622865"/>
    <n v="12866.228710462286"/>
  </r>
  <r>
    <x v="66"/>
    <x v="502"/>
    <x v="562"/>
    <x v="12"/>
    <x v="0"/>
    <n v="4"/>
    <x v="4"/>
    <n v="4500"/>
    <n v="62.4"/>
    <n v="500"/>
    <n v="80"/>
    <n v="450"/>
    <n v="0.92"/>
    <x v="0"/>
    <n v="936.25304136253055"/>
    <n v="11235.036496350367"/>
    <n v="16765.036496350367"/>
  </r>
  <r>
    <x v="67"/>
    <x v="503"/>
    <x v="563"/>
    <x v="40"/>
    <x v="2"/>
    <n v="2"/>
    <x v="0"/>
    <n v="2800"/>
    <n v="48.5"/>
    <n v="350"/>
    <n v="90"/>
    <n v="320"/>
    <n v="108.5"/>
    <x v="1"/>
    <n v="727.69667477696669"/>
    <n v="8732.3600973236007"/>
    <n v="12292.360097323601"/>
  </r>
  <r>
    <x v="68"/>
    <x v="504"/>
    <x v="564"/>
    <x v="14"/>
    <x v="2"/>
    <n v="2"/>
    <x v="0"/>
    <n v="3000"/>
    <n v="51.2"/>
    <n v="400"/>
    <n v="150"/>
    <n v="280"/>
    <n v="42150"/>
    <x v="2"/>
    <n v="768.20762368207625"/>
    <n v="9218.491484184915"/>
    <n v="13048.491484184915"/>
  </r>
  <r>
    <x v="69"/>
    <x v="505"/>
    <x v="565"/>
    <x v="0"/>
    <x v="1"/>
    <n v="4"/>
    <x v="4"/>
    <n v="4200"/>
    <n v="44.5"/>
    <n v="300"/>
    <n v="160"/>
    <n v="250"/>
    <n v="12300"/>
    <x v="2"/>
    <n v="667.68045417680446"/>
    <n v="8012.1654501216535"/>
    <n v="12922.165450121654"/>
  </r>
  <r>
    <x v="70"/>
    <x v="506"/>
    <x v="566"/>
    <x v="42"/>
    <x v="2"/>
    <n v="2"/>
    <x v="0"/>
    <n v="5500"/>
    <n v="46.8"/>
    <n v="400"/>
    <n v="110"/>
    <n v="300"/>
    <n v="1"/>
    <x v="0"/>
    <n v="702.18978102189783"/>
    <n v="8426.2773722627735"/>
    <n v="14736.277372262773"/>
  </r>
  <r>
    <x v="63"/>
    <x v="507"/>
    <x v="567"/>
    <x v="6"/>
    <x v="0"/>
    <n v="4"/>
    <x v="4"/>
    <n v="2200"/>
    <n v="39.799999999999997"/>
    <n v="200"/>
    <n v="100"/>
    <n v="200"/>
    <n v="109.5"/>
    <x v="1"/>
    <n v="597.16139497161384"/>
    <n v="7165.9367396593661"/>
    <n v="9865.9367396593661"/>
  </r>
  <r>
    <x v="64"/>
    <x v="508"/>
    <x v="568"/>
    <x v="44"/>
    <x v="2"/>
    <n v="2"/>
    <x v="0"/>
    <n v="15000"/>
    <n v="68.5"/>
    <n v="750"/>
    <n v="140"/>
    <n v="700"/>
    <n v="0.31"/>
    <x v="0"/>
    <n v="1027.7777777777778"/>
    <n v="12333.333333333334"/>
    <n v="28923.333333333336"/>
  </r>
  <r>
    <x v="65"/>
    <x v="509"/>
    <x v="569"/>
    <x v="0"/>
    <x v="2"/>
    <n v="2"/>
    <x v="0"/>
    <n v="3500"/>
    <n v="43.2"/>
    <n v="350"/>
    <n v="120"/>
    <n v="300"/>
    <n v="36.799999999999997"/>
    <x v="1"/>
    <n v="648.1751824817519"/>
    <n v="7778.1021897810224"/>
    <n v="12048.102189781022"/>
  </r>
  <r>
    <x v="66"/>
    <x v="510"/>
    <x v="570"/>
    <x v="1"/>
    <x v="2"/>
    <n v="2"/>
    <x v="0"/>
    <n v="4200"/>
    <n v="58.5"/>
    <n v="450"/>
    <n v="80"/>
    <n v="450"/>
    <n v="0.92"/>
    <x v="0"/>
    <n v="877.73722627737232"/>
    <n v="10532.846715328467"/>
    <n v="15712.846715328467"/>
  </r>
  <r>
    <x v="67"/>
    <x v="511"/>
    <x v="571"/>
    <x v="39"/>
    <x v="0"/>
    <n v="4"/>
    <x v="4"/>
    <n v="2600"/>
    <n v="45.8"/>
    <n v="320"/>
    <n v="90"/>
    <n v="320"/>
    <n v="108.5"/>
    <x v="1"/>
    <n v="687.18572587185724"/>
    <n v="8246.2287104622865"/>
    <n v="11576.228710462286"/>
  </r>
  <r>
    <x v="68"/>
    <x v="512"/>
    <x v="572"/>
    <x v="40"/>
    <x v="1"/>
    <n v="3"/>
    <x v="5"/>
    <n v="2800"/>
    <n v="48.5"/>
    <n v="350"/>
    <n v="150"/>
    <n v="280"/>
    <n v="42150"/>
    <x v="2"/>
    <n v="727.69667477696669"/>
    <n v="8732.3600973236007"/>
    <n v="12312.360097323601"/>
  </r>
  <r>
    <x v="69"/>
    <x v="513"/>
    <x v="573"/>
    <x v="14"/>
    <x v="2"/>
    <n v="2"/>
    <x v="0"/>
    <n v="3800"/>
    <n v="41.2"/>
    <n v="250"/>
    <n v="160"/>
    <n v="250"/>
    <n v="12300"/>
    <x v="2"/>
    <n v="618.16707218167073"/>
    <n v="7418.0048661800483"/>
    <n v="11878.004866180048"/>
  </r>
  <r>
    <x v="70"/>
    <x v="514"/>
    <x v="538"/>
    <x v="12"/>
    <x v="1"/>
    <n v="4"/>
    <x v="4"/>
    <n v="5000"/>
    <n v="44.5"/>
    <n v="350"/>
    <n v="110"/>
    <n v="300"/>
    <n v="1"/>
    <x v="0"/>
    <n v="667.68045417680446"/>
    <n v="8012.1654501216535"/>
    <n v="13772.165450121654"/>
  </r>
  <r>
    <x v="63"/>
    <x v="515"/>
    <x v="574"/>
    <x v="42"/>
    <x v="2"/>
    <n v="2"/>
    <x v="0"/>
    <n v="2100"/>
    <n v="38.5"/>
    <n v="180"/>
    <n v="100"/>
    <n v="200"/>
    <n v="109.5"/>
    <x v="1"/>
    <n v="577.65612327656117"/>
    <n v="6931.8734793187341"/>
    <n v="9511.8734793187341"/>
  </r>
  <r>
    <x v="64"/>
    <x v="516"/>
    <x v="575"/>
    <x v="6"/>
    <x v="0"/>
    <n v="4"/>
    <x v="4"/>
    <n v="14000"/>
    <n v="66.8"/>
    <n v="700"/>
    <n v="140"/>
    <n v="700"/>
    <n v="0.31"/>
    <x v="0"/>
    <n v="1002.2708840227087"/>
    <n v="12027.250608272505"/>
    <n v="27567.250608272505"/>
  </r>
  <r>
    <x v="65"/>
    <x v="517"/>
    <x v="576"/>
    <x v="1"/>
    <x v="2"/>
    <n v="2"/>
    <x v="0"/>
    <n v="3400"/>
    <n v="42.5"/>
    <n v="330"/>
    <n v="120"/>
    <n v="300"/>
    <n v="36.799999999999997"/>
    <x v="1"/>
    <n v="637.6723438767234"/>
    <n v="7652.0681265206804"/>
    <n v="11802.06812652068"/>
  </r>
  <r>
    <x v="66"/>
    <x v="518"/>
    <x v="577"/>
    <x v="41"/>
    <x v="1"/>
    <n v="3"/>
    <x v="5"/>
    <n v="4000"/>
    <n v="57.2"/>
    <n v="420"/>
    <n v="80"/>
    <n v="450"/>
    <n v="0.92"/>
    <x v="0"/>
    <n v="858.23195458231953"/>
    <n v="10298.783454987835"/>
    <n v="15248.783454987835"/>
  </r>
  <r>
    <x v="67"/>
    <x v="519"/>
    <x v="578"/>
    <x v="12"/>
    <x v="2"/>
    <n v="2"/>
    <x v="0"/>
    <n v="2500"/>
    <n v="44.2"/>
    <n v="300"/>
    <n v="90"/>
    <n v="320"/>
    <n v="108.5"/>
    <x v="1"/>
    <n v="663.17923763179249"/>
    <n v="7958.1508515815094"/>
    <n v="11168.150851581509"/>
  </r>
  <r>
    <x v="68"/>
    <x v="520"/>
    <x v="579"/>
    <x v="14"/>
    <x v="0"/>
    <n v="4"/>
    <x v="4"/>
    <n v="2900"/>
    <n v="47.8"/>
    <n v="320"/>
    <n v="150"/>
    <n v="280"/>
    <n v="42150"/>
    <x v="2"/>
    <n v="717.19383617193841"/>
    <n v="8606.3260340632605"/>
    <n v="12256.326034063261"/>
  </r>
  <r>
    <x v="69"/>
    <x v="521"/>
    <x v="580"/>
    <x v="0"/>
    <x v="1"/>
    <n v="4"/>
    <x v="4"/>
    <n v="3500"/>
    <n v="39.799999999999997"/>
    <n v="220"/>
    <n v="160"/>
    <n v="250"/>
    <n v="12300"/>
    <x v="2"/>
    <n v="597.16139497161384"/>
    <n v="7165.9367396593661"/>
    <n v="11295.936739659366"/>
  </r>
  <r>
    <x v="70"/>
    <x v="522"/>
    <x v="581"/>
    <x v="40"/>
    <x v="2"/>
    <n v="2"/>
    <x v="0"/>
    <n v="4800"/>
    <n v="43.2"/>
    <n v="320"/>
    <n v="110"/>
    <n v="300"/>
    <n v="1"/>
    <x v="0"/>
    <n v="648.1751824817519"/>
    <n v="7778.1021897810224"/>
    <n v="13308.102189781022"/>
  </r>
  <r>
    <x v="63"/>
    <x v="523"/>
    <x v="582"/>
    <x v="39"/>
    <x v="2"/>
    <n v="2"/>
    <x v="0"/>
    <n v="2000"/>
    <n v="37.200000000000003"/>
    <n v="170"/>
    <n v="100"/>
    <n v="200"/>
    <n v="109.5"/>
    <x v="1"/>
    <n v="558.1508515815085"/>
    <n v="6697.8102189781021"/>
    <n v="9167.8102189781021"/>
  </r>
  <r>
    <x v="64"/>
    <x v="524"/>
    <x v="583"/>
    <x v="1"/>
    <x v="1"/>
    <n v="3"/>
    <x v="5"/>
    <n v="13500"/>
    <n v="65.400000000000006"/>
    <n v="680"/>
    <n v="140"/>
    <n v="700"/>
    <n v="0.31"/>
    <x v="0"/>
    <n v="981.26520681265208"/>
    <n v="11775.182481751825"/>
    <n v="26795.182481751825"/>
  </r>
  <r>
    <x v="65"/>
    <x v="525"/>
    <x v="584"/>
    <x v="6"/>
    <x v="0"/>
    <n v="4"/>
    <x v="4"/>
    <n v="3600"/>
    <n v="41.8"/>
    <n v="320"/>
    <n v="120"/>
    <n v="300"/>
    <n v="36.799999999999997"/>
    <x v="1"/>
    <n v="627.16950527169513"/>
    <n v="7526.034063260342"/>
    <n v="11866.034063260342"/>
  </r>
  <r>
    <x v="66"/>
    <x v="526"/>
    <x v="585"/>
    <x v="0"/>
    <x v="2"/>
    <n v="2"/>
    <x v="0"/>
    <n v="4100"/>
    <n v="56.5"/>
    <n v="400"/>
    <n v="80"/>
    <n v="450"/>
    <n v="0.92"/>
    <x v="0"/>
    <n v="847.72911597729126"/>
    <n v="10172.749391727495"/>
    <n v="15202.749391727495"/>
  </r>
  <r>
    <x v="67"/>
    <x v="527"/>
    <x v="586"/>
    <x v="44"/>
    <x v="1"/>
    <n v="4"/>
    <x v="4"/>
    <n v="2400"/>
    <n v="43.5"/>
    <n v="280"/>
    <n v="90"/>
    <n v="320"/>
    <n v="108.5"/>
    <x v="1"/>
    <n v="652.67639902676399"/>
    <n v="7832.1167883211674"/>
    <n v="10922.116788321167"/>
  </r>
  <r>
    <x v="68"/>
    <x v="528"/>
    <x v="587"/>
    <x v="42"/>
    <x v="2"/>
    <n v="2"/>
    <x v="0"/>
    <n v="2700"/>
    <n v="46.8"/>
    <n v="300"/>
    <n v="150"/>
    <n v="280"/>
    <n v="42150"/>
    <x v="2"/>
    <n v="702.18978102189783"/>
    <n v="8426.2773722627735"/>
    <n v="11856.277372262773"/>
  </r>
  <r>
    <x v="69"/>
    <x v="529"/>
    <x v="588"/>
    <x v="41"/>
    <x v="2"/>
    <n v="2"/>
    <x v="0"/>
    <n v="3400"/>
    <n v="38.5"/>
    <n v="200"/>
    <n v="160"/>
    <n v="250"/>
    <n v="12300"/>
    <x v="2"/>
    <n v="577.65612327656117"/>
    <n v="6931.8734793187341"/>
    <n v="10941.873479318734"/>
  </r>
  <r>
    <x v="70"/>
    <x v="530"/>
    <x v="589"/>
    <x v="1"/>
    <x v="1"/>
    <n v="3"/>
    <x v="5"/>
    <n v="4500"/>
    <n v="42.8"/>
    <n v="300"/>
    <n v="110"/>
    <n v="300"/>
    <n v="1"/>
    <x v="0"/>
    <n v="642.1735604217356"/>
    <n v="7706.0827250608272"/>
    <n v="12916.082725060827"/>
  </r>
  <r>
    <x v="63"/>
    <x v="531"/>
    <x v="590"/>
    <x v="12"/>
    <x v="0"/>
    <n v="4"/>
    <x v="4"/>
    <n v="2300"/>
    <n v="36.799999999999997"/>
    <n v="160"/>
    <n v="100"/>
    <n v="200"/>
    <n v="109.5"/>
    <x v="1"/>
    <n v="552.14922952149232"/>
    <n v="6625.7907542579078"/>
    <n v="9385.7907542579087"/>
  </r>
  <r>
    <x v="64"/>
    <x v="532"/>
    <x v="591"/>
    <x v="39"/>
    <x v="2"/>
    <n v="2"/>
    <x v="0"/>
    <n v="13000"/>
    <n v="64.5"/>
    <n v="650"/>
    <n v="140"/>
    <n v="700"/>
    <n v="0.31"/>
    <x v="0"/>
    <n v="967.7615571776156"/>
    <n v="11613.138686131388"/>
    <n v="26103.138686131388"/>
  </r>
  <r>
    <x v="65"/>
    <x v="533"/>
    <x v="592"/>
    <x v="14"/>
    <x v="2"/>
    <n v="2"/>
    <x v="0"/>
    <n v="3300"/>
    <n v="40.5"/>
    <n v="300"/>
    <n v="120"/>
    <n v="300"/>
    <n v="36.799999999999997"/>
    <x v="1"/>
    <n v="607.66423357664235"/>
    <n v="7291.9708029197081"/>
    <n v="11311.970802919708"/>
  </r>
  <r>
    <x v="66"/>
    <x v="534"/>
    <x v="593"/>
    <x v="40"/>
    <x v="1"/>
    <n v="3"/>
    <x v="5"/>
    <n v="3900"/>
    <n v="55.4"/>
    <n v="380"/>
    <n v="80"/>
    <n v="450"/>
    <n v="0.92"/>
    <x v="0"/>
    <n v="831.22465531224657"/>
    <n v="9974.6958637469579"/>
    <n v="14784.695863746958"/>
  </r>
  <r>
    <x v="67"/>
    <x v="535"/>
    <x v="594"/>
    <x v="0"/>
    <x v="2"/>
    <n v="2"/>
    <x v="0"/>
    <n v="2300"/>
    <n v="42.8"/>
    <n v="270"/>
    <n v="90"/>
    <n v="320"/>
    <n v="108.5"/>
    <x v="1"/>
    <n v="642.1735604217356"/>
    <n v="7706.0827250608272"/>
    <n v="10686.082725060827"/>
  </r>
  <r>
    <x v="68"/>
    <x v="536"/>
    <x v="595"/>
    <x v="6"/>
    <x v="0"/>
    <n v="4"/>
    <x v="4"/>
    <n v="2600"/>
    <n v="45.5"/>
    <n v="280"/>
    <n v="150"/>
    <n v="280"/>
    <n v="42150"/>
    <x v="2"/>
    <n v="682.68450932684516"/>
    <n v="8192.2141119221415"/>
    <n v="11502.214111922141"/>
  </r>
  <r>
    <x v="69"/>
    <x v="537"/>
    <x v="596"/>
    <x v="42"/>
    <x v="2"/>
    <n v="2"/>
    <x v="0"/>
    <n v="3200"/>
    <n v="37.799999999999997"/>
    <n v="180"/>
    <n v="160"/>
    <n v="250"/>
    <n v="12300"/>
    <x v="2"/>
    <n v="567.15328467153279"/>
    <n v="6805.8394160583939"/>
    <n v="10595.839416058394"/>
  </r>
  <r>
    <x v="70"/>
    <x v="538"/>
    <x v="597"/>
    <x v="12"/>
    <x v="1"/>
    <n v="4"/>
    <x v="4"/>
    <n v="4200"/>
    <n v="42.1"/>
    <n v="280"/>
    <n v="110"/>
    <n v="300"/>
    <n v="1"/>
    <x v="0"/>
    <n v="631.67072181670721"/>
    <n v="7580.048661800487"/>
    <n v="12470.048661800487"/>
  </r>
  <r>
    <x v="25"/>
    <x v="47"/>
    <x v="49"/>
    <x v="0"/>
    <x v="2"/>
    <n v="2"/>
    <x v="0"/>
    <n v="8500"/>
    <n v="55.4"/>
    <n v="500"/>
    <n v="120"/>
    <n v="400"/>
    <n v="4.6500000000000004"/>
    <x v="0"/>
    <n v="831.22465531224657"/>
    <n v="9974.6958637469579"/>
    <n v="19494.695863746958"/>
  </r>
  <r>
    <x v="41"/>
    <x v="133"/>
    <x v="138"/>
    <x v="1"/>
    <x v="0"/>
    <n v="4"/>
    <x v="4"/>
    <n v="5000"/>
    <n v="72.5"/>
    <n v="800"/>
    <n v="200"/>
    <n v="800"/>
    <n v="3.75"/>
    <x v="0"/>
    <n v="1087.7939983779399"/>
    <n v="13053.52798053528"/>
    <n v="19853.52798053528"/>
  </r>
  <r>
    <x v="0"/>
    <x v="30"/>
    <x v="0"/>
    <x v="6"/>
    <x v="2"/>
    <n v="2"/>
    <x v="0"/>
    <n v="58000"/>
    <n v="82.1"/>
    <n v="2200"/>
    <n v="160"/>
    <n v="1500"/>
    <n v="1"/>
    <x v="0"/>
    <n v="1231.8329278183292"/>
    <n v="14781.99513381995"/>
    <n v="76641.995133819946"/>
  </r>
  <r>
    <x v="1"/>
    <x v="1"/>
    <x v="598"/>
    <x v="12"/>
    <x v="2"/>
    <n v="2"/>
    <x v="0"/>
    <n v="42000"/>
    <n v="75.3"/>
    <n v="1800"/>
    <n v="485"/>
    <n v="800"/>
    <n v="0.79"/>
    <x v="0"/>
    <n v="1129.8053527980535"/>
    <n v="13557.664233576641"/>
    <n v="58642.664233576637"/>
  </r>
  <r>
    <x v="26"/>
    <x v="288"/>
    <x v="599"/>
    <x v="39"/>
    <x v="0"/>
    <n v="4"/>
    <x v="4"/>
    <n v="3500"/>
    <n v="71.400000000000006"/>
    <n v="1100"/>
    <n v="80"/>
    <n v="750"/>
    <n v="0.92"/>
    <x v="0"/>
    <n v="1071.2895377128955"/>
    <n v="12855.474452554747"/>
    <n v="18285.474452554747"/>
  </r>
  <r>
    <x v="27"/>
    <x v="54"/>
    <x v="56"/>
    <x v="14"/>
    <x v="2"/>
    <n v="2"/>
    <x v="0"/>
    <n v="4000"/>
    <n v="73.2"/>
    <n v="1200"/>
    <n v="120"/>
    <n v="700"/>
    <n v="0.92"/>
    <x v="0"/>
    <n v="1098.2968369829684"/>
    <n v="13179.56204379562"/>
    <n v="19199.56204379562"/>
  </r>
  <r>
    <x v="8"/>
    <x v="145"/>
    <x v="8"/>
    <x v="0"/>
    <x v="2"/>
    <n v="2"/>
    <x v="0"/>
    <n v="4500"/>
    <n v="84.3"/>
    <n v="1800"/>
    <n v="99"/>
    <n v="850"/>
    <n v="0.92"/>
    <x v="0"/>
    <n v="1264.8418491484183"/>
    <n v="15178.102189781021"/>
    <n v="22427.102189781021"/>
  </r>
  <r>
    <x v="25"/>
    <x v="539"/>
    <x v="600"/>
    <x v="40"/>
    <x v="1"/>
    <n v="3"/>
    <x v="5"/>
    <n v="7500"/>
    <n v="52.1"/>
    <n v="450"/>
    <n v="120"/>
    <n v="400"/>
    <n v="4.6500000000000004"/>
    <x v="0"/>
    <n v="781.71127331711273"/>
    <n v="9380.5352798053536"/>
    <n v="17850.535279805354"/>
  </r>
  <r>
    <x v="41"/>
    <x v="540"/>
    <x v="601"/>
    <x v="44"/>
    <x v="2"/>
    <n v="2"/>
    <x v="0"/>
    <n v="4800"/>
    <n v="70.2"/>
    <n v="750"/>
    <n v="200"/>
    <n v="800"/>
    <n v="3.75"/>
    <x v="0"/>
    <n v="1053.2846715328469"/>
    <n v="12639.416058394163"/>
    <n v="19189.416058394163"/>
  </r>
  <r>
    <x v="0"/>
    <x v="29"/>
    <x v="29"/>
    <x v="0"/>
    <x v="0"/>
    <n v="5"/>
    <x v="6"/>
    <n v="52000"/>
    <n v="84.3"/>
    <n v="2300"/>
    <n v="160"/>
    <n v="1500"/>
    <n v="1"/>
    <x v="0"/>
    <n v="1264.8418491484183"/>
    <n v="15178.102189781021"/>
    <n v="71138.102189781028"/>
  </r>
  <r>
    <x v="1"/>
    <x v="0"/>
    <x v="32"/>
    <x v="6"/>
    <x v="0"/>
    <n v="4"/>
    <x v="4"/>
    <n v="45000"/>
    <n v="71.5"/>
    <n v="1600"/>
    <n v="485"/>
    <n v="800"/>
    <n v="0.79"/>
    <x v="0"/>
    <n v="1072.7899432278994"/>
    <n v="12873.479318734793"/>
    <n v="60758.479318734797"/>
  </r>
  <r>
    <x v="26"/>
    <x v="53"/>
    <x v="602"/>
    <x v="1"/>
    <x v="2"/>
    <n v="2"/>
    <x v="0"/>
    <n v="3800"/>
    <n v="73.599999999999994"/>
    <n v="1000"/>
    <n v="80"/>
    <n v="750"/>
    <n v="0.92"/>
    <x v="0"/>
    <n v="1104.2984590429846"/>
    <n v="13251.581508515816"/>
    <n v="18881.581508515817"/>
  </r>
  <r>
    <x v="27"/>
    <x v="289"/>
    <x v="343"/>
    <x v="39"/>
    <x v="1"/>
    <n v="3"/>
    <x v="5"/>
    <n v="3500"/>
    <n v="71.2"/>
    <n v="1100"/>
    <n v="120"/>
    <n v="700"/>
    <n v="0.92"/>
    <x v="0"/>
    <n v="1068.2887266828873"/>
    <n v="12819.464720194646"/>
    <n v="18239.464720194646"/>
  </r>
  <r>
    <x v="8"/>
    <x v="147"/>
    <x v="603"/>
    <x v="12"/>
    <x v="2"/>
    <n v="2"/>
    <x v="0"/>
    <n v="4200"/>
    <n v="75.599999999999994"/>
    <n v="1200"/>
    <n v="99"/>
    <n v="850"/>
    <n v="0.92"/>
    <x v="0"/>
    <n v="1134.3065693430656"/>
    <n v="13611.678832116788"/>
    <n v="19960.678832116788"/>
  </r>
  <r>
    <x v="25"/>
    <x v="541"/>
    <x v="604"/>
    <x v="14"/>
    <x v="0"/>
    <n v="4"/>
    <x v="4"/>
    <n v="8000"/>
    <n v="51.8"/>
    <n v="400"/>
    <n v="120"/>
    <n v="400"/>
    <n v="4.6500000000000004"/>
    <x v="0"/>
    <n v="777.21005677210053"/>
    <n v="9326.5206812652068"/>
    <n v="18246.520681265207"/>
  </r>
  <r>
    <x v="41"/>
    <x v="542"/>
    <x v="605"/>
    <x v="0"/>
    <x v="2"/>
    <n v="2"/>
    <x v="0"/>
    <n v="4500"/>
    <n v="68.5"/>
    <n v="700"/>
    <n v="200"/>
    <n v="800"/>
    <n v="3.75"/>
    <x v="0"/>
    <n v="1027.7777777777778"/>
    <n v="12333.333333333334"/>
    <n v="18533.333333333336"/>
  </r>
  <r>
    <x v="0"/>
    <x v="48"/>
    <x v="50"/>
    <x v="1"/>
    <x v="2"/>
    <n v="2"/>
    <x v="0"/>
    <n v="54000"/>
    <n v="83.2"/>
    <n v="2000"/>
    <n v="160"/>
    <n v="1500"/>
    <n v="1"/>
    <x v="0"/>
    <n v="1248.3373884833738"/>
    <n v="14980.048661800487"/>
    <n v="72640.04866180048"/>
  </r>
  <r>
    <x v="1"/>
    <x v="31"/>
    <x v="31"/>
    <x v="39"/>
    <x v="2"/>
    <n v="2"/>
    <x v="0"/>
    <n v="40000"/>
    <n v="71.5"/>
    <n v="1400"/>
    <n v="485"/>
    <n v="800"/>
    <n v="0.79"/>
    <x v="0"/>
    <n v="1072.7899432278994"/>
    <n v="12873.479318734793"/>
    <n v="55558.479318734797"/>
  </r>
  <r>
    <x v="26"/>
    <x v="293"/>
    <x v="606"/>
    <x v="40"/>
    <x v="0"/>
    <n v="4"/>
    <x v="4"/>
    <n v="3200"/>
    <n v="68.5"/>
    <n v="800"/>
    <n v="80"/>
    <n v="750"/>
    <n v="0.92"/>
    <x v="0"/>
    <n v="1027.7777777777778"/>
    <n v="12333.333333333334"/>
    <n v="17163.333333333336"/>
  </r>
  <r>
    <x v="27"/>
    <x v="294"/>
    <x v="348"/>
    <x v="6"/>
    <x v="2"/>
    <n v="2"/>
    <x v="0"/>
    <n v="3800"/>
    <n v="69.8"/>
    <n v="900"/>
    <n v="120"/>
    <n v="700"/>
    <n v="0.92"/>
    <x v="0"/>
    <n v="1047.2830494728303"/>
    <n v="12567.396593673962"/>
    <n v="18087.396593673962"/>
  </r>
  <r>
    <x v="8"/>
    <x v="146"/>
    <x v="159"/>
    <x v="44"/>
    <x v="0"/>
    <n v="4"/>
    <x v="4"/>
    <n v="4300"/>
    <n v="72.099999999999994"/>
    <n v="1000"/>
    <n v="99"/>
    <n v="850"/>
    <n v="0.92"/>
    <x v="0"/>
    <n v="1081.7923763179238"/>
    <n v="12981.508515815085"/>
    <n v="19230.508515815083"/>
  </r>
  <r>
    <x v="25"/>
    <x v="543"/>
    <x v="607"/>
    <x v="0"/>
    <x v="2"/>
    <n v="2"/>
    <x v="0"/>
    <n v="7000"/>
    <n v="49.5"/>
    <n v="380"/>
    <n v="120"/>
    <n v="400"/>
    <n v="4.6500000000000004"/>
    <x v="0"/>
    <n v="742.70072992700727"/>
    <n v="8912.4087591240877"/>
    <n v="16812.40875912409"/>
  </r>
  <r>
    <x v="41"/>
    <x v="544"/>
    <x v="608"/>
    <x v="42"/>
    <x v="1"/>
    <n v="4"/>
    <x v="4"/>
    <n v="4200"/>
    <n v="65.400000000000006"/>
    <n v="650"/>
    <n v="200"/>
    <n v="800"/>
    <n v="3.75"/>
    <x v="0"/>
    <n v="981.26520681265208"/>
    <n v="11775.182481751825"/>
    <n v="17625.182481751825"/>
  </r>
  <r>
    <x v="0"/>
    <x v="545"/>
    <x v="609"/>
    <x v="30"/>
    <x v="0"/>
    <n v="5"/>
    <x v="6"/>
    <n v="56000"/>
    <n v="82.1"/>
    <n v="2100"/>
    <n v="160"/>
    <n v="1500"/>
    <n v="1"/>
    <x v="0"/>
    <n v="1231.8329278183292"/>
    <n v="14781.99513381995"/>
    <n v="74541.995133819946"/>
  </r>
  <r>
    <x v="1"/>
    <x v="189"/>
    <x v="218"/>
    <x v="1"/>
    <x v="2"/>
    <n v="2"/>
    <x v="0"/>
    <n v="38000"/>
    <n v="67.8"/>
    <n v="1100"/>
    <n v="485"/>
    <n v="800"/>
    <n v="0.79"/>
    <x v="0"/>
    <n v="1017.2749391727493"/>
    <n v="12207.299270072992"/>
    <n v="52592.299270072996"/>
  </r>
  <r>
    <x v="26"/>
    <x v="298"/>
    <x v="352"/>
    <x v="12"/>
    <x v="2"/>
    <n v="2"/>
    <x v="0"/>
    <n v="3000"/>
    <n v="65.400000000000006"/>
    <n v="750"/>
    <n v="80"/>
    <n v="750"/>
    <n v="0.92"/>
    <x v="0"/>
    <n v="981.26520681265208"/>
    <n v="11775.182481751825"/>
    <n v="16355.182481751825"/>
  </r>
  <r>
    <x v="27"/>
    <x v="299"/>
    <x v="353"/>
    <x v="40"/>
    <x v="0"/>
    <n v="4"/>
    <x v="4"/>
    <n v="3600"/>
    <n v="70.5"/>
    <n v="950"/>
    <n v="120"/>
    <n v="700"/>
    <n v="0.92"/>
    <x v="0"/>
    <n v="1057.7858880778588"/>
    <n v="12693.430656934306"/>
    <n v="18063.430656934306"/>
  </r>
  <r>
    <x v="8"/>
    <x v="546"/>
    <x v="610"/>
    <x v="6"/>
    <x v="2"/>
    <n v="2"/>
    <x v="0"/>
    <n v="4100"/>
    <n v="73.5"/>
    <n v="1100"/>
    <n v="99"/>
    <n v="850"/>
    <n v="0.92"/>
    <x v="0"/>
    <n v="1102.7980535279805"/>
    <n v="13233.576642335767"/>
    <n v="19382.576642335767"/>
  </r>
  <r>
    <x v="25"/>
    <x v="547"/>
    <x v="611"/>
    <x v="14"/>
    <x v="1"/>
    <n v="3"/>
    <x v="5"/>
    <n v="7800"/>
    <n v="53.2"/>
    <n v="450"/>
    <n v="120"/>
    <n v="400"/>
    <n v="4.6500000000000004"/>
    <x v="0"/>
    <n v="798.2157339821573"/>
    <n v="9578.5888077858872"/>
    <n v="18348.588807785887"/>
  </r>
  <r>
    <x v="41"/>
    <x v="548"/>
    <x v="612"/>
    <x v="0"/>
    <x v="2"/>
    <n v="2"/>
    <x v="0"/>
    <n v="4600"/>
    <n v="67.8"/>
    <n v="680"/>
    <n v="200"/>
    <n v="800"/>
    <n v="3.75"/>
    <x v="0"/>
    <n v="1017.2749391727493"/>
    <n v="12207.299270072992"/>
    <n v="18487.299270072992"/>
  </r>
  <r>
    <x v="0"/>
    <x v="126"/>
    <x v="131"/>
    <x v="1"/>
    <x v="2"/>
    <n v="2"/>
    <x v="0"/>
    <n v="62000"/>
    <n v="100"/>
    <n v="2500"/>
    <n v="160"/>
    <n v="1500"/>
    <n v="1"/>
    <x v="0"/>
    <n v="1500.4055150040551"/>
    <n v="18004.866180048662"/>
    <n v="84164.866180048659"/>
  </r>
  <r>
    <x v="1"/>
    <x v="49"/>
    <x v="51"/>
    <x v="39"/>
    <x v="0"/>
    <n v="4"/>
    <x v="4"/>
    <n v="35000"/>
    <n v="65.400000000000006"/>
    <n v="900"/>
    <n v="485"/>
    <n v="800"/>
    <n v="0.79"/>
    <x v="0"/>
    <n v="981.26520681265208"/>
    <n v="11775.182481751825"/>
    <n v="48960.182481751821"/>
  </r>
  <r>
    <x v="26"/>
    <x v="308"/>
    <x v="613"/>
    <x v="0"/>
    <x v="1"/>
    <n v="3"/>
    <x v="5"/>
    <n v="2800"/>
    <n v="64.5"/>
    <n v="700"/>
    <n v="80"/>
    <n v="750"/>
    <n v="0.92"/>
    <x v="0"/>
    <n v="967.7615571776156"/>
    <n v="11613.138686131388"/>
    <n v="15943.138686131388"/>
  </r>
  <r>
    <x v="27"/>
    <x v="304"/>
    <x v="358"/>
    <x v="44"/>
    <x v="2"/>
    <n v="2"/>
    <x v="0"/>
    <n v="3500"/>
    <n v="71.2"/>
    <n v="1000"/>
    <n v="120"/>
    <n v="700"/>
    <n v="0.92"/>
    <x v="0"/>
    <n v="1068.2887266828873"/>
    <n v="12819.464720194646"/>
    <n v="18139.464720194646"/>
  </r>
  <r>
    <x v="8"/>
    <x v="150"/>
    <x v="163"/>
    <x v="40"/>
    <x v="0"/>
    <n v="4"/>
    <x v="4"/>
    <n v="4300"/>
    <n v="72.099999999999994"/>
    <n v="1000"/>
    <n v="99"/>
    <n v="850"/>
    <n v="0.92"/>
    <x v="0"/>
    <n v="1081.7923763179238"/>
    <n v="12981.508515815085"/>
    <n v="19230.508515815083"/>
  </r>
  <r>
    <x v="25"/>
    <x v="549"/>
    <x v="614"/>
    <x v="6"/>
    <x v="2"/>
    <n v="2"/>
    <x v="0"/>
    <n v="7200"/>
    <n v="51.5"/>
    <n v="420"/>
    <n v="120"/>
    <n v="400"/>
    <n v="4.6500000000000004"/>
    <x v="0"/>
    <n v="772.70884022708844"/>
    <n v="9272.5060827250618"/>
    <n v="17412.506082725064"/>
  </r>
  <r>
    <x v="41"/>
    <x v="550"/>
    <x v="615"/>
    <x v="42"/>
    <x v="2"/>
    <n v="2"/>
    <x v="0"/>
    <n v="4400"/>
    <n v="64.5"/>
    <n v="600"/>
    <n v="200"/>
    <n v="800"/>
    <n v="3.75"/>
    <x v="0"/>
    <n v="967.7615571776156"/>
    <n v="11613.138686131388"/>
    <n v="17613.138686131388"/>
  </r>
  <r>
    <x v="0"/>
    <x v="181"/>
    <x v="207"/>
    <x v="12"/>
    <x v="0"/>
    <n v="5"/>
    <x v="6"/>
    <n v="52000"/>
    <n v="79.8"/>
    <n v="2200"/>
    <n v="160"/>
    <n v="1500"/>
    <n v="1"/>
    <x v="0"/>
    <n v="1197.3236009732359"/>
    <n v="14367.883211678831"/>
    <n v="70227.883211678825"/>
  </r>
  <r>
    <x v="1"/>
    <x v="22"/>
    <x v="22"/>
    <x v="14"/>
    <x v="2"/>
    <n v="2"/>
    <x v="0"/>
    <n v="36000"/>
    <n v="68.900000000000006"/>
    <n v="1200"/>
    <n v="485"/>
    <n v="800"/>
    <n v="0.79"/>
    <x v="0"/>
    <n v="1033.779399837794"/>
    <n v="12405.352798053529"/>
    <n v="50890.352798053529"/>
  </r>
  <r>
    <x v="26"/>
    <x v="303"/>
    <x v="357"/>
    <x v="41"/>
    <x v="2"/>
    <n v="2"/>
    <x v="0"/>
    <n v="3400"/>
    <n v="67.8"/>
    <n v="850"/>
    <n v="80"/>
    <n v="750"/>
    <n v="0.92"/>
    <x v="0"/>
    <n v="1017.2749391727493"/>
    <n v="12207.299270072992"/>
    <n v="17287.299270072992"/>
  </r>
  <r>
    <x v="27"/>
    <x v="309"/>
    <x v="363"/>
    <x v="0"/>
    <x v="1"/>
    <n v="3"/>
    <x v="5"/>
    <n v="3200"/>
    <n v="67.8"/>
    <n v="800"/>
    <n v="120"/>
    <n v="700"/>
    <n v="0.92"/>
    <x v="0"/>
    <n v="1017.2749391727493"/>
    <n v="12207.299270072992"/>
    <n v="17027.299270072992"/>
  </r>
  <r>
    <x v="8"/>
    <x v="149"/>
    <x v="286"/>
    <x v="1"/>
    <x v="2"/>
    <n v="2"/>
    <x v="0"/>
    <n v="4100"/>
    <n v="76.5"/>
    <n v="1300"/>
    <n v="99"/>
    <n v="850"/>
    <n v="0.92"/>
    <x v="0"/>
    <n v="1147.8102189781023"/>
    <n v="13773.722627737228"/>
    <n v="20122.722627737228"/>
  </r>
  <r>
    <x v="25"/>
    <x v="551"/>
    <x v="616"/>
    <x v="39"/>
    <x v="0"/>
    <n v="4"/>
    <x v="4"/>
    <n v="7500"/>
    <n v="50.2"/>
    <n v="400"/>
    <n v="120"/>
    <n v="400"/>
    <n v="4.6500000000000004"/>
    <x v="0"/>
    <n v="753.20356853203577"/>
    <n v="9038.4428223844297"/>
    <n v="17458.44282238443"/>
  </r>
  <r>
    <x v="41"/>
    <x v="552"/>
    <x v="617"/>
    <x v="12"/>
    <x v="1"/>
    <n v="4"/>
    <x v="4"/>
    <n v="4100"/>
    <n v="63.2"/>
    <n v="580"/>
    <n v="200"/>
    <n v="800"/>
    <n v="3.75"/>
    <x v="0"/>
    <n v="948.25628548256282"/>
    <n v="11379.075425790754"/>
    <n v="17059.075425790754"/>
  </r>
  <r>
    <x v="0"/>
    <x v="89"/>
    <x v="92"/>
    <x v="6"/>
    <x v="2"/>
    <n v="2"/>
    <x v="0"/>
    <n v="58000"/>
    <n v="84.1"/>
    <n v="1900"/>
    <n v="160"/>
    <n v="1500"/>
    <n v="1"/>
    <x v="0"/>
    <n v="1261.8410381184103"/>
    <n v="15142.092457420924"/>
    <n v="76702.09245742092"/>
  </r>
  <r>
    <x v="1"/>
    <x v="41"/>
    <x v="43"/>
    <x v="44"/>
    <x v="0"/>
    <n v="4"/>
    <x v="4"/>
    <n v="34000"/>
    <n v="64.5"/>
    <n v="950"/>
    <n v="485"/>
    <n v="800"/>
    <n v="0.79"/>
    <x v="0"/>
    <n v="967.7615571776156"/>
    <n v="11613.138686131388"/>
    <n v="47848.138686131388"/>
  </r>
  <r>
    <x v="26"/>
    <x v="318"/>
    <x v="372"/>
    <x v="40"/>
    <x v="2"/>
    <n v="2"/>
    <x v="0"/>
    <n v="3100"/>
    <n v="62.1"/>
    <n v="600"/>
    <n v="80"/>
    <n v="750"/>
    <n v="0.92"/>
    <x v="0"/>
    <n v="931.75182481751835"/>
    <n v="11181.02189781022"/>
    <n v="15711.02189781022"/>
  </r>
  <r>
    <x v="27"/>
    <x v="314"/>
    <x v="368"/>
    <x v="42"/>
    <x v="2"/>
    <n v="2"/>
    <x v="0"/>
    <n v="3300"/>
    <n v="68.900000000000006"/>
    <n v="850"/>
    <n v="120"/>
    <n v="700"/>
    <n v="0.92"/>
    <x v="0"/>
    <n v="1033.779399837794"/>
    <n v="12405.352798053529"/>
    <n v="17375.352798053529"/>
  </r>
  <r>
    <x v="8"/>
    <x v="151"/>
    <x v="290"/>
    <x v="0"/>
    <x v="1"/>
    <n v="3"/>
    <x v="5"/>
    <n v="4200"/>
    <n v="69.8"/>
    <n v="950"/>
    <n v="99"/>
    <n v="850"/>
    <n v="0.92"/>
    <x v="0"/>
    <n v="1047.2830494728303"/>
    <n v="12567.396593673962"/>
    <n v="18666.396593673962"/>
  </r>
  <r>
    <x v="25"/>
    <x v="553"/>
    <x v="618"/>
    <x v="14"/>
    <x v="2"/>
    <n v="2"/>
    <x v="0"/>
    <n v="7100"/>
    <n v="51.8"/>
    <n v="430"/>
    <n v="120"/>
    <n v="400"/>
    <n v="4.6500000000000004"/>
    <x v="0"/>
    <n v="777.21005677210053"/>
    <n v="9326.5206812652068"/>
    <n v="17376.520681265207"/>
  </r>
  <r>
    <x v="41"/>
    <x v="554"/>
    <x v="619"/>
    <x v="41"/>
    <x v="0"/>
    <n v="4"/>
    <x v="4"/>
    <n v="4300"/>
    <n v="65.8"/>
    <n v="650"/>
    <n v="200"/>
    <n v="800"/>
    <n v="3.75"/>
    <x v="0"/>
    <n v="987.26682887266816"/>
    <n v="11847.201946472018"/>
    <n v="17797.201946472018"/>
  </r>
  <r>
    <x v="0"/>
    <x v="236"/>
    <x v="29"/>
    <x v="1"/>
    <x v="2"/>
    <n v="2"/>
    <x v="0"/>
    <n v="55000"/>
    <n v="95.2"/>
    <n v="2400"/>
    <n v="160"/>
    <n v="1500"/>
    <n v="1"/>
    <x v="0"/>
    <n v="1428.3860502838606"/>
    <n v="17140.632603406328"/>
    <n v="76200.632603406324"/>
  </r>
  <r>
    <x v="1"/>
    <x v="98"/>
    <x v="102"/>
    <x v="12"/>
    <x v="2"/>
    <n v="2"/>
    <x v="0"/>
    <n v="35000"/>
    <n v="63.2"/>
    <n v="900"/>
    <n v="485"/>
    <n v="800"/>
    <n v="0.79"/>
    <x v="0"/>
    <n v="948.25628548256282"/>
    <n v="11379.075425790754"/>
    <n v="48564.075425790754"/>
  </r>
  <r>
    <x v="26"/>
    <x v="313"/>
    <x v="367"/>
    <x v="6"/>
    <x v="0"/>
    <n v="4"/>
    <x v="4"/>
    <n v="2900"/>
    <n v="63.2"/>
    <n v="650"/>
    <n v="80"/>
    <n v="750"/>
    <n v="0.92"/>
    <x v="0"/>
    <n v="948.25628548256282"/>
    <n v="11379.075425790754"/>
    <n v="15759.075425790754"/>
  </r>
  <r>
    <x v="27"/>
    <x v="319"/>
    <x v="373"/>
    <x v="39"/>
    <x v="2"/>
    <n v="2"/>
    <x v="0"/>
    <n v="3400"/>
    <n v="69.5"/>
    <n v="900"/>
    <n v="120"/>
    <n v="700"/>
    <n v="0.92"/>
    <x v="0"/>
    <n v="1042.7818329278184"/>
    <n v="12513.381995133821"/>
    <n v="17633.381995133823"/>
  </r>
  <r>
    <x v="8"/>
    <x v="153"/>
    <x v="166"/>
    <x v="14"/>
    <x v="2"/>
    <n v="2"/>
    <x v="0"/>
    <n v="4000"/>
    <n v="70.2"/>
    <n v="1000"/>
    <n v="99"/>
    <n v="850"/>
    <n v="0.92"/>
    <x v="0"/>
    <n v="1053.2846715328469"/>
    <n v="12639.416058394163"/>
    <n v="18588.416058394163"/>
  </r>
  <r>
    <x v="25"/>
    <x v="555"/>
    <x v="620"/>
    <x v="0"/>
    <x v="1"/>
    <n v="3"/>
    <x v="5"/>
    <n v="6800"/>
    <n v="50.5"/>
    <n v="400"/>
    <n v="120"/>
    <n v="400"/>
    <n v="4.6500000000000004"/>
    <x v="0"/>
    <n v="757.70478507704797"/>
    <n v="9092.4574209245766"/>
    <n v="16812.457420924577"/>
  </r>
  <r>
    <x v="41"/>
    <x v="556"/>
    <x v="621"/>
    <x v="40"/>
    <x v="2"/>
    <n v="2"/>
    <x v="0"/>
    <n v="4200"/>
    <n v="64.2"/>
    <n v="600"/>
    <n v="200"/>
    <n v="800"/>
    <n v="3.75"/>
    <x v="0"/>
    <n v="963.26034063260352"/>
    <n v="11559.124087591243"/>
    <n v="17359.124087591241"/>
  </r>
  <r>
    <x v="0"/>
    <x v="39"/>
    <x v="41"/>
    <x v="42"/>
    <x v="0"/>
    <n v="5"/>
    <x v="6"/>
    <n v="50000"/>
    <n v="77.8"/>
    <n v="2000"/>
    <n v="160"/>
    <n v="1500"/>
    <n v="1"/>
    <x v="0"/>
    <n v="1167.315490673155"/>
    <n v="14007.785888077859"/>
    <n v="67667.785888077866"/>
  </r>
  <r>
    <x v="1"/>
    <x v="103"/>
    <x v="107"/>
    <x v="44"/>
    <x v="2"/>
    <n v="2"/>
    <x v="0"/>
    <n v="34000"/>
    <n v="61.2"/>
    <n v="800"/>
    <n v="485"/>
    <n v="800"/>
    <n v="0.79"/>
    <x v="0"/>
    <n v="918.24817518248187"/>
    <n v="11018.978102189783"/>
    <n v="47103.978102189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C2AA8F-5551-45A1-AA0F-74D31AA04E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10" firstHeaderRow="0" firstDataRow="1" firstDataCol="1"/>
  <pivotFields count="17">
    <pivotField showAll="0"/>
    <pivotField showAll="0">
      <items count="558">
        <item x="255"/>
        <item x="81"/>
        <item x="43"/>
        <item x="164"/>
        <item x="191"/>
        <item x="358"/>
        <item x="465"/>
        <item x="68"/>
        <item x="368"/>
        <item x="388"/>
        <item x="532"/>
        <item x="373"/>
        <item x="516"/>
        <item x="556"/>
        <item x="362"/>
        <item x="466"/>
        <item x="491"/>
        <item x="6"/>
        <item x="537"/>
        <item x="325"/>
        <item x="19"/>
        <item x="489"/>
        <item x="340"/>
        <item x="333"/>
        <item x="432"/>
        <item x="77"/>
        <item x="209"/>
        <item x="382"/>
        <item x="123"/>
        <item x="244"/>
        <item x="20"/>
        <item x="16"/>
        <item x="21"/>
        <item x="280"/>
        <item x="231"/>
        <item x="90"/>
        <item x="393"/>
        <item x="42"/>
        <item x="549"/>
        <item x="124"/>
        <item x="53"/>
        <item x="400"/>
        <item x="33"/>
        <item x="196"/>
        <item x="12"/>
        <item x="461"/>
        <item x="105"/>
        <item x="503"/>
        <item x="397"/>
        <item x="247"/>
        <item x="48"/>
        <item x="52"/>
        <item x="157"/>
        <item x="419"/>
        <item x="303"/>
        <item x="101"/>
        <item x="455"/>
        <item x="258"/>
        <item x="385"/>
        <item x="299"/>
        <item x="235"/>
        <item x="150"/>
        <item x="415"/>
        <item x="30"/>
        <item x="95"/>
        <item x="278"/>
        <item x="408"/>
        <item x="84"/>
        <item x="263"/>
        <item x="229"/>
        <item x="22"/>
        <item x="204"/>
        <item x="18"/>
        <item x="406"/>
        <item x="386"/>
        <item x="324"/>
        <item x="131"/>
        <item x="521"/>
        <item x="487"/>
        <item x="336"/>
        <item x="15"/>
        <item x="469"/>
        <item x="130"/>
        <item x="118"/>
        <item x="394"/>
        <item x="0"/>
        <item x="359"/>
        <item x="36"/>
        <item x="481"/>
        <item x="129"/>
        <item x="104"/>
        <item x="416"/>
        <item x="431"/>
        <item x="534"/>
        <item x="320"/>
        <item x="171"/>
        <item x="365"/>
        <item x="178"/>
        <item x="357"/>
        <item x="89"/>
        <item x="459"/>
        <item x="351"/>
        <item x="490"/>
        <item x="507"/>
        <item x="274"/>
        <item x="391"/>
        <item x="276"/>
        <item x="187"/>
        <item x="234"/>
        <item x="183"/>
        <item x="412"/>
        <item x="482"/>
        <item x="11"/>
        <item x="433"/>
        <item x="237"/>
        <item x="188"/>
        <item x="216"/>
        <item x="418"/>
        <item x="476"/>
        <item x="446"/>
        <item x="547"/>
        <item x="172"/>
        <item x="46"/>
        <item x="548"/>
        <item x="83"/>
        <item x="74"/>
        <item x="475"/>
        <item x="97"/>
        <item x="218"/>
        <item x="327"/>
        <item x="34"/>
        <item x="360"/>
        <item x="420"/>
        <item x="240"/>
        <item x="542"/>
        <item x="499"/>
        <item x="409"/>
        <item x="533"/>
        <item x="321"/>
        <item x="78"/>
        <item x="125"/>
        <item x="14"/>
        <item x="457"/>
        <item x="200"/>
        <item x="277"/>
        <item x="92"/>
        <item x="189"/>
        <item x="40"/>
        <item x="136"/>
        <item x="137"/>
        <item x="264"/>
        <item x="392"/>
        <item x="332"/>
        <item x="246"/>
        <item x="195"/>
        <item x="198"/>
        <item x="442"/>
        <item x="283"/>
        <item x="438"/>
        <item x="304"/>
        <item x="374"/>
        <item x="233"/>
        <item x="87"/>
        <item x="160"/>
        <item x="383"/>
        <item x="62"/>
        <item x="287"/>
        <item x="448"/>
        <item x="185"/>
        <item x="45"/>
        <item x="407"/>
        <item x="156"/>
        <item x="326"/>
        <item x="456"/>
        <item x="367"/>
        <item x="261"/>
        <item x="41"/>
        <item x="70"/>
        <item x="275"/>
        <item x="308"/>
        <item x="291"/>
        <item x="220"/>
        <item x="148"/>
        <item x="138"/>
        <item x="297"/>
        <item x="168"/>
        <item x="468"/>
        <item x="173"/>
        <item x="338"/>
        <item x="399"/>
        <item x="108"/>
        <item x="80"/>
        <item x="106"/>
        <item x="166"/>
        <item x="86"/>
        <item x="342"/>
        <item x="371"/>
        <item x="508"/>
        <item x="32"/>
        <item x="56"/>
        <item x="300"/>
        <item x="202"/>
        <item x="270"/>
        <item x="67"/>
        <item x="496"/>
        <item x="135"/>
        <item x="71"/>
        <item x="24"/>
        <item x="268"/>
        <item x="210"/>
        <item x="370"/>
        <item x="402"/>
        <item x="176"/>
        <item x="306"/>
        <item x="310"/>
        <item x="478"/>
        <item x="512"/>
        <item x="120"/>
        <item x="127"/>
        <item x="329"/>
        <item x="132"/>
        <item x="540"/>
        <item x="85"/>
        <item x="269"/>
        <item x="541"/>
        <item x="484"/>
        <item x="259"/>
        <item x="66"/>
        <item x="380"/>
        <item x="82"/>
        <item x="284"/>
        <item x="417"/>
        <item x="345"/>
        <item x="335"/>
        <item x="353"/>
        <item x="211"/>
        <item x="199"/>
        <item x="517"/>
        <item x="361"/>
        <item x="515"/>
        <item x="221"/>
        <item x="403"/>
        <item x="311"/>
        <item x="65"/>
        <item x="260"/>
        <item x="350"/>
        <item x="405"/>
        <item x="518"/>
        <item x="527"/>
        <item x="390"/>
        <item x="265"/>
        <item x="47"/>
        <item x="543"/>
        <item x="473"/>
        <item x="266"/>
        <item x="500"/>
        <item x="501"/>
        <item x="59"/>
        <item x="498"/>
        <item x="447"/>
        <item x="437"/>
        <item x="134"/>
        <item x="207"/>
        <item x="262"/>
        <item x="435"/>
        <item x="155"/>
        <item x="98"/>
        <item x="192"/>
        <item x="143"/>
        <item x="316"/>
        <item x="323"/>
        <item x="347"/>
        <item x="151"/>
        <item x="426"/>
        <item x="428"/>
        <item x="238"/>
        <item x="279"/>
        <item x="296"/>
        <item x="25"/>
        <item x="232"/>
        <item x="190"/>
        <item x="502"/>
        <item x="411"/>
        <item x="483"/>
        <item x="1"/>
        <item x="107"/>
        <item x="181"/>
        <item x="203"/>
        <item x="337"/>
        <item x="162"/>
        <item x="159"/>
        <item x="37"/>
        <item x="387"/>
        <item x="509"/>
        <item x="257"/>
        <item x="147"/>
        <item x="139"/>
        <item x="93"/>
        <item x="288"/>
        <item x="554"/>
        <item x="410"/>
        <item x="479"/>
        <item x="462"/>
        <item x="49"/>
        <item x="377"/>
        <item x="510"/>
        <item x="445"/>
        <item x="546"/>
        <item x="520"/>
        <item x="239"/>
        <item x="389"/>
        <item x="544"/>
        <item x="551"/>
        <item x="3"/>
        <item x="454"/>
        <item x="312"/>
        <item x="122"/>
        <item x="54"/>
        <item x="96"/>
        <item x="343"/>
        <item x="545"/>
        <item x="441"/>
        <item x="224"/>
        <item x="352"/>
        <item x="292"/>
        <item x="463"/>
        <item x="154"/>
        <item x="222"/>
        <item x="121"/>
        <item x="493"/>
        <item x="356"/>
        <item x="4"/>
        <item x="60"/>
        <item x="376"/>
        <item x="529"/>
        <item x="167"/>
        <item x="309"/>
        <item x="91"/>
        <item x="161"/>
        <item x="179"/>
        <item x="126"/>
        <item x="72"/>
        <item x="149"/>
        <item x="422"/>
        <item x="140"/>
        <item x="555"/>
        <item x="519"/>
        <item x="215"/>
        <item x="103"/>
        <item x="526"/>
        <item x="511"/>
        <item x="331"/>
        <item x="249"/>
        <item x="525"/>
        <item x="474"/>
        <item x="58"/>
        <item x="443"/>
        <item x="57"/>
        <item x="23"/>
        <item x="458"/>
        <item x="253"/>
        <item x="31"/>
        <item x="217"/>
        <item x="319"/>
        <item x="281"/>
        <item x="467"/>
        <item x="450"/>
        <item x="145"/>
        <item x="8"/>
        <item x="295"/>
        <item x="494"/>
        <item x="334"/>
        <item x="539"/>
        <item x="69"/>
        <item x="88"/>
        <item x="366"/>
        <item x="341"/>
        <item x="314"/>
        <item x="116"/>
        <item x="453"/>
        <item x="472"/>
        <item x="212"/>
        <item x="175"/>
        <item x="372"/>
        <item x="242"/>
        <item x="273"/>
        <item x="364"/>
        <item x="213"/>
        <item x="401"/>
        <item x="28"/>
        <item x="228"/>
        <item x="180"/>
        <item x="302"/>
        <item x="451"/>
        <item x="375"/>
        <item x="110"/>
        <item x="205"/>
        <item x="307"/>
        <item x="460"/>
        <item x="425"/>
        <item x="523"/>
        <item x="186"/>
        <item x="378"/>
        <item x="193"/>
        <item x="369"/>
        <item x="112"/>
        <item x="152"/>
        <item x="384"/>
        <item x="315"/>
        <item x="470"/>
        <item x="436"/>
        <item x="355"/>
        <item x="486"/>
        <item x="133"/>
        <item x="289"/>
        <item x="440"/>
        <item x="254"/>
        <item x="354"/>
        <item x="55"/>
        <item x="206"/>
        <item x="495"/>
        <item x="328"/>
        <item x="485"/>
        <item x="318"/>
        <item x="524"/>
        <item x="471"/>
        <item x="379"/>
        <item x="301"/>
        <item x="349"/>
        <item x="513"/>
        <item x="38"/>
        <item x="236"/>
        <item x="322"/>
        <item x="522"/>
        <item x="444"/>
        <item x="506"/>
        <item x="514"/>
        <item x="538"/>
        <item x="430"/>
        <item x="424"/>
        <item x="119"/>
        <item x="63"/>
        <item x="114"/>
        <item x="39"/>
        <item x="414"/>
        <item x="61"/>
        <item x="13"/>
        <item x="298"/>
        <item x="427"/>
        <item x="553"/>
        <item x="165"/>
        <item x="363"/>
        <item x="100"/>
        <item x="128"/>
        <item x="115"/>
        <item x="528"/>
        <item x="492"/>
        <item x="7"/>
        <item x="267"/>
        <item x="243"/>
        <item x="464"/>
        <item x="381"/>
        <item x="530"/>
        <item x="434"/>
        <item x="102"/>
        <item x="429"/>
        <item x="158"/>
        <item x="113"/>
        <item x="29"/>
        <item x="252"/>
        <item x="10"/>
        <item x="153"/>
        <item x="201"/>
        <item x="79"/>
        <item x="535"/>
        <item x="227"/>
        <item x="76"/>
        <item x="404"/>
        <item x="197"/>
        <item x="194"/>
        <item x="177"/>
        <item x="208"/>
        <item x="51"/>
        <item x="531"/>
        <item x="330"/>
        <item x="536"/>
        <item x="552"/>
        <item x="550"/>
        <item x="27"/>
        <item x="488"/>
        <item x="248"/>
        <item x="452"/>
        <item x="505"/>
        <item x="504"/>
        <item x="26"/>
        <item x="94"/>
        <item x="290"/>
        <item x="226"/>
        <item x="317"/>
        <item x="141"/>
        <item x="396"/>
        <item x="497"/>
        <item x="5"/>
        <item x="339"/>
        <item x="230"/>
        <item x="2"/>
        <item x="146"/>
        <item x="75"/>
        <item x="477"/>
        <item x="225"/>
        <item x="250"/>
        <item x="245"/>
        <item x="439"/>
        <item x="64"/>
        <item x="421"/>
        <item x="294"/>
        <item x="251"/>
        <item x="174"/>
        <item x="214"/>
        <item x="282"/>
        <item x="272"/>
        <item x="182"/>
        <item x="117"/>
        <item x="142"/>
        <item x="286"/>
        <item x="256"/>
        <item x="293"/>
        <item x="50"/>
        <item x="480"/>
        <item x="348"/>
        <item x="109"/>
        <item x="17"/>
        <item x="285"/>
        <item x="305"/>
        <item x="144"/>
        <item x="413"/>
        <item x="44"/>
        <item x="99"/>
        <item x="241"/>
        <item x="35"/>
        <item x="271"/>
        <item x="184"/>
        <item x="219"/>
        <item x="223"/>
        <item x="111"/>
        <item x="163"/>
        <item x="73"/>
        <item x="395"/>
        <item x="169"/>
        <item x="346"/>
        <item x="170"/>
        <item x="344"/>
        <item x="398"/>
        <item x="449"/>
        <item x="423"/>
        <item x="313"/>
        <item x="9"/>
        <item t="default"/>
      </items>
    </pivotField>
    <pivotField axis="axisRow" showAll="0" measureFilter="1" sortType="descending">
      <items count="623">
        <item x="603"/>
        <item x="160"/>
        <item x="158"/>
        <item x="45"/>
        <item x="299"/>
        <item x="178"/>
        <item x="511"/>
        <item x="591"/>
        <item x="460"/>
        <item x="474"/>
        <item x="424"/>
        <item x="610"/>
        <item x="426"/>
        <item x="396"/>
        <item x="419"/>
        <item x="461"/>
        <item x="494"/>
        <item x="135"/>
        <item x="130"/>
        <item x="568"/>
        <item x="520"/>
        <item x="420"/>
        <item x="388"/>
        <item x="596"/>
        <item x="279"/>
        <item x="553"/>
        <item x="545"/>
        <item x="344"/>
        <item x="97"/>
        <item x="239"/>
        <item x="440"/>
        <item x="377"/>
        <item x="296"/>
        <item x="583"/>
        <item x="38"/>
        <item x="334"/>
        <item x="449"/>
        <item x="549"/>
        <item x="537"/>
        <item x="559"/>
        <item x="464"/>
        <item x="125"/>
        <item x="469"/>
        <item x="234"/>
        <item x="378"/>
        <item x="580"/>
        <item x="547"/>
        <item x="504"/>
        <item x="410"/>
        <item x="108"/>
        <item x="121"/>
        <item x="371"/>
        <item x="324"/>
        <item x="478"/>
        <item x="77"/>
        <item x="28"/>
        <item x="414"/>
        <item x="196"/>
        <item x="197"/>
        <item x="129"/>
        <item x="204"/>
        <item x="192"/>
        <item x="131"/>
        <item x="132"/>
        <item x="246"/>
        <item x="567"/>
        <item x="487"/>
        <item x="113"/>
        <item x="248"/>
        <item x="402"/>
        <item x="473"/>
        <item x="592"/>
        <item x="193"/>
        <item x="95"/>
        <item x="219"/>
        <item x="501"/>
        <item x="384"/>
        <item x="168"/>
        <item x="57"/>
        <item x="401"/>
        <item x="527"/>
        <item x="34"/>
        <item x="9"/>
        <item x="472"/>
        <item x="593"/>
        <item x="270"/>
        <item x="579"/>
        <item x="375"/>
        <item x="54"/>
        <item x="180"/>
        <item x="441"/>
        <item x="457"/>
        <item x="466"/>
        <item x="20"/>
        <item x="381"/>
        <item x="515"/>
        <item x="275"/>
        <item x="161"/>
        <item x="73"/>
        <item x="575"/>
        <item x="203"/>
        <item x="190"/>
        <item x="0"/>
        <item x="490"/>
        <item x="398"/>
        <item x="140"/>
        <item x="33"/>
        <item x="232"/>
        <item x="70"/>
        <item x="24"/>
        <item x="65"/>
        <item x="544"/>
        <item x="273"/>
        <item x="458"/>
        <item x="561"/>
        <item x="413"/>
        <item x="417"/>
        <item x="428"/>
        <item x="438"/>
        <item x="422"/>
        <item x="432"/>
        <item x="612"/>
        <item x="598"/>
        <item x="1"/>
        <item x="201"/>
        <item x="44"/>
        <item x="565"/>
        <item x="165"/>
        <item x="159"/>
        <item x="451"/>
        <item x="463"/>
        <item x="483"/>
        <item x="534"/>
        <item x="572"/>
        <item x="608"/>
        <item x="295"/>
        <item x="597"/>
        <item x="383"/>
        <item x="448"/>
        <item x="78"/>
        <item x="350"/>
        <item x="408"/>
        <item x="93"/>
        <item x="48"/>
        <item x="69"/>
        <item x="335"/>
        <item x="391"/>
        <item x="241"/>
        <item x="605"/>
        <item x="415"/>
        <item x="576"/>
        <item x="418"/>
        <item x="574"/>
        <item x="601"/>
        <item x="621"/>
        <item x="138"/>
        <item x="217"/>
        <item x="251"/>
        <item x="85"/>
        <item x="68"/>
        <item x="188"/>
        <item x="10"/>
        <item x="18"/>
        <item x="560"/>
        <item x="532"/>
        <item x="61"/>
        <item x="194"/>
        <item x="64"/>
        <item x="259"/>
        <item x="237"/>
        <item x="260"/>
        <item x="115"/>
        <item x="528"/>
        <item x="552"/>
        <item x="536"/>
        <item x="289"/>
        <item x="89"/>
        <item x="148"/>
        <item x="337"/>
        <item x="329"/>
        <item x="338"/>
        <item x="300"/>
        <item x="470"/>
        <item x="233"/>
        <item x="39"/>
        <item x="315"/>
        <item x="456"/>
        <item x="450"/>
        <item x="569"/>
        <item x="144"/>
        <item x="434"/>
        <item x="609"/>
        <item x="331"/>
        <item x="287"/>
        <item x="252"/>
        <item x="111"/>
        <item x="118"/>
        <item x="468"/>
        <item x="379"/>
        <item x="30"/>
        <item x="517"/>
        <item x="484"/>
        <item x="264"/>
        <item x="370"/>
        <item x="126"/>
        <item x="611"/>
        <item x="62"/>
        <item x="588"/>
        <item x="183"/>
        <item x="151"/>
        <item x="27"/>
        <item x="128"/>
        <item x="492"/>
        <item x="513"/>
        <item x="506"/>
        <item x="499"/>
        <item x="7"/>
        <item x="214"/>
        <item x="509"/>
        <item x="110"/>
        <item x="312"/>
        <item x="282"/>
        <item x="245"/>
        <item x="309"/>
        <item x="387"/>
        <item x="298"/>
        <item x="314"/>
        <item x="156"/>
        <item x="36"/>
        <item x="47"/>
        <item x="155"/>
        <item x="584"/>
        <item x="211"/>
        <item x="216"/>
        <item x="60"/>
        <item x="471"/>
        <item x="247"/>
        <item x="179"/>
        <item x="531"/>
        <item x="56"/>
        <item x="348"/>
        <item x="455"/>
        <item x="429"/>
        <item x="292"/>
        <item x="200"/>
        <item x="423"/>
        <item x="206"/>
        <item x="489"/>
        <item x="485"/>
        <item x="412"/>
        <item x="212"/>
        <item x="15"/>
        <item x="550"/>
        <item x="235"/>
        <item x="254"/>
        <item x="109"/>
        <item x="265"/>
        <item x="145"/>
        <item x="436"/>
        <item x="452"/>
        <item x="267"/>
        <item x="308"/>
        <item x="236"/>
        <item x="529"/>
        <item x="582"/>
        <item x="84"/>
        <item x="462"/>
        <item x="405"/>
        <item x="573"/>
        <item x="343"/>
        <item x="406"/>
        <item x="13"/>
        <item x="181"/>
        <item x="564"/>
        <item x="587"/>
        <item x="187"/>
        <item x="435"/>
        <item x="152"/>
        <item x="425"/>
        <item x="154"/>
        <item x="157"/>
        <item x="523"/>
        <item x="8"/>
        <item x="271"/>
        <item x="409"/>
        <item x="29"/>
        <item x="184"/>
        <item x="191"/>
        <item x="202"/>
        <item x="433"/>
        <item x="590"/>
        <item x="133"/>
        <item x="153"/>
        <item x="238"/>
        <item x="394"/>
        <item x="615"/>
        <item x="302"/>
        <item x="297"/>
        <item x="374"/>
        <item x="311"/>
        <item x="4"/>
        <item x="539"/>
        <item x="346"/>
        <item x="361"/>
        <item x="26"/>
        <item x="215"/>
        <item x="439"/>
        <item x="146"/>
        <item x="63"/>
        <item x="66"/>
        <item x="395"/>
        <item x="467"/>
        <item x="14"/>
        <item x="12"/>
        <item x="87"/>
        <item x="86"/>
        <item x="35"/>
        <item x="81"/>
        <item x="141"/>
        <item x="345"/>
        <item x="83"/>
        <item x="272"/>
        <item x="341"/>
        <item x="430"/>
        <item x="376"/>
        <item x="50"/>
        <item x="278"/>
        <item x="100"/>
        <item x="40"/>
        <item x="207"/>
        <item x="393"/>
        <item x="503"/>
        <item x="479"/>
        <item x="356"/>
        <item x="437"/>
        <item x="427"/>
        <item x="421"/>
        <item x="431"/>
        <item x="465"/>
        <item x="304"/>
        <item x="618"/>
        <item x="122"/>
        <item x="614"/>
        <item x="198"/>
        <item x="244"/>
        <item x="392"/>
        <item x="332"/>
        <item x="619"/>
        <item x="127"/>
        <item x="261"/>
        <item x="416"/>
        <item x="607"/>
        <item x="366"/>
        <item x="538"/>
        <item x="496"/>
        <item x="447"/>
        <item x="475"/>
        <item x="535"/>
        <item x="613"/>
        <item x="351"/>
        <item x="522"/>
        <item x="581"/>
        <item x="554"/>
        <item x="512"/>
        <item x="352"/>
        <item x="589"/>
        <item x="606"/>
        <item x="459"/>
        <item x="453"/>
        <item x="566"/>
        <item x="542"/>
        <item x="558"/>
        <item x="443"/>
        <item x="498"/>
        <item x="530"/>
        <item x="340"/>
        <item x="599"/>
        <item x="491"/>
        <item x="505"/>
        <item x="519"/>
        <item x="518"/>
        <item x="551"/>
        <item x="526"/>
        <item x="164"/>
        <item x="120"/>
        <item x="162"/>
        <item x="602"/>
        <item x="347"/>
        <item x="342"/>
        <item x="281"/>
        <item x="101"/>
        <item x="548"/>
        <item x="221"/>
        <item x="71"/>
        <item x="317"/>
        <item x="446"/>
        <item x="497"/>
        <item x="42"/>
        <item x="333"/>
        <item x="6"/>
        <item x="389"/>
        <item x="16"/>
        <item x="330"/>
        <item x="521"/>
        <item x="55"/>
        <item x="175"/>
        <item x="226"/>
        <item x="563"/>
        <item x="301"/>
        <item x="170"/>
        <item x="105"/>
        <item x="353"/>
        <item x="277"/>
        <item x="163"/>
        <item x="316"/>
        <item x="22"/>
        <item x="52"/>
        <item x="136"/>
        <item x="123"/>
        <item x="32"/>
        <item x="268"/>
        <item x="323"/>
        <item x="540"/>
        <item x="134"/>
        <item x="514"/>
        <item x="92"/>
        <item x="325"/>
        <item x="276"/>
        <item x="98"/>
        <item x="541"/>
        <item x="11"/>
        <item x="477"/>
        <item x="354"/>
        <item x="481"/>
        <item x="382"/>
        <item x="288"/>
        <item x="411"/>
        <item x="516"/>
        <item x="230"/>
        <item x="318"/>
        <item x="218"/>
        <item x="225"/>
        <item x="228"/>
        <item x="358"/>
        <item x="213"/>
        <item x="90"/>
        <item x="173"/>
        <item x="507"/>
        <item x="169"/>
        <item x="524"/>
        <item x="43"/>
        <item x="362"/>
        <item x="250"/>
        <item x="143"/>
        <item x="274"/>
        <item x="556"/>
        <item x="58"/>
        <item x="240"/>
        <item x="442"/>
        <item x="210"/>
        <item x="137"/>
        <item x="360"/>
        <item x="364"/>
        <item x="88"/>
        <item x="313"/>
        <item x="229"/>
        <item x="365"/>
        <item x="586"/>
        <item x="139"/>
        <item x="102"/>
        <item x="222"/>
        <item x="403"/>
        <item x="290"/>
        <item x="284"/>
        <item x="25"/>
        <item x="220"/>
        <item x="562"/>
        <item x="176"/>
        <item x="445"/>
        <item x="280"/>
        <item x="380"/>
        <item x="339"/>
        <item x="49"/>
        <item x="51"/>
        <item x="116"/>
        <item x="570"/>
        <item x="3"/>
        <item x="19"/>
        <item x="327"/>
        <item x="99"/>
        <item x="399"/>
        <item x="500"/>
        <item x="407"/>
        <item x="167"/>
        <item x="253"/>
        <item x="363"/>
        <item x="174"/>
        <item x="257"/>
        <item x="80"/>
        <item x="263"/>
        <item x="75"/>
        <item x="286"/>
        <item x="578"/>
        <item x="107"/>
        <item x="585"/>
        <item x="571"/>
        <item x="533"/>
        <item x="502"/>
        <item x="59"/>
        <item x="326"/>
        <item x="23"/>
        <item x="307"/>
        <item x="31"/>
        <item x="373"/>
        <item x="404"/>
        <item x="349"/>
        <item x="390"/>
        <item x="91"/>
        <item x="397"/>
        <item x="368"/>
        <item x="242"/>
        <item x="322"/>
        <item x="243"/>
        <item x="577"/>
        <item x="262"/>
        <item x="223"/>
        <item x="117"/>
        <item x="495"/>
        <item x="555"/>
        <item x="372"/>
        <item x="285"/>
        <item x="355"/>
        <item x="124"/>
        <item x="119"/>
        <item x="525"/>
        <item x="486"/>
        <item x="104"/>
        <item x="255"/>
        <item x="476"/>
        <item x="493"/>
        <item x="106"/>
        <item x="319"/>
        <item x="303"/>
        <item x="269"/>
        <item x="488"/>
        <item x="171"/>
        <item x="306"/>
        <item x="166"/>
        <item x="231"/>
        <item x="82"/>
        <item x="594"/>
        <item x="227"/>
        <item x="224"/>
        <item x="53"/>
        <item x="386"/>
        <item x="595"/>
        <item x="617"/>
        <item x="74"/>
        <item x="266"/>
        <item x="208"/>
        <item x="369"/>
        <item x="357"/>
        <item x="359"/>
        <item x="557"/>
        <item x="5"/>
        <item x="2"/>
        <item x="283"/>
        <item x="67"/>
        <item x="480"/>
        <item x="305"/>
        <item x="142"/>
        <item x="199"/>
        <item x="310"/>
        <item x="114"/>
        <item x="17"/>
        <item x="328"/>
        <item x="46"/>
        <item x="103"/>
        <item x="41"/>
        <item x="37"/>
        <item x="72"/>
        <item x="249"/>
        <item x="256"/>
        <item x="96"/>
        <item x="209"/>
        <item x="76"/>
        <item x="508"/>
        <item x="482"/>
        <item x="367"/>
        <item x="444"/>
        <item x="321"/>
        <item x="258"/>
        <item x="400"/>
        <item x="79"/>
        <item x="172"/>
        <item x="294"/>
        <item x="620"/>
        <item x="600"/>
        <item x="21"/>
        <item x="336"/>
        <item x="546"/>
        <item x="616"/>
        <item x="510"/>
        <item x="604"/>
        <item x="543"/>
        <item x="147"/>
        <item x="293"/>
        <item x="94"/>
        <item x="320"/>
        <item x="385"/>
        <item x="150"/>
        <item x="149"/>
        <item x="291"/>
        <item x="112"/>
        <item x="454"/>
        <item x="185"/>
        <item x="186"/>
        <item x="205"/>
        <item x="195"/>
        <item x="189"/>
        <item x="177"/>
        <item x="18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8">
        <item x="1"/>
        <item x="2"/>
        <item x="0"/>
        <item x="3"/>
        <item x="5"/>
        <item x="4"/>
        <item x="6"/>
        <item t="default"/>
      </items>
    </pivotField>
    <pivotField dataField="1" numFmtId="164" showAll="0"/>
    <pivotField showAll="0"/>
    <pivotField showAll="0"/>
    <pivotField showAll="0"/>
    <pivotField showAll="0"/>
    <pivotField showAll="0"/>
    <pivotField showAll="0">
      <items count="4">
        <item x="1"/>
        <item x="0"/>
        <item x="2"/>
        <item t="default"/>
      </items>
    </pivotField>
    <pivotField numFmtId="164" showAll="0"/>
    <pivotField dataField="1" numFmtId="164" showAll="0"/>
    <pivotField numFmtId="164" showAll="0"/>
  </pivotFields>
  <rowFields count="1">
    <field x="2"/>
  </rowFields>
  <rowItems count="7">
    <i>
      <x v="62"/>
    </i>
    <i>
      <x v="102"/>
    </i>
    <i>
      <x v="425"/>
    </i>
    <i>
      <x v="191"/>
    </i>
    <i>
      <x v="199"/>
    </i>
    <i>
      <x v="617"/>
    </i>
    <i t="grand">
      <x/>
    </i>
  </rowItems>
  <colFields count="1">
    <field x="-2"/>
  </colFields>
  <colItems count="2">
    <i>
      <x/>
    </i>
    <i i="1">
      <x v="1"/>
    </i>
  </colItems>
  <dataFields count="2">
    <dataField name="Average of Tuition_USD" fld="7" subtotal="average" baseField="0" baseItem="0" numFmtId="164"/>
    <dataField name="Average of Annual_Estimated_Living_cost" fld="15" subtotal="average" baseField="0" baseItem="0" numFmtId="164"/>
  </dataFields>
  <chartFormats count="14">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pivotArea type="data" outline="0" fieldPosition="0">
        <references count="2">
          <reference field="4294967294" count="1" selected="0">
            <x v="1"/>
          </reference>
          <reference field="2" count="1" selected="0">
            <x v="62"/>
          </reference>
        </references>
      </pivotArea>
    </chartFormat>
    <chartFormat chart="11" format="9">
      <pivotArea type="data" outline="0" fieldPosition="0">
        <references count="2">
          <reference field="4294967294" count="1" selected="0">
            <x v="1"/>
          </reference>
          <reference field="2" count="1" selected="0">
            <x v="102"/>
          </reference>
        </references>
      </pivotArea>
    </chartFormat>
    <chartFormat chart="11" format="10">
      <pivotArea type="data" outline="0" fieldPosition="0">
        <references count="2">
          <reference field="4294967294" count="1" selected="0">
            <x v="1"/>
          </reference>
          <reference field="2" count="1" selected="0">
            <x v="425"/>
          </reference>
        </references>
      </pivotArea>
    </chartFormat>
    <chartFormat chart="11" format="11">
      <pivotArea type="data" outline="0" fieldPosition="0">
        <references count="2">
          <reference field="4294967294" count="1" selected="0">
            <x v="1"/>
          </reference>
          <reference field="2" count="1" selected="0">
            <x v="191"/>
          </reference>
        </references>
      </pivotArea>
    </chartFormat>
    <chartFormat chart="11" format="12">
      <pivotArea type="data" outline="0" fieldPosition="0">
        <references count="2">
          <reference field="4294967294" count="1" selected="0">
            <x v="1"/>
          </reference>
          <reference field="2" count="1" selected="0">
            <x v="199"/>
          </reference>
        </references>
      </pivotArea>
    </chartFormat>
    <chartFormat chart="11" format="13">
      <pivotArea type="data" outline="0" fieldPosition="0">
        <references count="2">
          <reference field="4294967294" count="1" selected="0">
            <x v="1"/>
          </reference>
          <reference field="2" count="1" selected="0">
            <x v="617"/>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B9C1D9-87B4-4746-8B10-1074E45184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7">
    <pivotField showAll="0"/>
    <pivotField showAll="0">
      <items count="558">
        <item x="255"/>
        <item x="81"/>
        <item x="43"/>
        <item x="164"/>
        <item x="191"/>
        <item x="358"/>
        <item x="465"/>
        <item x="68"/>
        <item x="368"/>
        <item x="388"/>
        <item x="532"/>
        <item x="373"/>
        <item x="516"/>
        <item x="556"/>
        <item x="362"/>
        <item x="466"/>
        <item x="491"/>
        <item x="6"/>
        <item x="537"/>
        <item x="325"/>
        <item x="19"/>
        <item x="489"/>
        <item x="340"/>
        <item x="333"/>
        <item x="432"/>
        <item x="77"/>
        <item x="209"/>
        <item x="382"/>
        <item x="123"/>
        <item x="244"/>
        <item x="20"/>
        <item x="16"/>
        <item x="21"/>
        <item x="280"/>
        <item x="231"/>
        <item x="90"/>
        <item x="393"/>
        <item x="42"/>
        <item x="549"/>
        <item x="124"/>
        <item x="53"/>
        <item x="400"/>
        <item x="33"/>
        <item x="196"/>
        <item x="12"/>
        <item x="461"/>
        <item x="105"/>
        <item x="503"/>
        <item x="397"/>
        <item x="247"/>
        <item x="48"/>
        <item x="52"/>
        <item x="157"/>
        <item x="419"/>
        <item x="303"/>
        <item x="101"/>
        <item x="455"/>
        <item x="258"/>
        <item x="385"/>
        <item x="299"/>
        <item x="235"/>
        <item x="150"/>
        <item x="415"/>
        <item x="30"/>
        <item x="95"/>
        <item x="278"/>
        <item x="408"/>
        <item x="84"/>
        <item x="263"/>
        <item x="229"/>
        <item x="22"/>
        <item x="204"/>
        <item x="18"/>
        <item x="406"/>
        <item x="386"/>
        <item x="324"/>
        <item x="131"/>
        <item x="521"/>
        <item x="487"/>
        <item x="336"/>
        <item x="15"/>
        <item x="469"/>
        <item x="130"/>
        <item x="118"/>
        <item x="394"/>
        <item x="0"/>
        <item x="359"/>
        <item x="36"/>
        <item x="481"/>
        <item x="129"/>
        <item x="104"/>
        <item x="416"/>
        <item x="431"/>
        <item x="534"/>
        <item x="320"/>
        <item x="171"/>
        <item x="365"/>
        <item x="178"/>
        <item x="357"/>
        <item x="89"/>
        <item x="459"/>
        <item x="351"/>
        <item x="490"/>
        <item x="507"/>
        <item x="274"/>
        <item x="391"/>
        <item x="276"/>
        <item x="187"/>
        <item x="234"/>
        <item x="183"/>
        <item x="412"/>
        <item x="482"/>
        <item x="11"/>
        <item x="433"/>
        <item x="237"/>
        <item x="188"/>
        <item x="216"/>
        <item x="418"/>
        <item x="476"/>
        <item x="446"/>
        <item x="547"/>
        <item x="172"/>
        <item x="46"/>
        <item x="548"/>
        <item x="83"/>
        <item x="74"/>
        <item x="475"/>
        <item x="97"/>
        <item x="218"/>
        <item x="327"/>
        <item x="34"/>
        <item x="360"/>
        <item x="420"/>
        <item x="240"/>
        <item x="542"/>
        <item x="499"/>
        <item x="409"/>
        <item x="533"/>
        <item x="321"/>
        <item x="78"/>
        <item x="125"/>
        <item x="14"/>
        <item x="457"/>
        <item x="200"/>
        <item x="277"/>
        <item x="92"/>
        <item x="189"/>
        <item x="40"/>
        <item x="136"/>
        <item x="137"/>
        <item x="264"/>
        <item x="392"/>
        <item x="332"/>
        <item x="246"/>
        <item x="195"/>
        <item x="198"/>
        <item x="442"/>
        <item x="283"/>
        <item x="438"/>
        <item x="304"/>
        <item x="374"/>
        <item x="233"/>
        <item x="87"/>
        <item x="160"/>
        <item x="383"/>
        <item x="62"/>
        <item x="287"/>
        <item x="448"/>
        <item x="185"/>
        <item x="45"/>
        <item x="407"/>
        <item x="156"/>
        <item x="326"/>
        <item x="456"/>
        <item x="367"/>
        <item x="261"/>
        <item x="41"/>
        <item x="70"/>
        <item x="275"/>
        <item x="308"/>
        <item x="291"/>
        <item x="220"/>
        <item x="148"/>
        <item x="138"/>
        <item x="297"/>
        <item x="168"/>
        <item x="468"/>
        <item x="173"/>
        <item x="338"/>
        <item x="399"/>
        <item x="108"/>
        <item x="80"/>
        <item x="106"/>
        <item x="166"/>
        <item x="86"/>
        <item x="342"/>
        <item x="371"/>
        <item x="508"/>
        <item x="32"/>
        <item x="56"/>
        <item x="300"/>
        <item x="202"/>
        <item x="270"/>
        <item x="67"/>
        <item x="496"/>
        <item x="135"/>
        <item x="71"/>
        <item x="24"/>
        <item x="268"/>
        <item x="210"/>
        <item x="370"/>
        <item x="402"/>
        <item x="176"/>
        <item x="306"/>
        <item x="310"/>
        <item x="478"/>
        <item x="512"/>
        <item x="120"/>
        <item x="127"/>
        <item x="329"/>
        <item x="132"/>
        <item x="540"/>
        <item x="85"/>
        <item x="269"/>
        <item x="541"/>
        <item x="484"/>
        <item x="259"/>
        <item x="66"/>
        <item x="380"/>
        <item x="82"/>
        <item x="284"/>
        <item x="417"/>
        <item x="345"/>
        <item x="335"/>
        <item x="353"/>
        <item x="211"/>
        <item x="199"/>
        <item x="517"/>
        <item x="361"/>
        <item x="515"/>
        <item x="221"/>
        <item x="403"/>
        <item x="311"/>
        <item x="65"/>
        <item x="260"/>
        <item x="350"/>
        <item x="405"/>
        <item x="518"/>
        <item x="527"/>
        <item x="390"/>
        <item x="265"/>
        <item x="47"/>
        <item x="543"/>
        <item x="473"/>
        <item x="266"/>
        <item x="500"/>
        <item x="501"/>
        <item x="59"/>
        <item x="498"/>
        <item x="447"/>
        <item x="437"/>
        <item x="134"/>
        <item x="207"/>
        <item x="262"/>
        <item x="435"/>
        <item x="155"/>
        <item x="98"/>
        <item x="192"/>
        <item x="143"/>
        <item x="316"/>
        <item x="323"/>
        <item x="347"/>
        <item x="151"/>
        <item x="426"/>
        <item x="428"/>
        <item x="238"/>
        <item x="279"/>
        <item x="296"/>
        <item x="25"/>
        <item x="232"/>
        <item x="190"/>
        <item x="502"/>
        <item x="411"/>
        <item x="483"/>
        <item x="1"/>
        <item x="107"/>
        <item x="181"/>
        <item x="203"/>
        <item x="337"/>
        <item x="162"/>
        <item x="159"/>
        <item x="37"/>
        <item x="387"/>
        <item x="509"/>
        <item x="257"/>
        <item x="147"/>
        <item x="139"/>
        <item x="93"/>
        <item x="288"/>
        <item x="554"/>
        <item x="410"/>
        <item x="479"/>
        <item x="462"/>
        <item x="49"/>
        <item x="377"/>
        <item x="510"/>
        <item x="445"/>
        <item x="546"/>
        <item x="520"/>
        <item x="239"/>
        <item x="389"/>
        <item x="544"/>
        <item x="551"/>
        <item x="3"/>
        <item x="454"/>
        <item x="312"/>
        <item x="122"/>
        <item x="54"/>
        <item x="96"/>
        <item x="343"/>
        <item x="545"/>
        <item x="441"/>
        <item x="224"/>
        <item x="352"/>
        <item x="292"/>
        <item x="463"/>
        <item x="154"/>
        <item x="222"/>
        <item x="121"/>
        <item x="493"/>
        <item x="356"/>
        <item x="4"/>
        <item x="60"/>
        <item x="376"/>
        <item x="529"/>
        <item x="167"/>
        <item x="309"/>
        <item x="91"/>
        <item x="161"/>
        <item x="179"/>
        <item x="126"/>
        <item x="72"/>
        <item x="149"/>
        <item x="422"/>
        <item x="140"/>
        <item x="555"/>
        <item x="519"/>
        <item x="215"/>
        <item x="103"/>
        <item x="526"/>
        <item x="511"/>
        <item x="331"/>
        <item x="249"/>
        <item x="525"/>
        <item x="474"/>
        <item x="58"/>
        <item x="443"/>
        <item x="57"/>
        <item x="23"/>
        <item x="458"/>
        <item x="253"/>
        <item x="31"/>
        <item x="217"/>
        <item x="319"/>
        <item x="281"/>
        <item x="467"/>
        <item x="450"/>
        <item x="145"/>
        <item x="8"/>
        <item x="295"/>
        <item x="494"/>
        <item x="334"/>
        <item x="539"/>
        <item x="69"/>
        <item x="88"/>
        <item x="366"/>
        <item x="341"/>
        <item x="314"/>
        <item x="116"/>
        <item x="453"/>
        <item x="472"/>
        <item x="212"/>
        <item x="175"/>
        <item x="372"/>
        <item x="242"/>
        <item x="273"/>
        <item x="364"/>
        <item x="213"/>
        <item x="401"/>
        <item x="28"/>
        <item x="228"/>
        <item x="180"/>
        <item x="302"/>
        <item x="451"/>
        <item x="375"/>
        <item x="110"/>
        <item x="205"/>
        <item x="307"/>
        <item x="460"/>
        <item x="425"/>
        <item x="523"/>
        <item x="186"/>
        <item x="378"/>
        <item x="193"/>
        <item x="369"/>
        <item x="112"/>
        <item x="152"/>
        <item x="384"/>
        <item x="315"/>
        <item x="470"/>
        <item x="436"/>
        <item x="355"/>
        <item x="486"/>
        <item x="133"/>
        <item x="289"/>
        <item x="440"/>
        <item x="254"/>
        <item x="354"/>
        <item x="55"/>
        <item x="206"/>
        <item x="495"/>
        <item x="328"/>
        <item x="485"/>
        <item x="318"/>
        <item x="524"/>
        <item x="471"/>
        <item x="379"/>
        <item x="301"/>
        <item x="349"/>
        <item x="513"/>
        <item x="38"/>
        <item x="236"/>
        <item x="322"/>
        <item x="522"/>
        <item x="444"/>
        <item x="506"/>
        <item x="514"/>
        <item x="538"/>
        <item x="430"/>
        <item x="424"/>
        <item x="119"/>
        <item x="63"/>
        <item x="114"/>
        <item x="39"/>
        <item x="414"/>
        <item x="61"/>
        <item x="13"/>
        <item x="298"/>
        <item x="427"/>
        <item x="553"/>
        <item x="165"/>
        <item x="363"/>
        <item x="100"/>
        <item x="128"/>
        <item x="115"/>
        <item x="528"/>
        <item x="492"/>
        <item x="7"/>
        <item x="267"/>
        <item x="243"/>
        <item x="464"/>
        <item x="381"/>
        <item x="530"/>
        <item x="434"/>
        <item x="102"/>
        <item x="429"/>
        <item x="158"/>
        <item x="113"/>
        <item x="29"/>
        <item x="252"/>
        <item x="10"/>
        <item x="153"/>
        <item x="201"/>
        <item x="79"/>
        <item x="535"/>
        <item x="227"/>
        <item x="76"/>
        <item x="404"/>
        <item x="197"/>
        <item x="194"/>
        <item x="177"/>
        <item x="208"/>
        <item x="51"/>
        <item x="531"/>
        <item x="330"/>
        <item x="536"/>
        <item x="552"/>
        <item x="550"/>
        <item x="27"/>
        <item x="488"/>
        <item x="248"/>
        <item x="452"/>
        <item x="505"/>
        <item x="504"/>
        <item x="26"/>
        <item x="94"/>
        <item x="290"/>
        <item x="226"/>
        <item x="317"/>
        <item x="141"/>
        <item x="396"/>
        <item x="497"/>
        <item x="5"/>
        <item x="339"/>
        <item x="230"/>
        <item x="2"/>
        <item x="146"/>
        <item x="75"/>
        <item x="477"/>
        <item x="225"/>
        <item x="250"/>
        <item x="245"/>
        <item x="439"/>
        <item x="64"/>
        <item x="421"/>
        <item x="294"/>
        <item x="251"/>
        <item x="174"/>
        <item x="214"/>
        <item x="282"/>
        <item x="272"/>
        <item x="182"/>
        <item x="117"/>
        <item x="142"/>
        <item x="286"/>
        <item x="256"/>
        <item x="293"/>
        <item x="50"/>
        <item x="480"/>
        <item x="348"/>
        <item x="109"/>
        <item x="17"/>
        <item x="285"/>
        <item x="305"/>
        <item x="144"/>
        <item x="413"/>
        <item x="44"/>
        <item x="99"/>
        <item x="241"/>
        <item x="35"/>
        <item x="271"/>
        <item x="184"/>
        <item x="219"/>
        <item x="223"/>
        <item x="111"/>
        <item x="163"/>
        <item x="73"/>
        <item x="395"/>
        <item x="169"/>
        <item x="346"/>
        <item x="170"/>
        <item x="344"/>
        <item x="398"/>
        <item x="449"/>
        <item x="423"/>
        <item x="313"/>
        <item x="9"/>
        <item t="default"/>
      </items>
    </pivotField>
    <pivotField showAll="0"/>
    <pivotField axis="axisRow" showAll="0" measureFilter="1" sortType="descending">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1"/>
        <item x="2"/>
        <item x="0"/>
        <item x="3"/>
        <item x="5"/>
        <item x="4"/>
        <item x="6"/>
        <item t="default"/>
      </items>
    </pivotField>
    <pivotField numFmtId="164" showAll="0"/>
    <pivotField showAll="0"/>
    <pivotField showAll="0"/>
    <pivotField showAll="0"/>
    <pivotField showAll="0"/>
    <pivotField showAll="0"/>
    <pivotField showAll="0">
      <items count="4">
        <item x="1"/>
        <item x="0"/>
        <item x="2"/>
        <item t="default"/>
      </items>
    </pivotField>
    <pivotField numFmtId="164" showAll="0"/>
    <pivotField numFmtId="164" showAll="0"/>
    <pivotField dataField="1" numFmtId="164" showAll="0"/>
  </pivotFields>
  <rowFields count="1">
    <field x="3"/>
  </rowFields>
  <rowItems count="11">
    <i>
      <x v="61"/>
    </i>
    <i>
      <x v="11"/>
    </i>
    <i>
      <x v="37"/>
    </i>
    <i>
      <x v="38"/>
    </i>
    <i>
      <x v="28"/>
    </i>
    <i>
      <x v="21"/>
    </i>
    <i>
      <x v="91"/>
    </i>
    <i>
      <x v="12"/>
    </i>
    <i>
      <x v="18"/>
    </i>
    <i>
      <x v="76"/>
    </i>
    <i t="grand">
      <x/>
    </i>
  </rowItems>
  <colItems count="1">
    <i/>
  </colItems>
  <dataFields count="1">
    <dataField name="Average of Total_Cost" fld="16" subtotal="average" baseField="0" baseItem="0" numFmtId="164"/>
  </dataFields>
  <chartFormats count="22">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61"/>
          </reference>
        </references>
      </pivotArea>
    </chartFormat>
    <chartFormat chart="10" format="8">
      <pivotArea type="data" outline="0" fieldPosition="0">
        <references count="2">
          <reference field="4294967294" count="1" selected="0">
            <x v="0"/>
          </reference>
          <reference field="3" count="1" selected="0">
            <x v="11"/>
          </reference>
        </references>
      </pivotArea>
    </chartFormat>
    <chartFormat chart="10" format="9">
      <pivotArea type="data" outline="0" fieldPosition="0">
        <references count="2">
          <reference field="4294967294" count="1" selected="0">
            <x v="0"/>
          </reference>
          <reference field="3" count="1" selected="0">
            <x v="37"/>
          </reference>
        </references>
      </pivotArea>
    </chartFormat>
    <chartFormat chart="10" format="10">
      <pivotArea type="data" outline="0" fieldPosition="0">
        <references count="2">
          <reference field="4294967294" count="1" selected="0">
            <x v="0"/>
          </reference>
          <reference field="3" count="1" selected="0">
            <x v="38"/>
          </reference>
        </references>
      </pivotArea>
    </chartFormat>
    <chartFormat chart="10" format="11">
      <pivotArea type="data" outline="0" fieldPosition="0">
        <references count="2">
          <reference field="4294967294" count="1" selected="0">
            <x v="0"/>
          </reference>
          <reference field="3" count="1" selected="0">
            <x v="28"/>
          </reference>
        </references>
      </pivotArea>
    </chartFormat>
    <chartFormat chart="10" format="12">
      <pivotArea type="data" outline="0" fieldPosition="0">
        <references count="2">
          <reference field="4294967294" count="1" selected="0">
            <x v="0"/>
          </reference>
          <reference field="3" count="1" selected="0">
            <x v="21"/>
          </reference>
        </references>
      </pivotArea>
    </chartFormat>
    <chartFormat chart="10" format="13">
      <pivotArea type="data" outline="0" fieldPosition="0">
        <references count="2">
          <reference field="4294967294" count="1" selected="0">
            <x v="0"/>
          </reference>
          <reference field="3" count="1" selected="0">
            <x v="91"/>
          </reference>
        </references>
      </pivotArea>
    </chartFormat>
    <chartFormat chart="10" format="14">
      <pivotArea type="data" outline="0" fieldPosition="0">
        <references count="2">
          <reference field="4294967294" count="1" selected="0">
            <x v="0"/>
          </reference>
          <reference field="3" count="1" selected="0">
            <x v="12"/>
          </reference>
        </references>
      </pivotArea>
    </chartFormat>
    <chartFormat chart="10" format="15">
      <pivotArea type="data" outline="0" fieldPosition="0">
        <references count="2">
          <reference field="4294967294" count="1" selected="0">
            <x v="0"/>
          </reference>
          <reference field="3" count="1" selected="0">
            <x v="18"/>
          </reference>
        </references>
      </pivotArea>
    </chartFormat>
    <chartFormat chart="10" format="16">
      <pivotArea type="data" outline="0" fieldPosition="0">
        <references count="2">
          <reference field="4294967294" count="1" selected="0">
            <x v="0"/>
          </reference>
          <reference field="3" count="1" selected="0">
            <x v="76"/>
          </reference>
        </references>
      </pivotArea>
    </chartFormat>
    <chartFormat chart="13" format="28" series="1">
      <pivotArea type="data" outline="0" fieldPosition="0">
        <references count="1">
          <reference field="4294967294" count="1" selected="0">
            <x v="0"/>
          </reference>
        </references>
      </pivotArea>
    </chartFormat>
    <chartFormat chart="13" format="29">
      <pivotArea type="data" outline="0" fieldPosition="0">
        <references count="2">
          <reference field="4294967294" count="1" selected="0">
            <x v="0"/>
          </reference>
          <reference field="3" count="1" selected="0">
            <x v="61"/>
          </reference>
        </references>
      </pivotArea>
    </chartFormat>
    <chartFormat chart="13" format="30">
      <pivotArea type="data" outline="0" fieldPosition="0">
        <references count="2">
          <reference field="4294967294" count="1" selected="0">
            <x v="0"/>
          </reference>
          <reference field="3" count="1" selected="0">
            <x v="11"/>
          </reference>
        </references>
      </pivotArea>
    </chartFormat>
    <chartFormat chart="13" format="31">
      <pivotArea type="data" outline="0" fieldPosition="0">
        <references count="2">
          <reference field="4294967294" count="1" selected="0">
            <x v="0"/>
          </reference>
          <reference field="3" count="1" selected="0">
            <x v="37"/>
          </reference>
        </references>
      </pivotArea>
    </chartFormat>
    <chartFormat chart="13" format="32">
      <pivotArea type="data" outline="0" fieldPosition="0">
        <references count="2">
          <reference field="4294967294" count="1" selected="0">
            <x v="0"/>
          </reference>
          <reference field="3" count="1" selected="0">
            <x v="38"/>
          </reference>
        </references>
      </pivotArea>
    </chartFormat>
    <chartFormat chart="13" format="33">
      <pivotArea type="data" outline="0" fieldPosition="0">
        <references count="2">
          <reference field="4294967294" count="1" selected="0">
            <x v="0"/>
          </reference>
          <reference field="3" count="1" selected="0">
            <x v="28"/>
          </reference>
        </references>
      </pivotArea>
    </chartFormat>
    <chartFormat chart="13" format="34">
      <pivotArea type="data" outline="0" fieldPosition="0">
        <references count="2">
          <reference field="4294967294" count="1" selected="0">
            <x v="0"/>
          </reference>
          <reference field="3" count="1" selected="0">
            <x v="21"/>
          </reference>
        </references>
      </pivotArea>
    </chartFormat>
    <chartFormat chart="13" format="35">
      <pivotArea type="data" outline="0" fieldPosition="0">
        <references count="2">
          <reference field="4294967294" count="1" selected="0">
            <x v="0"/>
          </reference>
          <reference field="3" count="1" selected="0">
            <x v="91"/>
          </reference>
        </references>
      </pivotArea>
    </chartFormat>
    <chartFormat chart="13" format="36">
      <pivotArea type="data" outline="0" fieldPosition="0">
        <references count="2">
          <reference field="4294967294" count="1" selected="0">
            <x v="0"/>
          </reference>
          <reference field="3" count="1" selected="0">
            <x v="12"/>
          </reference>
        </references>
      </pivotArea>
    </chartFormat>
    <chartFormat chart="13" format="37">
      <pivotArea type="data" outline="0" fieldPosition="0">
        <references count="2">
          <reference field="4294967294" count="1" selected="0">
            <x v="0"/>
          </reference>
          <reference field="3" count="1" selected="0">
            <x v="18"/>
          </reference>
        </references>
      </pivotArea>
    </chartFormat>
    <chartFormat chart="13" format="38">
      <pivotArea type="data" outline="0" fieldPosition="0">
        <references count="2">
          <reference field="4294967294" count="1" selected="0">
            <x v="0"/>
          </reference>
          <reference field="3" count="1" selected="0">
            <x v="76"/>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B9159F-CE04-4108-B855-315357B629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4" firstHeaderRow="1" firstDataRow="1" firstDataCol="1"/>
  <pivotFields count="17">
    <pivotField axis="axisRow" showAll="0" measureFilter="1" sortType="descending">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autoSortScope>
        <pivotArea dataOnly="0" outline="0" fieldPosition="0">
          <references count="1">
            <reference field="4294967294" count="1" selected="0">
              <x v="0"/>
            </reference>
          </references>
        </pivotArea>
      </autoSortScope>
    </pivotField>
    <pivotField showAll="0">
      <items count="558">
        <item x="255"/>
        <item x="81"/>
        <item x="43"/>
        <item x="164"/>
        <item x="191"/>
        <item x="358"/>
        <item x="465"/>
        <item x="68"/>
        <item x="368"/>
        <item x="388"/>
        <item x="532"/>
        <item x="373"/>
        <item x="516"/>
        <item x="556"/>
        <item x="362"/>
        <item x="466"/>
        <item x="491"/>
        <item x="6"/>
        <item x="537"/>
        <item x="325"/>
        <item x="19"/>
        <item x="489"/>
        <item x="340"/>
        <item x="333"/>
        <item x="432"/>
        <item x="77"/>
        <item x="209"/>
        <item x="382"/>
        <item x="123"/>
        <item x="244"/>
        <item x="20"/>
        <item x="16"/>
        <item x="21"/>
        <item x="280"/>
        <item x="231"/>
        <item x="90"/>
        <item x="393"/>
        <item x="42"/>
        <item x="549"/>
        <item x="124"/>
        <item x="53"/>
        <item x="400"/>
        <item x="33"/>
        <item x="196"/>
        <item x="12"/>
        <item x="461"/>
        <item x="105"/>
        <item x="503"/>
        <item x="397"/>
        <item x="247"/>
        <item x="48"/>
        <item x="52"/>
        <item x="157"/>
        <item x="419"/>
        <item x="303"/>
        <item x="101"/>
        <item x="455"/>
        <item x="258"/>
        <item x="385"/>
        <item x="299"/>
        <item x="235"/>
        <item x="150"/>
        <item x="415"/>
        <item x="30"/>
        <item x="95"/>
        <item x="278"/>
        <item x="408"/>
        <item x="84"/>
        <item x="263"/>
        <item x="229"/>
        <item x="22"/>
        <item x="204"/>
        <item x="18"/>
        <item x="406"/>
        <item x="386"/>
        <item x="324"/>
        <item x="131"/>
        <item x="521"/>
        <item x="487"/>
        <item x="336"/>
        <item x="15"/>
        <item x="469"/>
        <item x="130"/>
        <item x="118"/>
        <item x="394"/>
        <item x="0"/>
        <item x="359"/>
        <item x="36"/>
        <item x="481"/>
        <item x="129"/>
        <item x="104"/>
        <item x="416"/>
        <item x="431"/>
        <item x="534"/>
        <item x="320"/>
        <item x="171"/>
        <item x="365"/>
        <item x="178"/>
        <item x="357"/>
        <item x="89"/>
        <item x="459"/>
        <item x="351"/>
        <item x="490"/>
        <item x="507"/>
        <item x="274"/>
        <item x="391"/>
        <item x="276"/>
        <item x="187"/>
        <item x="234"/>
        <item x="183"/>
        <item x="412"/>
        <item x="482"/>
        <item x="11"/>
        <item x="433"/>
        <item x="237"/>
        <item x="188"/>
        <item x="216"/>
        <item x="418"/>
        <item x="476"/>
        <item x="446"/>
        <item x="547"/>
        <item x="172"/>
        <item x="46"/>
        <item x="548"/>
        <item x="83"/>
        <item x="74"/>
        <item x="475"/>
        <item x="97"/>
        <item x="218"/>
        <item x="327"/>
        <item x="34"/>
        <item x="360"/>
        <item x="420"/>
        <item x="240"/>
        <item x="542"/>
        <item x="499"/>
        <item x="409"/>
        <item x="533"/>
        <item x="321"/>
        <item x="78"/>
        <item x="125"/>
        <item x="14"/>
        <item x="457"/>
        <item x="200"/>
        <item x="277"/>
        <item x="92"/>
        <item x="189"/>
        <item x="40"/>
        <item x="136"/>
        <item x="137"/>
        <item x="264"/>
        <item x="392"/>
        <item x="332"/>
        <item x="246"/>
        <item x="195"/>
        <item x="198"/>
        <item x="442"/>
        <item x="283"/>
        <item x="438"/>
        <item x="304"/>
        <item x="374"/>
        <item x="233"/>
        <item x="87"/>
        <item x="160"/>
        <item x="383"/>
        <item x="62"/>
        <item x="287"/>
        <item x="448"/>
        <item x="185"/>
        <item x="45"/>
        <item x="407"/>
        <item x="156"/>
        <item x="326"/>
        <item x="456"/>
        <item x="367"/>
        <item x="261"/>
        <item x="41"/>
        <item x="70"/>
        <item x="275"/>
        <item x="308"/>
        <item x="291"/>
        <item x="220"/>
        <item x="148"/>
        <item x="138"/>
        <item x="297"/>
        <item x="168"/>
        <item x="468"/>
        <item x="173"/>
        <item x="338"/>
        <item x="399"/>
        <item x="108"/>
        <item x="80"/>
        <item x="106"/>
        <item x="166"/>
        <item x="86"/>
        <item x="342"/>
        <item x="371"/>
        <item x="508"/>
        <item x="32"/>
        <item x="56"/>
        <item x="300"/>
        <item x="202"/>
        <item x="270"/>
        <item x="67"/>
        <item x="496"/>
        <item x="135"/>
        <item x="71"/>
        <item x="24"/>
        <item x="268"/>
        <item x="210"/>
        <item x="370"/>
        <item x="402"/>
        <item x="176"/>
        <item x="306"/>
        <item x="310"/>
        <item x="478"/>
        <item x="512"/>
        <item x="120"/>
        <item x="127"/>
        <item x="329"/>
        <item x="132"/>
        <item x="540"/>
        <item x="85"/>
        <item x="269"/>
        <item x="541"/>
        <item x="484"/>
        <item x="259"/>
        <item x="66"/>
        <item x="380"/>
        <item x="82"/>
        <item x="284"/>
        <item x="417"/>
        <item x="345"/>
        <item x="335"/>
        <item x="353"/>
        <item x="211"/>
        <item x="199"/>
        <item x="517"/>
        <item x="361"/>
        <item x="515"/>
        <item x="221"/>
        <item x="403"/>
        <item x="311"/>
        <item x="65"/>
        <item x="260"/>
        <item x="350"/>
        <item x="405"/>
        <item x="518"/>
        <item x="527"/>
        <item x="390"/>
        <item x="265"/>
        <item x="47"/>
        <item x="543"/>
        <item x="473"/>
        <item x="266"/>
        <item x="500"/>
        <item x="501"/>
        <item x="59"/>
        <item x="498"/>
        <item x="447"/>
        <item x="437"/>
        <item x="134"/>
        <item x="207"/>
        <item x="262"/>
        <item x="435"/>
        <item x="155"/>
        <item x="98"/>
        <item x="192"/>
        <item x="143"/>
        <item x="316"/>
        <item x="323"/>
        <item x="347"/>
        <item x="151"/>
        <item x="426"/>
        <item x="428"/>
        <item x="238"/>
        <item x="279"/>
        <item x="296"/>
        <item x="25"/>
        <item x="232"/>
        <item x="190"/>
        <item x="502"/>
        <item x="411"/>
        <item x="483"/>
        <item x="1"/>
        <item x="107"/>
        <item x="181"/>
        <item x="203"/>
        <item x="337"/>
        <item x="162"/>
        <item x="159"/>
        <item x="37"/>
        <item x="387"/>
        <item x="509"/>
        <item x="257"/>
        <item x="147"/>
        <item x="139"/>
        <item x="93"/>
        <item x="288"/>
        <item x="554"/>
        <item x="410"/>
        <item x="479"/>
        <item x="462"/>
        <item x="49"/>
        <item x="377"/>
        <item x="510"/>
        <item x="445"/>
        <item x="546"/>
        <item x="520"/>
        <item x="239"/>
        <item x="389"/>
        <item x="544"/>
        <item x="551"/>
        <item x="3"/>
        <item x="454"/>
        <item x="312"/>
        <item x="122"/>
        <item x="54"/>
        <item x="96"/>
        <item x="343"/>
        <item x="545"/>
        <item x="441"/>
        <item x="224"/>
        <item x="352"/>
        <item x="292"/>
        <item x="463"/>
        <item x="154"/>
        <item x="222"/>
        <item x="121"/>
        <item x="493"/>
        <item x="356"/>
        <item x="4"/>
        <item x="60"/>
        <item x="376"/>
        <item x="529"/>
        <item x="167"/>
        <item x="309"/>
        <item x="91"/>
        <item x="161"/>
        <item x="179"/>
        <item x="126"/>
        <item x="72"/>
        <item x="149"/>
        <item x="422"/>
        <item x="140"/>
        <item x="555"/>
        <item x="519"/>
        <item x="215"/>
        <item x="103"/>
        <item x="526"/>
        <item x="511"/>
        <item x="331"/>
        <item x="249"/>
        <item x="525"/>
        <item x="474"/>
        <item x="58"/>
        <item x="443"/>
        <item x="57"/>
        <item x="23"/>
        <item x="458"/>
        <item x="253"/>
        <item x="31"/>
        <item x="217"/>
        <item x="319"/>
        <item x="281"/>
        <item x="467"/>
        <item x="450"/>
        <item x="145"/>
        <item x="8"/>
        <item x="295"/>
        <item x="494"/>
        <item x="334"/>
        <item x="539"/>
        <item x="69"/>
        <item x="88"/>
        <item x="366"/>
        <item x="341"/>
        <item x="314"/>
        <item x="116"/>
        <item x="453"/>
        <item x="472"/>
        <item x="212"/>
        <item x="175"/>
        <item x="372"/>
        <item x="242"/>
        <item x="273"/>
        <item x="364"/>
        <item x="213"/>
        <item x="401"/>
        <item x="28"/>
        <item x="228"/>
        <item x="180"/>
        <item x="302"/>
        <item x="451"/>
        <item x="375"/>
        <item x="110"/>
        <item x="205"/>
        <item x="307"/>
        <item x="460"/>
        <item x="425"/>
        <item x="523"/>
        <item x="186"/>
        <item x="378"/>
        <item x="193"/>
        <item x="369"/>
        <item x="112"/>
        <item x="152"/>
        <item x="384"/>
        <item x="315"/>
        <item x="470"/>
        <item x="436"/>
        <item x="355"/>
        <item x="486"/>
        <item x="133"/>
        <item x="289"/>
        <item x="440"/>
        <item x="254"/>
        <item x="354"/>
        <item x="55"/>
        <item x="206"/>
        <item x="495"/>
        <item x="328"/>
        <item x="485"/>
        <item x="318"/>
        <item x="524"/>
        <item x="471"/>
        <item x="379"/>
        <item x="301"/>
        <item x="349"/>
        <item x="513"/>
        <item x="38"/>
        <item x="236"/>
        <item x="322"/>
        <item x="522"/>
        <item x="444"/>
        <item x="506"/>
        <item x="514"/>
        <item x="538"/>
        <item x="430"/>
        <item x="424"/>
        <item x="119"/>
        <item x="63"/>
        <item x="114"/>
        <item x="39"/>
        <item x="414"/>
        <item x="61"/>
        <item x="13"/>
        <item x="298"/>
        <item x="427"/>
        <item x="553"/>
        <item x="165"/>
        <item x="363"/>
        <item x="100"/>
        <item x="128"/>
        <item x="115"/>
        <item x="528"/>
        <item x="492"/>
        <item x="7"/>
        <item x="267"/>
        <item x="243"/>
        <item x="464"/>
        <item x="381"/>
        <item x="530"/>
        <item x="434"/>
        <item x="102"/>
        <item x="429"/>
        <item x="158"/>
        <item x="113"/>
        <item x="29"/>
        <item x="252"/>
        <item x="10"/>
        <item x="153"/>
        <item x="201"/>
        <item x="79"/>
        <item x="535"/>
        <item x="227"/>
        <item x="76"/>
        <item x="404"/>
        <item x="197"/>
        <item x="194"/>
        <item x="177"/>
        <item x="208"/>
        <item x="51"/>
        <item x="531"/>
        <item x="330"/>
        <item x="536"/>
        <item x="552"/>
        <item x="550"/>
        <item x="27"/>
        <item x="488"/>
        <item x="248"/>
        <item x="452"/>
        <item x="505"/>
        <item x="504"/>
        <item x="26"/>
        <item x="94"/>
        <item x="290"/>
        <item x="226"/>
        <item x="317"/>
        <item x="141"/>
        <item x="396"/>
        <item x="497"/>
        <item x="5"/>
        <item x="339"/>
        <item x="230"/>
        <item x="2"/>
        <item x="146"/>
        <item x="75"/>
        <item x="477"/>
        <item x="225"/>
        <item x="250"/>
        <item x="245"/>
        <item x="439"/>
        <item x="64"/>
        <item x="421"/>
        <item x="294"/>
        <item x="251"/>
        <item x="174"/>
        <item x="214"/>
        <item x="282"/>
        <item x="272"/>
        <item x="182"/>
        <item x="117"/>
        <item x="142"/>
        <item x="286"/>
        <item x="256"/>
        <item x="293"/>
        <item x="50"/>
        <item x="480"/>
        <item x="348"/>
        <item x="109"/>
        <item x="17"/>
        <item x="285"/>
        <item x="305"/>
        <item x="144"/>
        <item x="413"/>
        <item x="44"/>
        <item x="99"/>
        <item x="241"/>
        <item x="35"/>
        <item x="271"/>
        <item x="184"/>
        <item x="219"/>
        <item x="223"/>
        <item x="111"/>
        <item x="163"/>
        <item x="73"/>
        <item x="395"/>
        <item x="169"/>
        <item x="346"/>
        <item x="170"/>
        <item x="344"/>
        <item x="398"/>
        <item x="449"/>
        <item x="423"/>
        <item x="313"/>
        <item x="9"/>
        <item t="default"/>
      </items>
    </pivotField>
    <pivotField showAll="0"/>
    <pivotField showAll="0"/>
    <pivotField showAll="0"/>
    <pivotField showAll="0"/>
    <pivotField showAll="0">
      <items count="8">
        <item x="1"/>
        <item x="2"/>
        <item x="0"/>
        <item x="3"/>
        <item x="5"/>
        <item x="4"/>
        <item x="6"/>
        <item t="default"/>
      </items>
    </pivotField>
    <pivotField numFmtId="164" showAll="0"/>
    <pivotField dataField="1" showAll="0"/>
    <pivotField showAll="0"/>
    <pivotField showAll="0"/>
    <pivotField showAll="0"/>
    <pivotField showAll="0"/>
    <pivotField showAll="0">
      <items count="4">
        <item x="1"/>
        <item x="0"/>
        <item x="2"/>
        <item t="default"/>
      </items>
    </pivotField>
    <pivotField numFmtId="164" showAll="0"/>
    <pivotField numFmtId="164" showAll="0"/>
    <pivotField numFmtId="164" showAll="0"/>
  </pivotFields>
  <rowFields count="1">
    <field x="0"/>
  </rowFields>
  <rowItems count="11">
    <i>
      <x v="59"/>
    </i>
    <i>
      <x v="53"/>
    </i>
    <i>
      <x v="27"/>
    </i>
    <i>
      <x v="37"/>
    </i>
    <i>
      <x v="25"/>
    </i>
    <i>
      <x v="68"/>
    </i>
    <i>
      <x v="32"/>
    </i>
    <i>
      <x v="56"/>
    </i>
    <i>
      <x v="15"/>
    </i>
    <i>
      <x v="42"/>
    </i>
    <i t="grand">
      <x/>
    </i>
  </rowItems>
  <colItems count="1">
    <i/>
  </colItems>
  <dataFields count="1">
    <dataField name="Average of Living_Cost_Index" fld="8" subtotal="average" baseField="0" baseItem="59" numFmtId="2"/>
  </dataFields>
  <chartFormats count="28">
    <chartFormat chart="12" format="28" series="1">
      <pivotArea type="data" outline="0" fieldPosition="0">
        <references count="1">
          <reference field="4294967294" count="1" selected="0">
            <x v="0"/>
          </reference>
        </references>
      </pivotArea>
    </chartFormat>
    <chartFormat chart="12" format="29">
      <pivotArea type="data" outline="0" fieldPosition="0">
        <references count="2">
          <reference field="4294967294" count="1" selected="0">
            <x v="0"/>
          </reference>
          <reference field="0" count="1" selected="0">
            <x v="65"/>
          </reference>
        </references>
      </pivotArea>
    </chartFormat>
    <chartFormat chart="12" format="30">
      <pivotArea type="data" outline="0" fieldPosition="0">
        <references count="2">
          <reference field="4294967294" count="1" selected="0">
            <x v="0"/>
          </reference>
          <reference field="0" count="1" selected="0">
            <x v="2"/>
          </reference>
        </references>
      </pivotArea>
    </chartFormat>
    <chartFormat chart="12" format="31">
      <pivotArea type="data" outline="0" fieldPosition="0">
        <references count="2">
          <reference field="4294967294" count="1" selected="0">
            <x v="0"/>
          </reference>
          <reference field="0" count="1" selected="0">
            <x v="68"/>
          </reference>
        </references>
      </pivotArea>
    </chartFormat>
    <chartFormat chart="12" format="32">
      <pivotArea type="data" outline="0" fieldPosition="0">
        <references count="2">
          <reference field="4294967294" count="1" selected="0">
            <x v="0"/>
          </reference>
          <reference field="0" count="1" selected="0">
            <x v="9"/>
          </reference>
        </references>
      </pivotArea>
    </chartFormat>
    <chartFormat chart="12" format="33">
      <pivotArea type="data" outline="0" fieldPosition="0">
        <references count="2">
          <reference field="4294967294" count="1" selected="0">
            <x v="0"/>
          </reference>
          <reference field="0" count="1" selected="0">
            <x v="22"/>
          </reference>
        </references>
      </pivotArea>
    </chartFormat>
    <chartFormat chart="12" format="34">
      <pivotArea type="data" outline="0" fieldPosition="0">
        <references count="2">
          <reference field="4294967294" count="1" selected="0">
            <x v="0"/>
          </reference>
          <reference field="0" count="1" selected="0">
            <x v="21"/>
          </reference>
        </references>
      </pivotArea>
    </chartFormat>
    <chartFormat chart="12" format="35">
      <pivotArea type="data" outline="0" fieldPosition="0">
        <references count="2">
          <reference field="4294967294" count="1" selected="0">
            <x v="0"/>
          </reference>
          <reference field="0" count="1" selected="0">
            <x v="56"/>
          </reference>
        </references>
      </pivotArea>
    </chartFormat>
    <chartFormat chart="12" format="36">
      <pivotArea type="data" outline="0" fieldPosition="0">
        <references count="2">
          <reference field="4294967294" count="1" selected="0">
            <x v="0"/>
          </reference>
          <reference field="0" count="1" selected="0">
            <x v="41"/>
          </reference>
        </references>
      </pivotArea>
    </chartFormat>
    <chartFormat chart="12" format="37">
      <pivotArea type="data" outline="0" fieldPosition="0">
        <references count="2">
          <reference field="4294967294" count="1" selected="0">
            <x v="0"/>
          </reference>
          <reference field="0" count="1" selected="0">
            <x v="59"/>
          </reference>
        </references>
      </pivotArea>
    </chartFormat>
    <chartFormat chart="12" format="38">
      <pivotArea type="data" outline="0" fieldPosition="0">
        <references count="2">
          <reference field="4294967294" count="1" selected="0">
            <x v="0"/>
          </reference>
          <reference field="0" count="1" selected="0">
            <x v="53"/>
          </reference>
        </references>
      </pivotArea>
    </chartFormat>
    <chartFormat chart="12" format="39">
      <pivotArea type="data" outline="0" fieldPosition="0">
        <references count="2">
          <reference field="4294967294" count="1" selected="0">
            <x v="0"/>
          </reference>
          <reference field="0" count="1" selected="0">
            <x v="27"/>
          </reference>
        </references>
      </pivotArea>
    </chartFormat>
    <chartFormat chart="12" format="40">
      <pivotArea type="data" outline="0" fieldPosition="0">
        <references count="2">
          <reference field="4294967294" count="1" selected="0">
            <x v="0"/>
          </reference>
          <reference field="0" count="1" selected="0">
            <x v="37"/>
          </reference>
        </references>
      </pivotArea>
    </chartFormat>
    <chartFormat chart="12" format="41">
      <pivotArea type="data" outline="0" fieldPosition="0">
        <references count="2">
          <reference field="4294967294" count="1" selected="0">
            <x v="0"/>
          </reference>
          <reference field="0" count="1" selected="0">
            <x v="25"/>
          </reference>
        </references>
      </pivotArea>
    </chartFormat>
    <chartFormat chart="12" format="42">
      <pivotArea type="data" outline="0" fieldPosition="0">
        <references count="2">
          <reference field="4294967294" count="1" selected="0">
            <x v="0"/>
          </reference>
          <reference field="0" count="1" selected="0">
            <x v="32"/>
          </reference>
        </references>
      </pivotArea>
    </chartFormat>
    <chartFormat chart="12" format="43">
      <pivotArea type="data" outline="0" fieldPosition="0">
        <references count="2">
          <reference field="4294967294" count="1" selected="0">
            <x v="0"/>
          </reference>
          <reference field="0" count="1" selected="0">
            <x v="15"/>
          </reference>
        </references>
      </pivotArea>
    </chartFormat>
    <chartFormat chart="12" format="44">
      <pivotArea type="data" outline="0" fieldPosition="0">
        <references count="2">
          <reference field="4294967294" count="1" selected="0">
            <x v="0"/>
          </reference>
          <reference field="0" count="1" selected="0">
            <x v="42"/>
          </reference>
        </references>
      </pivotArea>
    </chartFormat>
    <chartFormat chart="16" format="56" series="1">
      <pivotArea type="data" outline="0" fieldPosition="0">
        <references count="1">
          <reference field="4294967294" count="1" selected="0">
            <x v="0"/>
          </reference>
        </references>
      </pivotArea>
    </chartFormat>
    <chartFormat chart="16" format="57">
      <pivotArea type="data" outline="0" fieldPosition="0">
        <references count="2">
          <reference field="4294967294" count="1" selected="0">
            <x v="0"/>
          </reference>
          <reference field="0" count="1" selected="0">
            <x v="59"/>
          </reference>
        </references>
      </pivotArea>
    </chartFormat>
    <chartFormat chart="16" format="58">
      <pivotArea type="data" outline="0" fieldPosition="0">
        <references count="2">
          <reference field="4294967294" count="1" selected="0">
            <x v="0"/>
          </reference>
          <reference field="0" count="1" selected="0">
            <x v="53"/>
          </reference>
        </references>
      </pivotArea>
    </chartFormat>
    <chartFormat chart="16" format="59">
      <pivotArea type="data" outline="0" fieldPosition="0">
        <references count="2">
          <reference field="4294967294" count="1" selected="0">
            <x v="0"/>
          </reference>
          <reference field="0" count="1" selected="0">
            <x v="27"/>
          </reference>
        </references>
      </pivotArea>
    </chartFormat>
    <chartFormat chart="16" format="60">
      <pivotArea type="data" outline="0" fieldPosition="0">
        <references count="2">
          <reference field="4294967294" count="1" selected="0">
            <x v="0"/>
          </reference>
          <reference field="0" count="1" selected="0">
            <x v="37"/>
          </reference>
        </references>
      </pivotArea>
    </chartFormat>
    <chartFormat chart="16" format="61">
      <pivotArea type="data" outline="0" fieldPosition="0">
        <references count="2">
          <reference field="4294967294" count="1" selected="0">
            <x v="0"/>
          </reference>
          <reference field="0" count="1" selected="0">
            <x v="25"/>
          </reference>
        </references>
      </pivotArea>
    </chartFormat>
    <chartFormat chart="16" format="62">
      <pivotArea type="data" outline="0" fieldPosition="0">
        <references count="2">
          <reference field="4294967294" count="1" selected="0">
            <x v="0"/>
          </reference>
          <reference field="0" count="1" selected="0">
            <x v="68"/>
          </reference>
        </references>
      </pivotArea>
    </chartFormat>
    <chartFormat chart="16" format="63">
      <pivotArea type="data" outline="0" fieldPosition="0">
        <references count="2">
          <reference field="4294967294" count="1" selected="0">
            <x v="0"/>
          </reference>
          <reference field="0" count="1" selected="0">
            <x v="32"/>
          </reference>
        </references>
      </pivotArea>
    </chartFormat>
    <chartFormat chart="16" format="64">
      <pivotArea type="data" outline="0" fieldPosition="0">
        <references count="2">
          <reference field="4294967294" count="1" selected="0">
            <x v="0"/>
          </reference>
          <reference field="0" count="1" selected="0">
            <x v="56"/>
          </reference>
        </references>
      </pivotArea>
    </chartFormat>
    <chartFormat chart="16" format="65">
      <pivotArea type="data" outline="0" fieldPosition="0">
        <references count="2">
          <reference field="4294967294" count="1" selected="0">
            <x v="0"/>
          </reference>
          <reference field="0" count="1" selected="0">
            <x v="15"/>
          </reference>
        </references>
      </pivotArea>
    </chartFormat>
    <chartFormat chart="16" format="66">
      <pivotArea type="data" outline="0" fieldPosition="0">
        <references count="2">
          <reference field="4294967294" count="1" selected="0">
            <x v="0"/>
          </reference>
          <reference field="0" count="1" selected="0">
            <x v="42"/>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732744-4516-424F-A8BB-745F6E587A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0" firstHeaderRow="1" firstDataRow="1" firstDataCol="1"/>
  <pivotFields count="17">
    <pivotField axis="axisRow" showAll="0" measureFilter="1" sortType="descending">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autoSortScope>
        <pivotArea dataOnly="0" outline="0" fieldPosition="0">
          <references count="1">
            <reference field="4294967294" count="1" selected="0">
              <x v="0"/>
            </reference>
          </references>
        </pivotArea>
      </autoSortScope>
    </pivotField>
    <pivotField showAll="0">
      <items count="558">
        <item x="255"/>
        <item x="81"/>
        <item x="43"/>
        <item x="164"/>
        <item x="191"/>
        <item x="358"/>
        <item x="465"/>
        <item x="68"/>
        <item x="368"/>
        <item x="388"/>
        <item x="532"/>
        <item x="373"/>
        <item x="516"/>
        <item x="556"/>
        <item x="362"/>
        <item x="466"/>
        <item x="491"/>
        <item x="6"/>
        <item x="537"/>
        <item x="325"/>
        <item x="19"/>
        <item x="489"/>
        <item x="340"/>
        <item x="333"/>
        <item x="432"/>
        <item x="77"/>
        <item x="209"/>
        <item x="382"/>
        <item x="123"/>
        <item x="244"/>
        <item x="20"/>
        <item x="16"/>
        <item x="21"/>
        <item x="280"/>
        <item x="231"/>
        <item x="90"/>
        <item x="393"/>
        <item x="42"/>
        <item x="549"/>
        <item x="124"/>
        <item x="53"/>
        <item x="400"/>
        <item x="33"/>
        <item x="196"/>
        <item x="12"/>
        <item x="461"/>
        <item x="105"/>
        <item x="503"/>
        <item x="397"/>
        <item x="247"/>
        <item x="48"/>
        <item x="52"/>
        <item x="157"/>
        <item x="419"/>
        <item x="303"/>
        <item x="101"/>
        <item x="455"/>
        <item x="258"/>
        <item x="385"/>
        <item x="299"/>
        <item x="235"/>
        <item x="150"/>
        <item x="415"/>
        <item x="30"/>
        <item x="95"/>
        <item x="278"/>
        <item x="408"/>
        <item x="84"/>
        <item x="263"/>
        <item x="229"/>
        <item x="22"/>
        <item x="204"/>
        <item x="18"/>
        <item x="406"/>
        <item x="386"/>
        <item x="324"/>
        <item x="131"/>
        <item x="521"/>
        <item x="487"/>
        <item x="336"/>
        <item x="15"/>
        <item x="469"/>
        <item x="130"/>
        <item x="118"/>
        <item x="394"/>
        <item x="0"/>
        <item x="359"/>
        <item x="36"/>
        <item x="481"/>
        <item x="129"/>
        <item x="104"/>
        <item x="416"/>
        <item x="431"/>
        <item x="534"/>
        <item x="320"/>
        <item x="171"/>
        <item x="365"/>
        <item x="178"/>
        <item x="357"/>
        <item x="89"/>
        <item x="459"/>
        <item x="351"/>
        <item x="490"/>
        <item x="507"/>
        <item x="274"/>
        <item x="391"/>
        <item x="276"/>
        <item x="187"/>
        <item x="234"/>
        <item x="183"/>
        <item x="412"/>
        <item x="482"/>
        <item x="11"/>
        <item x="433"/>
        <item x="237"/>
        <item x="188"/>
        <item x="216"/>
        <item x="418"/>
        <item x="476"/>
        <item x="446"/>
        <item x="547"/>
        <item x="172"/>
        <item x="46"/>
        <item x="548"/>
        <item x="83"/>
        <item x="74"/>
        <item x="475"/>
        <item x="97"/>
        <item x="218"/>
        <item x="327"/>
        <item x="34"/>
        <item x="360"/>
        <item x="420"/>
        <item x="240"/>
        <item x="542"/>
        <item x="499"/>
        <item x="409"/>
        <item x="533"/>
        <item x="321"/>
        <item x="78"/>
        <item x="125"/>
        <item x="14"/>
        <item x="457"/>
        <item x="200"/>
        <item x="277"/>
        <item x="92"/>
        <item x="189"/>
        <item x="40"/>
        <item x="136"/>
        <item x="137"/>
        <item x="264"/>
        <item x="392"/>
        <item x="332"/>
        <item x="246"/>
        <item x="195"/>
        <item x="198"/>
        <item x="442"/>
        <item x="283"/>
        <item x="438"/>
        <item x="304"/>
        <item x="374"/>
        <item x="233"/>
        <item x="87"/>
        <item x="160"/>
        <item x="383"/>
        <item x="62"/>
        <item x="287"/>
        <item x="448"/>
        <item x="185"/>
        <item x="45"/>
        <item x="407"/>
        <item x="156"/>
        <item x="326"/>
        <item x="456"/>
        <item x="367"/>
        <item x="261"/>
        <item x="41"/>
        <item x="70"/>
        <item x="275"/>
        <item x="308"/>
        <item x="291"/>
        <item x="220"/>
        <item x="148"/>
        <item x="138"/>
        <item x="297"/>
        <item x="168"/>
        <item x="468"/>
        <item x="173"/>
        <item x="338"/>
        <item x="399"/>
        <item x="108"/>
        <item x="80"/>
        <item x="106"/>
        <item x="166"/>
        <item x="86"/>
        <item x="342"/>
        <item x="371"/>
        <item x="508"/>
        <item x="32"/>
        <item x="56"/>
        <item x="300"/>
        <item x="202"/>
        <item x="270"/>
        <item x="67"/>
        <item x="496"/>
        <item x="135"/>
        <item x="71"/>
        <item x="24"/>
        <item x="268"/>
        <item x="210"/>
        <item x="370"/>
        <item x="402"/>
        <item x="176"/>
        <item x="306"/>
        <item x="310"/>
        <item x="478"/>
        <item x="512"/>
        <item x="120"/>
        <item x="127"/>
        <item x="329"/>
        <item x="132"/>
        <item x="540"/>
        <item x="85"/>
        <item x="269"/>
        <item x="541"/>
        <item x="484"/>
        <item x="259"/>
        <item x="66"/>
        <item x="380"/>
        <item x="82"/>
        <item x="284"/>
        <item x="417"/>
        <item x="345"/>
        <item x="335"/>
        <item x="353"/>
        <item x="211"/>
        <item x="199"/>
        <item x="517"/>
        <item x="361"/>
        <item x="515"/>
        <item x="221"/>
        <item x="403"/>
        <item x="311"/>
        <item x="65"/>
        <item x="260"/>
        <item x="350"/>
        <item x="405"/>
        <item x="518"/>
        <item x="527"/>
        <item x="390"/>
        <item x="265"/>
        <item x="47"/>
        <item x="543"/>
        <item x="473"/>
        <item x="266"/>
        <item x="500"/>
        <item x="501"/>
        <item x="59"/>
        <item x="498"/>
        <item x="447"/>
        <item x="437"/>
        <item x="134"/>
        <item x="207"/>
        <item x="262"/>
        <item x="435"/>
        <item x="155"/>
        <item x="98"/>
        <item x="192"/>
        <item x="143"/>
        <item x="316"/>
        <item x="323"/>
        <item x="347"/>
        <item x="151"/>
        <item x="426"/>
        <item x="428"/>
        <item x="238"/>
        <item x="279"/>
        <item x="296"/>
        <item x="25"/>
        <item x="232"/>
        <item x="190"/>
        <item x="502"/>
        <item x="411"/>
        <item x="483"/>
        <item x="1"/>
        <item x="107"/>
        <item x="181"/>
        <item x="203"/>
        <item x="337"/>
        <item x="162"/>
        <item x="159"/>
        <item x="37"/>
        <item x="387"/>
        <item x="509"/>
        <item x="257"/>
        <item x="147"/>
        <item x="139"/>
        <item x="93"/>
        <item x="288"/>
        <item x="554"/>
        <item x="410"/>
        <item x="479"/>
        <item x="462"/>
        <item x="49"/>
        <item x="377"/>
        <item x="510"/>
        <item x="445"/>
        <item x="546"/>
        <item x="520"/>
        <item x="239"/>
        <item x="389"/>
        <item x="544"/>
        <item x="551"/>
        <item x="3"/>
        <item x="454"/>
        <item x="312"/>
        <item x="122"/>
        <item x="54"/>
        <item x="96"/>
        <item x="343"/>
        <item x="545"/>
        <item x="441"/>
        <item x="224"/>
        <item x="352"/>
        <item x="292"/>
        <item x="463"/>
        <item x="154"/>
        <item x="222"/>
        <item x="121"/>
        <item x="493"/>
        <item x="356"/>
        <item x="4"/>
        <item x="60"/>
        <item x="376"/>
        <item x="529"/>
        <item x="167"/>
        <item x="309"/>
        <item x="91"/>
        <item x="161"/>
        <item x="179"/>
        <item x="126"/>
        <item x="72"/>
        <item x="149"/>
        <item x="422"/>
        <item x="140"/>
        <item x="555"/>
        <item x="519"/>
        <item x="215"/>
        <item x="103"/>
        <item x="526"/>
        <item x="511"/>
        <item x="331"/>
        <item x="249"/>
        <item x="525"/>
        <item x="474"/>
        <item x="58"/>
        <item x="443"/>
        <item x="57"/>
        <item x="23"/>
        <item x="458"/>
        <item x="253"/>
        <item x="31"/>
        <item x="217"/>
        <item x="319"/>
        <item x="281"/>
        <item x="467"/>
        <item x="450"/>
        <item x="145"/>
        <item x="8"/>
        <item x="295"/>
        <item x="494"/>
        <item x="334"/>
        <item x="539"/>
        <item x="69"/>
        <item x="88"/>
        <item x="366"/>
        <item x="341"/>
        <item x="314"/>
        <item x="116"/>
        <item x="453"/>
        <item x="472"/>
        <item x="212"/>
        <item x="175"/>
        <item x="372"/>
        <item x="242"/>
        <item x="273"/>
        <item x="364"/>
        <item x="213"/>
        <item x="401"/>
        <item x="28"/>
        <item x="228"/>
        <item x="180"/>
        <item x="302"/>
        <item x="451"/>
        <item x="375"/>
        <item x="110"/>
        <item x="205"/>
        <item x="307"/>
        <item x="460"/>
        <item x="425"/>
        <item x="523"/>
        <item x="186"/>
        <item x="378"/>
        <item x="193"/>
        <item x="369"/>
        <item x="112"/>
        <item x="152"/>
        <item x="384"/>
        <item x="315"/>
        <item x="470"/>
        <item x="436"/>
        <item x="355"/>
        <item x="486"/>
        <item x="133"/>
        <item x="289"/>
        <item x="440"/>
        <item x="254"/>
        <item x="354"/>
        <item x="55"/>
        <item x="206"/>
        <item x="495"/>
        <item x="328"/>
        <item x="485"/>
        <item x="318"/>
        <item x="524"/>
        <item x="471"/>
        <item x="379"/>
        <item x="301"/>
        <item x="349"/>
        <item x="513"/>
        <item x="38"/>
        <item x="236"/>
        <item x="322"/>
        <item x="522"/>
        <item x="444"/>
        <item x="506"/>
        <item x="514"/>
        <item x="538"/>
        <item x="430"/>
        <item x="424"/>
        <item x="119"/>
        <item x="63"/>
        <item x="114"/>
        <item x="39"/>
        <item x="414"/>
        <item x="61"/>
        <item x="13"/>
        <item x="298"/>
        <item x="427"/>
        <item x="553"/>
        <item x="165"/>
        <item x="363"/>
        <item x="100"/>
        <item x="128"/>
        <item x="115"/>
        <item x="528"/>
        <item x="492"/>
        <item x="7"/>
        <item x="267"/>
        <item x="243"/>
        <item x="464"/>
        <item x="381"/>
        <item x="530"/>
        <item x="434"/>
        <item x="102"/>
        <item x="429"/>
        <item x="158"/>
        <item x="113"/>
        <item x="29"/>
        <item x="252"/>
        <item x="10"/>
        <item x="153"/>
        <item x="201"/>
        <item x="79"/>
        <item x="535"/>
        <item x="227"/>
        <item x="76"/>
        <item x="404"/>
        <item x="197"/>
        <item x="194"/>
        <item x="177"/>
        <item x="208"/>
        <item x="51"/>
        <item x="531"/>
        <item x="330"/>
        <item x="536"/>
        <item x="552"/>
        <item x="550"/>
        <item x="27"/>
        <item x="488"/>
        <item x="248"/>
        <item x="452"/>
        <item x="505"/>
        <item x="504"/>
        <item x="26"/>
        <item x="94"/>
        <item x="290"/>
        <item x="226"/>
        <item x="317"/>
        <item x="141"/>
        <item x="396"/>
        <item x="497"/>
        <item x="5"/>
        <item x="339"/>
        <item x="230"/>
        <item x="2"/>
        <item x="146"/>
        <item x="75"/>
        <item x="477"/>
        <item x="225"/>
        <item x="250"/>
        <item x="245"/>
        <item x="439"/>
        <item x="64"/>
        <item x="421"/>
        <item x="294"/>
        <item x="251"/>
        <item x="174"/>
        <item x="214"/>
        <item x="282"/>
        <item x="272"/>
        <item x="182"/>
        <item x="117"/>
        <item x="142"/>
        <item x="286"/>
        <item x="256"/>
        <item x="293"/>
        <item x="50"/>
        <item x="480"/>
        <item x="348"/>
        <item x="109"/>
        <item x="17"/>
        <item x="285"/>
        <item x="305"/>
        <item x="144"/>
        <item x="413"/>
        <item x="44"/>
        <item x="99"/>
        <item x="241"/>
        <item x="35"/>
        <item x="271"/>
        <item x="184"/>
        <item x="219"/>
        <item x="223"/>
        <item x="111"/>
        <item x="163"/>
        <item x="73"/>
        <item x="395"/>
        <item x="169"/>
        <item x="346"/>
        <item x="170"/>
        <item x="344"/>
        <item x="398"/>
        <item x="449"/>
        <item x="423"/>
        <item x="313"/>
        <item x="9"/>
        <item t="default"/>
      </items>
    </pivotField>
    <pivotField showAll="0"/>
    <pivotField showAll="0"/>
    <pivotField showAll="0"/>
    <pivotField showAll="0"/>
    <pivotField showAll="0">
      <items count="8">
        <item x="1"/>
        <item x="2"/>
        <item x="0"/>
        <item x="3"/>
        <item x="5"/>
        <item x="4"/>
        <item x="6"/>
        <item t="default"/>
      </items>
    </pivotField>
    <pivotField numFmtId="164" showAll="0"/>
    <pivotField showAll="0"/>
    <pivotField showAll="0"/>
    <pivotField dataField="1" showAll="0"/>
    <pivotField showAll="0"/>
    <pivotField showAll="0"/>
    <pivotField showAll="0">
      <items count="4">
        <item x="1"/>
        <item x="0"/>
        <item x="2"/>
        <item t="default"/>
      </items>
    </pivotField>
    <pivotField numFmtId="164" showAll="0"/>
    <pivotField numFmtId="164" showAll="0"/>
    <pivotField numFmtId="164" showAll="0"/>
  </pivotFields>
  <rowFields count="1">
    <field x="0"/>
  </rowFields>
  <rowItems count="7">
    <i>
      <x v="65"/>
    </i>
    <i>
      <x v="2"/>
    </i>
    <i>
      <x v="15"/>
    </i>
    <i>
      <x v="20"/>
    </i>
    <i>
      <x v="42"/>
    </i>
    <i>
      <x v="64"/>
    </i>
    <i t="grand">
      <x/>
    </i>
  </rowItems>
  <colItems count="1">
    <i/>
  </colItems>
  <dataFields count="1">
    <dataField name="Average of Visa_Fee_USD" fld="10" subtotal="average" baseField="0" baseItem="0" numFmtId="164"/>
  </dataFields>
  <chartFormats count="14">
    <chartFormat chart="17" format="57" series="1">
      <pivotArea type="data" outline="0" fieldPosition="0">
        <references count="1">
          <reference field="4294967294" count="1" selected="0">
            <x v="0"/>
          </reference>
        </references>
      </pivotArea>
    </chartFormat>
    <chartFormat chart="15" format="49" series="1">
      <pivotArea type="data" outline="0" fieldPosition="0">
        <references count="1">
          <reference field="4294967294" count="1" selected="0">
            <x v="0"/>
          </reference>
        </references>
      </pivotArea>
    </chartFormat>
    <chartFormat chart="15" format="50">
      <pivotArea type="data" outline="0" fieldPosition="0">
        <references count="2">
          <reference field="4294967294" count="1" selected="0">
            <x v="0"/>
          </reference>
          <reference field="0" count="1" selected="0">
            <x v="65"/>
          </reference>
        </references>
      </pivotArea>
    </chartFormat>
    <chartFormat chart="15" format="51">
      <pivotArea type="data" outline="0" fieldPosition="0">
        <references count="2">
          <reference field="4294967294" count="1" selected="0">
            <x v="0"/>
          </reference>
          <reference field="0" count="1" selected="0">
            <x v="2"/>
          </reference>
        </references>
      </pivotArea>
    </chartFormat>
    <chartFormat chart="15" format="52">
      <pivotArea type="data" outline="0" fieldPosition="0">
        <references count="2">
          <reference field="4294967294" count="1" selected="0">
            <x v="0"/>
          </reference>
          <reference field="0" count="1" selected="0">
            <x v="15"/>
          </reference>
        </references>
      </pivotArea>
    </chartFormat>
    <chartFormat chart="15" format="53">
      <pivotArea type="data" outline="0" fieldPosition="0">
        <references count="2">
          <reference field="4294967294" count="1" selected="0">
            <x v="0"/>
          </reference>
          <reference field="0" count="1" selected="0">
            <x v="20"/>
          </reference>
        </references>
      </pivotArea>
    </chartFormat>
    <chartFormat chart="15" format="54">
      <pivotArea type="data" outline="0" fieldPosition="0">
        <references count="2">
          <reference field="4294967294" count="1" selected="0">
            <x v="0"/>
          </reference>
          <reference field="0" count="1" selected="0">
            <x v="42"/>
          </reference>
        </references>
      </pivotArea>
    </chartFormat>
    <chartFormat chart="15" format="55">
      <pivotArea type="data" outline="0" fieldPosition="0">
        <references count="2">
          <reference field="4294967294" count="1" selected="0">
            <x v="0"/>
          </reference>
          <reference field="0" count="1" selected="0">
            <x v="64"/>
          </reference>
        </references>
      </pivotArea>
    </chartFormat>
    <chartFormat chart="17" format="58">
      <pivotArea type="data" outline="0" fieldPosition="0">
        <references count="2">
          <reference field="4294967294" count="1" selected="0">
            <x v="0"/>
          </reference>
          <reference field="0" count="1" selected="0">
            <x v="65"/>
          </reference>
        </references>
      </pivotArea>
    </chartFormat>
    <chartFormat chart="17" format="59">
      <pivotArea type="data" outline="0" fieldPosition="0">
        <references count="2">
          <reference field="4294967294" count="1" selected="0">
            <x v="0"/>
          </reference>
          <reference field="0" count="1" selected="0">
            <x v="2"/>
          </reference>
        </references>
      </pivotArea>
    </chartFormat>
    <chartFormat chart="17" format="60">
      <pivotArea type="data" outline="0" fieldPosition="0">
        <references count="2">
          <reference field="4294967294" count="1" selected="0">
            <x v="0"/>
          </reference>
          <reference field="0" count="1" selected="0">
            <x v="15"/>
          </reference>
        </references>
      </pivotArea>
    </chartFormat>
    <chartFormat chart="17" format="61">
      <pivotArea type="data" outline="0" fieldPosition="0">
        <references count="2">
          <reference field="4294967294" count="1" selected="0">
            <x v="0"/>
          </reference>
          <reference field="0" count="1" selected="0">
            <x v="20"/>
          </reference>
        </references>
      </pivotArea>
    </chartFormat>
    <chartFormat chart="17" format="62">
      <pivotArea type="data" outline="0" fieldPosition="0">
        <references count="2">
          <reference field="4294967294" count="1" selected="0">
            <x v="0"/>
          </reference>
          <reference field="0" count="1" selected="0">
            <x v="42"/>
          </reference>
        </references>
      </pivotArea>
    </chartFormat>
    <chartFormat chart="17" format="63">
      <pivotArea type="data" outline="0" fieldPosition="0">
        <references count="2">
          <reference field="4294967294" count="1" selected="0">
            <x v="0"/>
          </reference>
          <reference field="0" count="1" selected="0">
            <x v="64"/>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910703-45F9-46AA-8DDA-DC07103DF2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7" firstHeaderRow="1" firstDataRow="1" firstDataCol="1"/>
  <pivotFields count="17">
    <pivotField showAll="0"/>
    <pivotField showAll="0">
      <items count="558">
        <item x="255"/>
        <item x="81"/>
        <item x="43"/>
        <item x="164"/>
        <item x="191"/>
        <item x="358"/>
        <item x="465"/>
        <item x="68"/>
        <item x="368"/>
        <item x="388"/>
        <item x="532"/>
        <item x="373"/>
        <item x="516"/>
        <item x="556"/>
        <item x="362"/>
        <item x="466"/>
        <item x="491"/>
        <item x="6"/>
        <item x="537"/>
        <item x="325"/>
        <item x="19"/>
        <item x="489"/>
        <item x="340"/>
        <item x="333"/>
        <item x="432"/>
        <item x="77"/>
        <item x="209"/>
        <item x="382"/>
        <item x="123"/>
        <item x="244"/>
        <item x="20"/>
        <item x="16"/>
        <item x="21"/>
        <item x="280"/>
        <item x="231"/>
        <item x="90"/>
        <item x="393"/>
        <item x="42"/>
        <item x="549"/>
        <item x="124"/>
        <item x="53"/>
        <item x="400"/>
        <item x="33"/>
        <item x="196"/>
        <item x="12"/>
        <item x="461"/>
        <item x="105"/>
        <item x="503"/>
        <item x="397"/>
        <item x="247"/>
        <item x="48"/>
        <item x="52"/>
        <item x="157"/>
        <item x="419"/>
        <item x="303"/>
        <item x="101"/>
        <item x="455"/>
        <item x="258"/>
        <item x="385"/>
        <item x="299"/>
        <item x="235"/>
        <item x="150"/>
        <item x="415"/>
        <item x="30"/>
        <item x="95"/>
        <item x="278"/>
        <item x="408"/>
        <item x="84"/>
        <item x="263"/>
        <item x="229"/>
        <item x="22"/>
        <item x="204"/>
        <item x="18"/>
        <item x="406"/>
        <item x="386"/>
        <item x="324"/>
        <item x="131"/>
        <item x="521"/>
        <item x="487"/>
        <item x="336"/>
        <item x="15"/>
        <item x="469"/>
        <item x="130"/>
        <item x="118"/>
        <item x="394"/>
        <item x="0"/>
        <item x="359"/>
        <item x="36"/>
        <item x="481"/>
        <item x="129"/>
        <item x="104"/>
        <item x="416"/>
        <item x="431"/>
        <item x="534"/>
        <item x="320"/>
        <item x="171"/>
        <item x="365"/>
        <item x="178"/>
        <item x="357"/>
        <item x="89"/>
        <item x="459"/>
        <item x="351"/>
        <item x="490"/>
        <item x="507"/>
        <item x="274"/>
        <item x="391"/>
        <item x="276"/>
        <item x="187"/>
        <item x="234"/>
        <item x="183"/>
        <item x="412"/>
        <item x="482"/>
        <item x="11"/>
        <item x="433"/>
        <item x="237"/>
        <item x="188"/>
        <item x="216"/>
        <item x="418"/>
        <item x="476"/>
        <item x="446"/>
        <item x="547"/>
        <item x="172"/>
        <item x="46"/>
        <item x="548"/>
        <item x="83"/>
        <item x="74"/>
        <item x="475"/>
        <item x="97"/>
        <item x="218"/>
        <item x="327"/>
        <item x="34"/>
        <item x="360"/>
        <item x="420"/>
        <item x="240"/>
        <item x="542"/>
        <item x="499"/>
        <item x="409"/>
        <item x="533"/>
        <item x="321"/>
        <item x="78"/>
        <item x="125"/>
        <item x="14"/>
        <item x="457"/>
        <item x="200"/>
        <item x="277"/>
        <item x="92"/>
        <item x="189"/>
        <item x="40"/>
        <item x="136"/>
        <item x="137"/>
        <item x="264"/>
        <item x="392"/>
        <item x="332"/>
        <item x="246"/>
        <item x="195"/>
        <item x="198"/>
        <item x="442"/>
        <item x="283"/>
        <item x="438"/>
        <item x="304"/>
        <item x="374"/>
        <item x="233"/>
        <item x="87"/>
        <item x="160"/>
        <item x="383"/>
        <item x="62"/>
        <item x="287"/>
        <item x="448"/>
        <item x="185"/>
        <item x="45"/>
        <item x="407"/>
        <item x="156"/>
        <item x="326"/>
        <item x="456"/>
        <item x="367"/>
        <item x="261"/>
        <item x="41"/>
        <item x="70"/>
        <item x="275"/>
        <item x="308"/>
        <item x="291"/>
        <item x="220"/>
        <item x="148"/>
        <item x="138"/>
        <item x="297"/>
        <item x="168"/>
        <item x="468"/>
        <item x="173"/>
        <item x="338"/>
        <item x="399"/>
        <item x="108"/>
        <item x="80"/>
        <item x="106"/>
        <item x="166"/>
        <item x="86"/>
        <item x="342"/>
        <item x="371"/>
        <item x="508"/>
        <item x="32"/>
        <item x="56"/>
        <item x="300"/>
        <item x="202"/>
        <item x="270"/>
        <item x="67"/>
        <item x="496"/>
        <item x="135"/>
        <item x="71"/>
        <item x="24"/>
        <item x="268"/>
        <item x="210"/>
        <item x="370"/>
        <item x="402"/>
        <item x="176"/>
        <item x="306"/>
        <item x="310"/>
        <item x="478"/>
        <item x="512"/>
        <item x="120"/>
        <item x="127"/>
        <item x="329"/>
        <item x="132"/>
        <item x="540"/>
        <item x="85"/>
        <item x="269"/>
        <item x="541"/>
        <item x="484"/>
        <item x="259"/>
        <item x="66"/>
        <item x="380"/>
        <item x="82"/>
        <item x="284"/>
        <item x="417"/>
        <item x="345"/>
        <item x="335"/>
        <item x="353"/>
        <item x="211"/>
        <item x="199"/>
        <item x="517"/>
        <item x="361"/>
        <item x="515"/>
        <item x="221"/>
        <item x="403"/>
        <item x="311"/>
        <item x="65"/>
        <item x="260"/>
        <item x="350"/>
        <item x="405"/>
        <item x="518"/>
        <item x="527"/>
        <item x="390"/>
        <item x="265"/>
        <item x="47"/>
        <item x="543"/>
        <item x="473"/>
        <item x="266"/>
        <item x="500"/>
        <item x="501"/>
        <item x="59"/>
        <item x="498"/>
        <item x="447"/>
        <item x="437"/>
        <item x="134"/>
        <item x="207"/>
        <item x="262"/>
        <item x="435"/>
        <item x="155"/>
        <item x="98"/>
        <item x="192"/>
        <item x="143"/>
        <item x="316"/>
        <item x="323"/>
        <item x="347"/>
        <item x="151"/>
        <item x="426"/>
        <item x="428"/>
        <item x="238"/>
        <item x="279"/>
        <item x="296"/>
        <item x="25"/>
        <item x="232"/>
        <item x="190"/>
        <item x="502"/>
        <item x="411"/>
        <item x="483"/>
        <item x="1"/>
        <item x="107"/>
        <item x="181"/>
        <item x="203"/>
        <item x="337"/>
        <item x="162"/>
        <item x="159"/>
        <item x="37"/>
        <item x="387"/>
        <item x="509"/>
        <item x="257"/>
        <item x="147"/>
        <item x="139"/>
        <item x="93"/>
        <item x="288"/>
        <item x="554"/>
        <item x="410"/>
        <item x="479"/>
        <item x="462"/>
        <item x="49"/>
        <item x="377"/>
        <item x="510"/>
        <item x="445"/>
        <item x="546"/>
        <item x="520"/>
        <item x="239"/>
        <item x="389"/>
        <item x="544"/>
        <item x="551"/>
        <item x="3"/>
        <item x="454"/>
        <item x="312"/>
        <item x="122"/>
        <item x="54"/>
        <item x="96"/>
        <item x="343"/>
        <item x="545"/>
        <item x="441"/>
        <item x="224"/>
        <item x="352"/>
        <item x="292"/>
        <item x="463"/>
        <item x="154"/>
        <item x="222"/>
        <item x="121"/>
        <item x="493"/>
        <item x="356"/>
        <item x="4"/>
        <item x="60"/>
        <item x="376"/>
        <item x="529"/>
        <item x="167"/>
        <item x="309"/>
        <item x="91"/>
        <item x="161"/>
        <item x="179"/>
        <item x="126"/>
        <item x="72"/>
        <item x="149"/>
        <item x="422"/>
        <item x="140"/>
        <item x="555"/>
        <item x="519"/>
        <item x="215"/>
        <item x="103"/>
        <item x="526"/>
        <item x="511"/>
        <item x="331"/>
        <item x="249"/>
        <item x="525"/>
        <item x="474"/>
        <item x="58"/>
        <item x="443"/>
        <item x="57"/>
        <item x="23"/>
        <item x="458"/>
        <item x="253"/>
        <item x="31"/>
        <item x="217"/>
        <item x="319"/>
        <item x="281"/>
        <item x="467"/>
        <item x="450"/>
        <item x="145"/>
        <item x="8"/>
        <item x="295"/>
        <item x="494"/>
        <item x="334"/>
        <item x="539"/>
        <item x="69"/>
        <item x="88"/>
        <item x="366"/>
        <item x="341"/>
        <item x="314"/>
        <item x="116"/>
        <item x="453"/>
        <item x="472"/>
        <item x="212"/>
        <item x="175"/>
        <item x="372"/>
        <item x="242"/>
        <item x="273"/>
        <item x="364"/>
        <item x="213"/>
        <item x="401"/>
        <item x="28"/>
        <item x="228"/>
        <item x="180"/>
        <item x="302"/>
        <item x="451"/>
        <item x="375"/>
        <item x="110"/>
        <item x="205"/>
        <item x="307"/>
        <item x="460"/>
        <item x="425"/>
        <item x="523"/>
        <item x="186"/>
        <item x="378"/>
        <item x="193"/>
        <item x="369"/>
        <item x="112"/>
        <item x="152"/>
        <item x="384"/>
        <item x="315"/>
        <item x="470"/>
        <item x="436"/>
        <item x="355"/>
        <item x="486"/>
        <item x="133"/>
        <item x="289"/>
        <item x="440"/>
        <item x="254"/>
        <item x="354"/>
        <item x="55"/>
        <item x="206"/>
        <item x="495"/>
        <item x="328"/>
        <item x="485"/>
        <item x="318"/>
        <item x="524"/>
        <item x="471"/>
        <item x="379"/>
        <item x="301"/>
        <item x="349"/>
        <item x="513"/>
        <item x="38"/>
        <item x="236"/>
        <item x="322"/>
        <item x="522"/>
        <item x="444"/>
        <item x="506"/>
        <item x="514"/>
        <item x="538"/>
        <item x="430"/>
        <item x="424"/>
        <item x="119"/>
        <item x="63"/>
        <item x="114"/>
        <item x="39"/>
        <item x="414"/>
        <item x="61"/>
        <item x="13"/>
        <item x="298"/>
        <item x="427"/>
        <item x="553"/>
        <item x="165"/>
        <item x="363"/>
        <item x="100"/>
        <item x="128"/>
        <item x="115"/>
        <item x="528"/>
        <item x="492"/>
        <item x="7"/>
        <item x="267"/>
        <item x="243"/>
        <item x="464"/>
        <item x="381"/>
        <item x="530"/>
        <item x="434"/>
        <item x="102"/>
        <item x="429"/>
        <item x="158"/>
        <item x="113"/>
        <item x="29"/>
        <item x="252"/>
        <item x="10"/>
        <item x="153"/>
        <item x="201"/>
        <item x="79"/>
        <item x="535"/>
        <item x="227"/>
        <item x="76"/>
        <item x="404"/>
        <item x="197"/>
        <item x="194"/>
        <item x="177"/>
        <item x="208"/>
        <item x="51"/>
        <item x="531"/>
        <item x="330"/>
        <item x="536"/>
        <item x="552"/>
        <item x="550"/>
        <item x="27"/>
        <item x="488"/>
        <item x="248"/>
        <item x="452"/>
        <item x="505"/>
        <item x="504"/>
        <item x="26"/>
        <item x="94"/>
        <item x="290"/>
        <item x="226"/>
        <item x="317"/>
        <item x="141"/>
        <item x="396"/>
        <item x="497"/>
        <item x="5"/>
        <item x="339"/>
        <item x="230"/>
        <item x="2"/>
        <item x="146"/>
        <item x="75"/>
        <item x="477"/>
        <item x="225"/>
        <item x="250"/>
        <item x="245"/>
        <item x="439"/>
        <item x="64"/>
        <item x="421"/>
        <item x="294"/>
        <item x="251"/>
        <item x="174"/>
        <item x="214"/>
        <item x="282"/>
        <item x="272"/>
        <item x="182"/>
        <item x="117"/>
        <item x="142"/>
        <item x="286"/>
        <item x="256"/>
        <item x="293"/>
        <item x="50"/>
        <item x="480"/>
        <item x="348"/>
        <item x="109"/>
        <item x="17"/>
        <item x="285"/>
        <item x="305"/>
        <item x="144"/>
        <item x="413"/>
        <item x="44"/>
        <item x="99"/>
        <item x="241"/>
        <item x="35"/>
        <item x="271"/>
        <item x="184"/>
        <item x="219"/>
        <item x="223"/>
        <item x="111"/>
        <item x="163"/>
        <item x="73"/>
        <item x="395"/>
        <item x="169"/>
        <item x="346"/>
        <item x="170"/>
        <item x="344"/>
        <item x="398"/>
        <item x="449"/>
        <item x="423"/>
        <item x="313"/>
        <item x="9"/>
        <item t="default"/>
      </items>
    </pivotField>
    <pivotField showAll="0"/>
    <pivotField showAll="0"/>
    <pivotField axis="axisRow" showAll="0">
      <items count="4">
        <item x="1"/>
        <item x="2"/>
        <item x="0"/>
        <item t="default"/>
      </items>
    </pivotField>
    <pivotField showAll="0"/>
    <pivotField showAll="0">
      <items count="8">
        <item x="1"/>
        <item x="2"/>
        <item x="0"/>
        <item x="3"/>
        <item x="5"/>
        <item x="4"/>
        <item x="6"/>
        <item t="default"/>
      </items>
    </pivotField>
    <pivotField numFmtId="164" showAll="0"/>
    <pivotField showAll="0"/>
    <pivotField showAll="0"/>
    <pivotField showAll="0"/>
    <pivotField showAll="0"/>
    <pivotField showAll="0"/>
    <pivotField showAll="0">
      <items count="4">
        <item x="1"/>
        <item x="0"/>
        <item x="2"/>
        <item t="default"/>
      </items>
    </pivotField>
    <pivotField numFmtId="164" showAll="0"/>
    <pivotField numFmtId="164" showAll="0"/>
    <pivotField dataField="1" numFmtId="164" showAll="0"/>
  </pivotFields>
  <rowFields count="1">
    <field x="4"/>
  </rowFields>
  <rowItems count="4">
    <i>
      <x/>
    </i>
    <i>
      <x v="1"/>
    </i>
    <i>
      <x v="2"/>
    </i>
    <i t="grand">
      <x/>
    </i>
  </rowItems>
  <colItems count="1">
    <i/>
  </colItems>
  <dataFields count="1">
    <dataField name="Sum of Total_Cost" fld="16" showDataAs="percentOfTotal" baseField="0" baseItem="0" numFmtId="10"/>
  </dataFields>
  <chartFormats count="8">
    <chartFormat chart="15" format="50" series="1">
      <pivotArea type="data" outline="0" fieldPosition="0">
        <references count="1">
          <reference field="4294967294" count="1" selected="0">
            <x v="0"/>
          </reference>
        </references>
      </pivotArea>
    </chartFormat>
    <chartFormat chart="15" format="51">
      <pivotArea type="data" outline="0" fieldPosition="0">
        <references count="2">
          <reference field="4294967294" count="1" selected="0">
            <x v="0"/>
          </reference>
          <reference field="4" count="1" selected="0">
            <x v="1"/>
          </reference>
        </references>
      </pivotArea>
    </chartFormat>
    <chartFormat chart="15" format="52">
      <pivotArea type="data" outline="0" fieldPosition="0">
        <references count="2">
          <reference field="4294967294" count="1" selected="0">
            <x v="0"/>
          </reference>
          <reference field="4" count="1" selected="0">
            <x v="0"/>
          </reference>
        </references>
      </pivotArea>
    </chartFormat>
    <chartFormat chart="15" format="53">
      <pivotArea type="data" outline="0" fieldPosition="0">
        <references count="2">
          <reference field="4294967294" count="1" selected="0">
            <x v="0"/>
          </reference>
          <reference field="4" count="1" selected="0">
            <x v="2"/>
          </reference>
        </references>
      </pivotArea>
    </chartFormat>
    <chartFormat chart="19" format="58" series="1">
      <pivotArea type="data" outline="0" fieldPosition="0">
        <references count="1">
          <reference field="4294967294" count="1" selected="0">
            <x v="0"/>
          </reference>
        </references>
      </pivotArea>
    </chartFormat>
    <chartFormat chart="19" format="59">
      <pivotArea type="data" outline="0" fieldPosition="0">
        <references count="2">
          <reference field="4294967294" count="1" selected="0">
            <x v="0"/>
          </reference>
          <reference field="4" count="1" selected="0">
            <x v="0"/>
          </reference>
        </references>
      </pivotArea>
    </chartFormat>
    <chartFormat chart="19" format="60">
      <pivotArea type="data" outline="0" fieldPosition="0">
        <references count="2">
          <reference field="4294967294" count="1" selected="0">
            <x v="0"/>
          </reference>
          <reference field="4" count="1" selected="0">
            <x v="1"/>
          </reference>
        </references>
      </pivotArea>
    </chartFormat>
    <chartFormat chart="19" format="6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46F110-941C-45B7-8304-3069D2560E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C9" firstHeaderRow="0" firstDataRow="1" firstDataCol="1"/>
  <pivotFields count="17">
    <pivotField showAll="0"/>
    <pivotField axis="axisRow" showAll="0" measureFilter="1" sortType="descending">
      <items count="558">
        <item x="255"/>
        <item x="81"/>
        <item x="43"/>
        <item x="164"/>
        <item x="191"/>
        <item x="358"/>
        <item x="465"/>
        <item x="68"/>
        <item x="368"/>
        <item x="388"/>
        <item x="532"/>
        <item x="373"/>
        <item x="516"/>
        <item x="556"/>
        <item x="362"/>
        <item x="466"/>
        <item x="491"/>
        <item x="6"/>
        <item x="537"/>
        <item x="325"/>
        <item x="19"/>
        <item x="489"/>
        <item x="340"/>
        <item x="333"/>
        <item x="432"/>
        <item x="77"/>
        <item x="209"/>
        <item x="382"/>
        <item x="123"/>
        <item x="244"/>
        <item x="20"/>
        <item x="16"/>
        <item x="21"/>
        <item x="280"/>
        <item x="231"/>
        <item x="90"/>
        <item x="393"/>
        <item x="42"/>
        <item x="549"/>
        <item x="124"/>
        <item x="53"/>
        <item x="400"/>
        <item x="33"/>
        <item x="196"/>
        <item x="12"/>
        <item x="461"/>
        <item x="105"/>
        <item x="503"/>
        <item x="397"/>
        <item x="247"/>
        <item x="48"/>
        <item x="52"/>
        <item x="157"/>
        <item x="419"/>
        <item x="303"/>
        <item x="101"/>
        <item x="455"/>
        <item x="258"/>
        <item x="385"/>
        <item x="299"/>
        <item x="235"/>
        <item x="150"/>
        <item x="415"/>
        <item x="30"/>
        <item x="95"/>
        <item x="278"/>
        <item x="408"/>
        <item x="84"/>
        <item x="263"/>
        <item x="229"/>
        <item x="22"/>
        <item x="204"/>
        <item x="18"/>
        <item x="406"/>
        <item x="386"/>
        <item x="324"/>
        <item x="131"/>
        <item x="521"/>
        <item x="487"/>
        <item x="336"/>
        <item x="15"/>
        <item x="469"/>
        <item x="130"/>
        <item x="118"/>
        <item x="394"/>
        <item x="0"/>
        <item x="359"/>
        <item x="36"/>
        <item x="481"/>
        <item x="129"/>
        <item x="104"/>
        <item x="416"/>
        <item x="431"/>
        <item x="534"/>
        <item x="320"/>
        <item x="171"/>
        <item x="365"/>
        <item x="178"/>
        <item x="357"/>
        <item x="89"/>
        <item x="459"/>
        <item x="351"/>
        <item x="490"/>
        <item x="507"/>
        <item x="274"/>
        <item x="391"/>
        <item x="276"/>
        <item x="187"/>
        <item x="234"/>
        <item x="183"/>
        <item x="412"/>
        <item x="482"/>
        <item x="11"/>
        <item x="433"/>
        <item x="237"/>
        <item x="188"/>
        <item x="216"/>
        <item x="418"/>
        <item x="476"/>
        <item x="446"/>
        <item x="547"/>
        <item x="172"/>
        <item x="46"/>
        <item x="548"/>
        <item x="83"/>
        <item x="74"/>
        <item x="475"/>
        <item x="97"/>
        <item x="218"/>
        <item x="327"/>
        <item x="34"/>
        <item x="360"/>
        <item x="420"/>
        <item x="240"/>
        <item x="542"/>
        <item x="499"/>
        <item x="409"/>
        <item x="533"/>
        <item x="321"/>
        <item x="78"/>
        <item x="125"/>
        <item x="14"/>
        <item x="457"/>
        <item x="200"/>
        <item x="277"/>
        <item x="92"/>
        <item x="189"/>
        <item x="40"/>
        <item x="136"/>
        <item x="137"/>
        <item x="264"/>
        <item x="392"/>
        <item x="332"/>
        <item x="246"/>
        <item x="195"/>
        <item x="198"/>
        <item x="442"/>
        <item x="283"/>
        <item x="438"/>
        <item x="304"/>
        <item x="374"/>
        <item x="233"/>
        <item x="87"/>
        <item x="160"/>
        <item x="383"/>
        <item x="62"/>
        <item x="287"/>
        <item x="448"/>
        <item x="185"/>
        <item x="45"/>
        <item x="407"/>
        <item x="156"/>
        <item x="326"/>
        <item x="456"/>
        <item x="367"/>
        <item x="261"/>
        <item x="41"/>
        <item x="70"/>
        <item x="275"/>
        <item x="308"/>
        <item x="291"/>
        <item x="220"/>
        <item x="148"/>
        <item x="138"/>
        <item x="297"/>
        <item x="168"/>
        <item x="468"/>
        <item x="173"/>
        <item x="338"/>
        <item x="399"/>
        <item x="108"/>
        <item x="80"/>
        <item x="106"/>
        <item x="166"/>
        <item x="86"/>
        <item x="342"/>
        <item x="371"/>
        <item x="508"/>
        <item x="32"/>
        <item x="56"/>
        <item x="300"/>
        <item x="202"/>
        <item x="270"/>
        <item x="67"/>
        <item x="496"/>
        <item x="135"/>
        <item x="71"/>
        <item x="24"/>
        <item x="268"/>
        <item x="210"/>
        <item x="370"/>
        <item x="402"/>
        <item x="176"/>
        <item x="306"/>
        <item x="310"/>
        <item x="478"/>
        <item x="512"/>
        <item x="120"/>
        <item x="127"/>
        <item x="329"/>
        <item x="132"/>
        <item x="540"/>
        <item x="85"/>
        <item x="269"/>
        <item x="541"/>
        <item x="484"/>
        <item x="259"/>
        <item x="66"/>
        <item x="380"/>
        <item x="82"/>
        <item x="284"/>
        <item x="417"/>
        <item x="345"/>
        <item x="335"/>
        <item x="353"/>
        <item x="211"/>
        <item x="199"/>
        <item x="517"/>
        <item x="361"/>
        <item x="515"/>
        <item x="221"/>
        <item x="403"/>
        <item x="311"/>
        <item x="65"/>
        <item x="260"/>
        <item x="350"/>
        <item x="405"/>
        <item x="518"/>
        <item x="527"/>
        <item x="390"/>
        <item x="265"/>
        <item x="47"/>
        <item x="543"/>
        <item x="473"/>
        <item x="266"/>
        <item x="500"/>
        <item x="501"/>
        <item x="59"/>
        <item x="498"/>
        <item x="447"/>
        <item x="437"/>
        <item x="134"/>
        <item x="207"/>
        <item x="262"/>
        <item x="435"/>
        <item x="155"/>
        <item x="98"/>
        <item x="192"/>
        <item x="143"/>
        <item x="316"/>
        <item x="323"/>
        <item x="347"/>
        <item x="151"/>
        <item x="426"/>
        <item x="428"/>
        <item x="238"/>
        <item x="279"/>
        <item x="296"/>
        <item x="25"/>
        <item x="232"/>
        <item x="190"/>
        <item x="502"/>
        <item x="411"/>
        <item x="483"/>
        <item x="1"/>
        <item x="107"/>
        <item x="181"/>
        <item x="203"/>
        <item x="337"/>
        <item x="162"/>
        <item x="159"/>
        <item x="37"/>
        <item x="387"/>
        <item x="509"/>
        <item x="257"/>
        <item x="147"/>
        <item x="139"/>
        <item x="93"/>
        <item x="288"/>
        <item x="554"/>
        <item x="410"/>
        <item x="479"/>
        <item x="462"/>
        <item x="49"/>
        <item x="377"/>
        <item x="510"/>
        <item x="445"/>
        <item x="546"/>
        <item x="520"/>
        <item x="239"/>
        <item x="389"/>
        <item x="544"/>
        <item x="551"/>
        <item x="3"/>
        <item x="454"/>
        <item x="312"/>
        <item x="122"/>
        <item x="54"/>
        <item x="96"/>
        <item x="343"/>
        <item x="545"/>
        <item x="441"/>
        <item x="224"/>
        <item x="352"/>
        <item x="292"/>
        <item x="463"/>
        <item x="154"/>
        <item x="222"/>
        <item x="121"/>
        <item x="493"/>
        <item x="356"/>
        <item x="4"/>
        <item x="60"/>
        <item x="376"/>
        <item x="529"/>
        <item x="167"/>
        <item x="309"/>
        <item x="91"/>
        <item x="161"/>
        <item x="179"/>
        <item x="126"/>
        <item x="72"/>
        <item x="149"/>
        <item x="422"/>
        <item x="140"/>
        <item x="555"/>
        <item x="519"/>
        <item x="215"/>
        <item x="103"/>
        <item x="526"/>
        <item x="511"/>
        <item x="331"/>
        <item x="249"/>
        <item x="525"/>
        <item x="474"/>
        <item x="58"/>
        <item x="443"/>
        <item x="57"/>
        <item x="23"/>
        <item x="458"/>
        <item x="253"/>
        <item x="31"/>
        <item x="217"/>
        <item x="319"/>
        <item x="281"/>
        <item x="467"/>
        <item x="450"/>
        <item x="145"/>
        <item x="8"/>
        <item x="295"/>
        <item x="494"/>
        <item x="334"/>
        <item x="539"/>
        <item x="69"/>
        <item x="88"/>
        <item x="366"/>
        <item x="341"/>
        <item x="314"/>
        <item x="116"/>
        <item x="453"/>
        <item x="472"/>
        <item x="212"/>
        <item x="175"/>
        <item x="372"/>
        <item x="242"/>
        <item x="273"/>
        <item x="364"/>
        <item x="213"/>
        <item x="401"/>
        <item x="28"/>
        <item x="228"/>
        <item x="180"/>
        <item x="302"/>
        <item x="451"/>
        <item x="375"/>
        <item x="110"/>
        <item x="205"/>
        <item x="307"/>
        <item x="460"/>
        <item x="425"/>
        <item x="523"/>
        <item x="186"/>
        <item x="378"/>
        <item x="193"/>
        <item x="369"/>
        <item x="112"/>
        <item x="152"/>
        <item x="384"/>
        <item x="315"/>
        <item x="470"/>
        <item x="436"/>
        <item x="355"/>
        <item x="486"/>
        <item x="133"/>
        <item x="289"/>
        <item x="440"/>
        <item x="254"/>
        <item x="354"/>
        <item x="55"/>
        <item x="206"/>
        <item x="495"/>
        <item x="328"/>
        <item x="485"/>
        <item x="318"/>
        <item x="524"/>
        <item x="471"/>
        <item x="379"/>
        <item x="301"/>
        <item x="349"/>
        <item x="513"/>
        <item x="38"/>
        <item x="236"/>
        <item x="322"/>
        <item x="522"/>
        <item x="444"/>
        <item x="506"/>
        <item x="514"/>
        <item x="538"/>
        <item x="430"/>
        <item x="424"/>
        <item x="119"/>
        <item x="63"/>
        <item x="114"/>
        <item x="39"/>
        <item x="414"/>
        <item x="61"/>
        <item x="13"/>
        <item x="298"/>
        <item x="427"/>
        <item x="553"/>
        <item x="165"/>
        <item x="363"/>
        <item x="100"/>
        <item x="128"/>
        <item x="115"/>
        <item x="528"/>
        <item x="492"/>
        <item x="7"/>
        <item x="267"/>
        <item x="243"/>
        <item x="464"/>
        <item x="381"/>
        <item x="530"/>
        <item x="434"/>
        <item x="102"/>
        <item x="429"/>
        <item x="158"/>
        <item x="113"/>
        <item x="29"/>
        <item x="252"/>
        <item x="10"/>
        <item x="153"/>
        <item x="201"/>
        <item x="79"/>
        <item x="535"/>
        <item x="227"/>
        <item x="76"/>
        <item x="404"/>
        <item x="197"/>
        <item x="194"/>
        <item x="177"/>
        <item x="208"/>
        <item x="51"/>
        <item x="531"/>
        <item x="330"/>
        <item x="536"/>
        <item x="552"/>
        <item x="550"/>
        <item x="27"/>
        <item x="488"/>
        <item x="248"/>
        <item x="452"/>
        <item x="505"/>
        <item x="504"/>
        <item x="26"/>
        <item x="94"/>
        <item x="290"/>
        <item x="226"/>
        <item x="317"/>
        <item x="141"/>
        <item x="396"/>
        <item x="497"/>
        <item x="5"/>
        <item x="339"/>
        <item x="230"/>
        <item x="2"/>
        <item x="146"/>
        <item x="75"/>
        <item x="477"/>
        <item x="225"/>
        <item x="250"/>
        <item x="245"/>
        <item x="439"/>
        <item x="64"/>
        <item x="421"/>
        <item x="294"/>
        <item x="251"/>
        <item x="174"/>
        <item x="214"/>
        <item x="282"/>
        <item x="272"/>
        <item x="182"/>
        <item x="117"/>
        <item x="142"/>
        <item x="286"/>
        <item x="256"/>
        <item x="293"/>
        <item x="50"/>
        <item x="480"/>
        <item x="348"/>
        <item x="109"/>
        <item x="17"/>
        <item x="285"/>
        <item x="305"/>
        <item x="144"/>
        <item x="413"/>
        <item x="44"/>
        <item x="99"/>
        <item x="241"/>
        <item x="35"/>
        <item x="271"/>
        <item x="184"/>
        <item x="219"/>
        <item x="223"/>
        <item x="111"/>
        <item x="163"/>
        <item x="73"/>
        <item x="395"/>
        <item x="169"/>
        <item x="346"/>
        <item x="170"/>
        <item x="344"/>
        <item x="398"/>
        <item x="449"/>
        <item x="423"/>
        <item x="31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8">
        <item x="1"/>
        <item x="2"/>
        <item x="0"/>
        <item x="3"/>
        <item x="5"/>
        <item x="4"/>
        <item x="6"/>
        <item t="default"/>
      </items>
    </pivotField>
    <pivotField numFmtId="164" showAll="0"/>
    <pivotField showAll="0"/>
    <pivotField dataField="1" showAll="0"/>
    <pivotField showAll="0"/>
    <pivotField dataField="1" showAll="0"/>
    <pivotField showAll="0"/>
    <pivotField showAll="0">
      <items count="4">
        <item x="1"/>
        <item x="0"/>
        <item x="2"/>
        <item t="default"/>
      </items>
    </pivotField>
    <pivotField numFmtId="164" showAll="0"/>
    <pivotField numFmtId="164" showAll="0"/>
    <pivotField numFmtId="164" showAll="0"/>
  </pivotFields>
  <rowFields count="1">
    <field x="1"/>
  </rowFields>
  <rowItems count="6">
    <i>
      <x v="340"/>
    </i>
    <i>
      <x v="431"/>
    </i>
    <i>
      <x v="468"/>
    </i>
    <i>
      <x v="286"/>
    </i>
    <i>
      <x v="63"/>
    </i>
    <i t="grand">
      <x/>
    </i>
  </rowItems>
  <colFields count="1">
    <field x="-2"/>
  </colFields>
  <colItems count="2">
    <i>
      <x/>
    </i>
    <i i="1">
      <x v="1"/>
    </i>
  </colItems>
  <dataFields count="2">
    <dataField name="Average of Rent_USD" fld="9" subtotal="average" baseField="0" baseItem="0" numFmtId="164"/>
    <dataField name="Average of Insurance_USD" fld="11" subtotal="average" baseField="0" baseItem="0" numFmtId="164"/>
  </dataFields>
  <chartFormats count="7">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pivotArea type="data" outline="0" fieldPosition="0">
        <references count="2">
          <reference field="4294967294" count="1" selected="0">
            <x v="0"/>
          </reference>
          <reference field="1" count="1" selected="0">
            <x v="340"/>
          </reference>
        </references>
      </pivotArea>
    </chartFormat>
    <chartFormat chart="10" format="3">
      <pivotArea type="data" outline="0" fieldPosition="0">
        <references count="2">
          <reference field="4294967294" count="1" selected="0">
            <x v="0"/>
          </reference>
          <reference field="1" count="1" selected="0">
            <x v="431"/>
          </reference>
        </references>
      </pivotArea>
    </chartFormat>
    <chartFormat chart="10" format="4">
      <pivotArea type="data" outline="0" fieldPosition="0">
        <references count="2">
          <reference field="4294967294" count="1" selected="0">
            <x v="0"/>
          </reference>
          <reference field="1" count="1" selected="0">
            <x v="468"/>
          </reference>
        </references>
      </pivotArea>
    </chartFormat>
    <chartFormat chart="24" format="7"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FE1D062-8079-4E95-93F6-67826F3EEF68}" sourceName="City">
  <pivotTables>
    <pivotTable tabId="7" name="PivotTable1"/>
    <pivotTable tabId="11" name="PivotTable1"/>
    <pivotTable tabId="9" name="PivotTable1"/>
    <pivotTable tabId="6" name="PivotTable1"/>
    <pivotTable tabId="10" name="PivotTable1"/>
    <pivotTable tabId="8" name="PivotTable1"/>
  </pivotTables>
  <data>
    <tabular pivotCacheId="512448527">
      <items count="557">
        <i x="255" s="1"/>
        <i x="81" s="1"/>
        <i x="43" s="1"/>
        <i x="164" s="1"/>
        <i x="191" s="1"/>
        <i x="358" s="1"/>
        <i x="465" s="1"/>
        <i x="68" s="1"/>
        <i x="368" s="1"/>
        <i x="388" s="1"/>
        <i x="532" s="1"/>
        <i x="373" s="1"/>
        <i x="516" s="1"/>
        <i x="556" s="1"/>
        <i x="362" s="1"/>
        <i x="466" s="1"/>
        <i x="491" s="1"/>
        <i x="6" s="1"/>
        <i x="537" s="1"/>
        <i x="325" s="1"/>
        <i x="19" s="1"/>
        <i x="489" s="1"/>
        <i x="340" s="1"/>
        <i x="333" s="1"/>
        <i x="432" s="1"/>
        <i x="77" s="1"/>
        <i x="209" s="1"/>
        <i x="382" s="1"/>
        <i x="123" s="1"/>
        <i x="244" s="1"/>
        <i x="20" s="1"/>
        <i x="16" s="1"/>
        <i x="21" s="1"/>
        <i x="280" s="1"/>
        <i x="231" s="1"/>
        <i x="90" s="1"/>
        <i x="393" s="1"/>
        <i x="42" s="1"/>
        <i x="549" s="1"/>
        <i x="124" s="1"/>
        <i x="53" s="1"/>
        <i x="400" s="1"/>
        <i x="33" s="1"/>
        <i x="196" s="1"/>
        <i x="12" s="1"/>
        <i x="461" s="1"/>
        <i x="105" s="1"/>
        <i x="503" s="1"/>
        <i x="397" s="1"/>
        <i x="247" s="1"/>
        <i x="48" s="1"/>
        <i x="52" s="1"/>
        <i x="157" s="1"/>
        <i x="419" s="1"/>
        <i x="303" s="1"/>
        <i x="101" s="1"/>
        <i x="455" s="1"/>
        <i x="258" s="1"/>
        <i x="385" s="1"/>
        <i x="299" s="1"/>
        <i x="235" s="1"/>
        <i x="150" s="1"/>
        <i x="415" s="1"/>
        <i x="30" s="1"/>
        <i x="95" s="1"/>
        <i x="278" s="1"/>
        <i x="408" s="1"/>
        <i x="84" s="1"/>
        <i x="263" s="1"/>
        <i x="229" s="1"/>
        <i x="22" s="1"/>
        <i x="204" s="1"/>
        <i x="18" s="1"/>
        <i x="406" s="1"/>
        <i x="386" s="1"/>
        <i x="324" s="1"/>
        <i x="131" s="1"/>
        <i x="521" s="1"/>
        <i x="487" s="1"/>
        <i x="336" s="1"/>
        <i x="15" s="1"/>
        <i x="469" s="1"/>
        <i x="130" s="1"/>
        <i x="118" s="1"/>
        <i x="394" s="1"/>
        <i x="0" s="1"/>
        <i x="359" s="1"/>
        <i x="36" s="1"/>
        <i x="481" s="1"/>
        <i x="129" s="1"/>
        <i x="104" s="1"/>
        <i x="416" s="1"/>
        <i x="431" s="1"/>
        <i x="534" s="1"/>
        <i x="320" s="1"/>
        <i x="171" s="1"/>
        <i x="365" s="1"/>
        <i x="178" s="1"/>
        <i x="357" s="1"/>
        <i x="89" s="1"/>
        <i x="459" s="1"/>
        <i x="351" s="1"/>
        <i x="490" s="1"/>
        <i x="507" s="1"/>
        <i x="274" s="1"/>
        <i x="391" s="1"/>
        <i x="276" s="1"/>
        <i x="187" s="1"/>
        <i x="234" s="1"/>
        <i x="183" s="1"/>
        <i x="412" s="1"/>
        <i x="482" s="1"/>
        <i x="11" s="1"/>
        <i x="433" s="1"/>
        <i x="237" s="1"/>
        <i x="188" s="1"/>
        <i x="216" s="1"/>
        <i x="418" s="1"/>
        <i x="476" s="1"/>
        <i x="446" s="1"/>
        <i x="547" s="1"/>
        <i x="172" s="1"/>
        <i x="46" s="1"/>
        <i x="548" s="1"/>
        <i x="83" s="1"/>
        <i x="74" s="1"/>
        <i x="475" s="1"/>
        <i x="97" s="1"/>
        <i x="218" s="1"/>
        <i x="327" s="1"/>
        <i x="34" s="1"/>
        <i x="360" s="1"/>
        <i x="420" s="1"/>
        <i x="240" s="1"/>
        <i x="542" s="1"/>
        <i x="499" s="1"/>
        <i x="409" s="1"/>
        <i x="533" s="1"/>
        <i x="321" s="1"/>
        <i x="78" s="1"/>
        <i x="125" s="1"/>
        <i x="14" s="1"/>
        <i x="457" s="1"/>
        <i x="200" s="1"/>
        <i x="277" s="1"/>
        <i x="92" s="1"/>
        <i x="189" s="1"/>
        <i x="40" s="1"/>
        <i x="136" s="1"/>
        <i x="137" s="1"/>
        <i x="264" s="1"/>
        <i x="392" s="1"/>
        <i x="332" s="1"/>
        <i x="246" s="1"/>
        <i x="195" s="1"/>
        <i x="198" s="1"/>
        <i x="442" s="1"/>
        <i x="283" s="1"/>
        <i x="438" s="1"/>
        <i x="304" s="1"/>
        <i x="374" s="1"/>
        <i x="233" s="1"/>
        <i x="87" s="1"/>
        <i x="160" s="1"/>
        <i x="383" s="1"/>
        <i x="62" s="1"/>
        <i x="287" s="1"/>
        <i x="448" s="1"/>
        <i x="185" s="1"/>
        <i x="45" s="1"/>
        <i x="407" s="1"/>
        <i x="156" s="1"/>
        <i x="326" s="1"/>
        <i x="456" s="1"/>
        <i x="367" s="1"/>
        <i x="261" s="1"/>
        <i x="41" s="1"/>
        <i x="70" s="1"/>
        <i x="275" s="1"/>
        <i x="308" s="1"/>
        <i x="291" s="1"/>
        <i x="220" s="1"/>
        <i x="148" s="1"/>
        <i x="138" s="1"/>
        <i x="297" s="1"/>
        <i x="168" s="1"/>
        <i x="468" s="1"/>
        <i x="173" s="1"/>
        <i x="338" s="1"/>
        <i x="399" s="1"/>
        <i x="108" s="1"/>
        <i x="80" s="1"/>
        <i x="106" s="1"/>
        <i x="166" s="1"/>
        <i x="86" s="1"/>
        <i x="342" s="1"/>
        <i x="371" s="1"/>
        <i x="508" s="1"/>
        <i x="32" s="1"/>
        <i x="56" s="1"/>
        <i x="300" s="1"/>
        <i x="202" s="1"/>
        <i x="270" s="1"/>
        <i x="67" s="1"/>
        <i x="496" s="1"/>
        <i x="135" s="1"/>
        <i x="71" s="1"/>
        <i x="24" s="1"/>
        <i x="268" s="1"/>
        <i x="210" s="1"/>
        <i x="370" s="1"/>
        <i x="402" s="1"/>
        <i x="176" s="1"/>
        <i x="306" s="1"/>
        <i x="310" s="1"/>
        <i x="478" s="1"/>
        <i x="512" s="1"/>
        <i x="120" s="1"/>
        <i x="127" s="1"/>
        <i x="329" s="1"/>
        <i x="132" s="1"/>
        <i x="540" s="1"/>
        <i x="85" s="1"/>
        <i x="269" s="1"/>
        <i x="541" s="1"/>
        <i x="484" s="1"/>
        <i x="259" s="1"/>
        <i x="66" s="1"/>
        <i x="380" s="1"/>
        <i x="82" s="1"/>
        <i x="284" s="1"/>
        <i x="417" s="1"/>
        <i x="345" s="1"/>
        <i x="335" s="1"/>
        <i x="353" s="1"/>
        <i x="211" s="1"/>
        <i x="199" s="1"/>
        <i x="517" s="1"/>
        <i x="361" s="1"/>
        <i x="515" s="1"/>
        <i x="221" s="1"/>
        <i x="403" s="1"/>
        <i x="311" s="1"/>
        <i x="65" s="1"/>
        <i x="260" s="1"/>
        <i x="350" s="1"/>
        <i x="405" s="1"/>
        <i x="518" s="1"/>
        <i x="527" s="1"/>
        <i x="390" s="1"/>
        <i x="265" s="1"/>
        <i x="47" s="1"/>
        <i x="543" s="1"/>
        <i x="473" s="1"/>
        <i x="266" s="1"/>
        <i x="500" s="1"/>
        <i x="501" s="1"/>
        <i x="59" s="1"/>
        <i x="498" s="1"/>
        <i x="447" s="1"/>
        <i x="437" s="1"/>
        <i x="134" s="1"/>
        <i x="207" s="1"/>
        <i x="262" s="1"/>
        <i x="435" s="1"/>
        <i x="155" s="1"/>
        <i x="98" s="1"/>
        <i x="192" s="1"/>
        <i x="143" s="1"/>
        <i x="316" s="1"/>
        <i x="323" s="1"/>
        <i x="347" s="1"/>
        <i x="151" s="1"/>
        <i x="426" s="1"/>
        <i x="428" s="1"/>
        <i x="238" s="1"/>
        <i x="279" s="1"/>
        <i x="296" s="1"/>
        <i x="25" s="1"/>
        <i x="232" s="1"/>
        <i x="190" s="1"/>
        <i x="502" s="1"/>
        <i x="411" s="1"/>
        <i x="483" s="1"/>
        <i x="1" s="1"/>
        <i x="107" s="1"/>
        <i x="181" s="1"/>
        <i x="203" s="1"/>
        <i x="337" s="1"/>
        <i x="162" s="1"/>
        <i x="159" s="1"/>
        <i x="37" s="1"/>
        <i x="387" s="1"/>
        <i x="509" s="1"/>
        <i x="257" s="1"/>
        <i x="147" s="1"/>
        <i x="139" s="1"/>
        <i x="93" s="1"/>
        <i x="288" s="1"/>
        <i x="554" s="1"/>
        <i x="410" s="1"/>
        <i x="479" s="1"/>
        <i x="462" s="1"/>
        <i x="49" s="1"/>
        <i x="377" s="1"/>
        <i x="510" s="1"/>
        <i x="445" s="1"/>
        <i x="546" s="1"/>
        <i x="520" s="1"/>
        <i x="239" s="1"/>
        <i x="389" s="1"/>
        <i x="544" s="1"/>
        <i x="551" s="1"/>
        <i x="3" s="1"/>
        <i x="454" s="1"/>
        <i x="312" s="1"/>
        <i x="122" s="1"/>
        <i x="54" s="1"/>
        <i x="96" s="1"/>
        <i x="343" s="1"/>
        <i x="545" s="1"/>
        <i x="441" s="1"/>
        <i x="224" s="1"/>
        <i x="352" s="1"/>
        <i x="292" s="1"/>
        <i x="463" s="1"/>
        <i x="154" s="1"/>
        <i x="222" s="1"/>
        <i x="121" s="1"/>
        <i x="493" s="1"/>
        <i x="356" s="1"/>
        <i x="4" s="1"/>
        <i x="60" s="1"/>
        <i x="376" s="1"/>
        <i x="529" s="1"/>
        <i x="167" s="1"/>
        <i x="309" s="1"/>
        <i x="91" s="1"/>
        <i x="161" s="1"/>
        <i x="179" s="1"/>
        <i x="126" s="1"/>
        <i x="72" s="1"/>
        <i x="149" s="1"/>
        <i x="422" s="1"/>
        <i x="140" s="1"/>
        <i x="555" s="1"/>
        <i x="519" s="1"/>
        <i x="215" s="1"/>
        <i x="103" s="1"/>
        <i x="526" s="1"/>
        <i x="511" s="1"/>
        <i x="331" s="1"/>
        <i x="249" s="1"/>
        <i x="525" s="1"/>
        <i x="474" s="1"/>
        <i x="58" s="1"/>
        <i x="443" s="1"/>
        <i x="57" s="1"/>
        <i x="23" s="1"/>
        <i x="458" s="1"/>
        <i x="253" s="1"/>
        <i x="31" s="1"/>
        <i x="217" s="1"/>
        <i x="319" s="1"/>
        <i x="281" s="1"/>
        <i x="467" s="1"/>
        <i x="450" s="1"/>
        <i x="145" s="1"/>
        <i x="8" s="1"/>
        <i x="295" s="1"/>
        <i x="494" s="1"/>
        <i x="334" s="1"/>
        <i x="539" s="1"/>
        <i x="69" s="1"/>
        <i x="88" s="1"/>
        <i x="366" s="1"/>
        <i x="341" s="1"/>
        <i x="314" s="1"/>
        <i x="116" s="1"/>
        <i x="453" s="1"/>
        <i x="472" s="1"/>
        <i x="212" s="1"/>
        <i x="175" s="1"/>
        <i x="372" s="1"/>
        <i x="242" s="1"/>
        <i x="273" s="1"/>
        <i x="364" s="1"/>
        <i x="213" s="1"/>
        <i x="401" s="1"/>
        <i x="28" s="1"/>
        <i x="228" s="1"/>
        <i x="180" s="1"/>
        <i x="302" s="1"/>
        <i x="451" s="1"/>
        <i x="375" s="1"/>
        <i x="110" s="1"/>
        <i x="205" s="1"/>
        <i x="307" s="1"/>
        <i x="460" s="1"/>
        <i x="425" s="1"/>
        <i x="523" s="1"/>
        <i x="186" s="1"/>
        <i x="378" s="1"/>
        <i x="193" s="1"/>
        <i x="369" s="1"/>
        <i x="112" s="1"/>
        <i x="152" s="1"/>
        <i x="384" s="1"/>
        <i x="315" s="1"/>
        <i x="470" s="1"/>
        <i x="436" s="1"/>
        <i x="355" s="1"/>
        <i x="486" s="1"/>
        <i x="133" s="1"/>
        <i x="289" s="1"/>
        <i x="440" s="1"/>
        <i x="254" s="1"/>
        <i x="354" s="1"/>
        <i x="55" s="1"/>
        <i x="206" s="1"/>
        <i x="495" s="1"/>
        <i x="328" s="1"/>
        <i x="485" s="1"/>
        <i x="318" s="1"/>
        <i x="524" s="1"/>
        <i x="471" s="1"/>
        <i x="379" s="1"/>
        <i x="301" s="1"/>
        <i x="349" s="1"/>
        <i x="513" s="1"/>
        <i x="38" s="1"/>
        <i x="236" s="1"/>
        <i x="322" s="1"/>
        <i x="522" s="1"/>
        <i x="444" s="1"/>
        <i x="506" s="1"/>
        <i x="514" s="1"/>
        <i x="538" s="1"/>
        <i x="430" s="1"/>
        <i x="424" s="1"/>
        <i x="119" s="1"/>
        <i x="63" s="1"/>
        <i x="114" s="1"/>
        <i x="39" s="1"/>
        <i x="414" s="1"/>
        <i x="61" s="1"/>
        <i x="13" s="1"/>
        <i x="298" s="1"/>
        <i x="427" s="1"/>
        <i x="553" s="1"/>
        <i x="165" s="1"/>
        <i x="363" s="1"/>
        <i x="100" s="1"/>
        <i x="128" s="1"/>
        <i x="115" s="1"/>
        <i x="528" s="1"/>
        <i x="492" s="1"/>
        <i x="7" s="1"/>
        <i x="267" s="1"/>
        <i x="243" s="1"/>
        <i x="464" s="1"/>
        <i x="381" s="1"/>
        <i x="530" s="1"/>
        <i x="434" s="1"/>
        <i x="102" s="1"/>
        <i x="429" s="1"/>
        <i x="158" s="1"/>
        <i x="113" s="1"/>
        <i x="29" s="1"/>
        <i x="252" s="1"/>
        <i x="10" s="1"/>
        <i x="153" s="1"/>
        <i x="201" s="1"/>
        <i x="79" s="1"/>
        <i x="535" s="1"/>
        <i x="227" s="1"/>
        <i x="76" s="1"/>
        <i x="404" s="1"/>
        <i x="197" s="1"/>
        <i x="194" s="1"/>
        <i x="177" s="1"/>
        <i x="208" s="1"/>
        <i x="51" s="1"/>
        <i x="531" s="1"/>
        <i x="330" s="1"/>
        <i x="536" s="1"/>
        <i x="552" s="1"/>
        <i x="550" s="1"/>
        <i x="27" s="1"/>
        <i x="488" s="1"/>
        <i x="248" s="1"/>
        <i x="452" s="1"/>
        <i x="505" s="1"/>
        <i x="504" s="1"/>
        <i x="26" s="1"/>
        <i x="94" s="1"/>
        <i x="290" s="1"/>
        <i x="226" s="1"/>
        <i x="317" s="1"/>
        <i x="141" s="1"/>
        <i x="396" s="1"/>
        <i x="497" s="1"/>
        <i x="5" s="1"/>
        <i x="339" s="1"/>
        <i x="230" s="1"/>
        <i x="2" s="1"/>
        <i x="146" s="1"/>
        <i x="75" s="1"/>
        <i x="477" s="1"/>
        <i x="225" s="1"/>
        <i x="250" s="1"/>
        <i x="245" s="1"/>
        <i x="439" s="1"/>
        <i x="64" s="1"/>
        <i x="421" s="1"/>
        <i x="294" s="1"/>
        <i x="251" s="1"/>
        <i x="174" s="1"/>
        <i x="214" s="1"/>
        <i x="282" s="1"/>
        <i x="272" s="1"/>
        <i x="182" s="1"/>
        <i x="117" s="1"/>
        <i x="142" s="1"/>
        <i x="286" s="1"/>
        <i x="256" s="1"/>
        <i x="293" s="1"/>
        <i x="50" s="1"/>
        <i x="480" s="1"/>
        <i x="348" s="1"/>
        <i x="109" s="1"/>
        <i x="17" s="1"/>
        <i x="285" s="1"/>
        <i x="305" s="1"/>
        <i x="144" s="1"/>
        <i x="413" s="1"/>
        <i x="44" s="1"/>
        <i x="99" s="1"/>
        <i x="241" s="1"/>
        <i x="35" s="1"/>
        <i x="271" s="1"/>
        <i x="184" s="1"/>
        <i x="219" s="1"/>
        <i x="223" s="1"/>
        <i x="111" s="1"/>
        <i x="163" s="1"/>
        <i x="73" s="1"/>
        <i x="395" s="1"/>
        <i x="169" s="1"/>
        <i x="346" s="1"/>
        <i x="170" s="1"/>
        <i x="344" s="1"/>
        <i x="398" s="1"/>
        <i x="449" s="1"/>
        <i x="423" s="1"/>
        <i x="313"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414E9DAD-109E-4CFC-ACC1-8BD3E573431D}" sourceName="Years">
  <pivotTables>
    <pivotTable tabId="7" name="PivotTable1"/>
    <pivotTable tabId="11" name="PivotTable1"/>
    <pivotTable tabId="9" name="PivotTable1"/>
    <pivotTable tabId="6" name="PivotTable1"/>
    <pivotTable tabId="10" name="PivotTable1"/>
    <pivotTable tabId="8" name="PivotTable1"/>
  </pivotTables>
  <data>
    <tabular pivotCacheId="512448527">
      <items count="7">
        <i x="1" s="1"/>
        <i x="2" s="1"/>
        <i x="0" s="1"/>
        <i x="3" s="1"/>
        <i x="5" s="1"/>
        <i x="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ffordability_marker" xr10:uid="{FC8CF7B8-3798-4AAB-B5C8-985E6DC08ECB}" sourceName="Affordability_marker">
  <pivotTables>
    <pivotTable tabId="7" name="PivotTable1"/>
    <pivotTable tabId="11" name="PivotTable1"/>
    <pivotTable tabId="9" name="PivotTable1"/>
    <pivotTable tabId="6" name="PivotTable1"/>
    <pivotTable tabId="10" name="PivotTable1"/>
    <pivotTable tabId="8" name="PivotTable1"/>
  </pivotTables>
  <data>
    <tabular pivotCacheId="51244852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3607E05-64DB-4325-BD61-C04D75BCDF71}" cache="Slicer_City" caption="City" style="international_cost" rowHeight="257175"/>
  <slicer name="Years" xr10:uid="{2F427B19-6C4C-4118-AFC2-A0DBFE92983B}" cache="Slicer_Years" caption="Years" style="international_cost" rowHeight="257175"/>
  <slicer name="Affordability_marker" xr10:uid="{AC84BBD7-3902-4062-BF76-58BAB9228129}" cache="Slicer_Affordability_marker" caption="Affordability_marker" style="international_cos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4C0852-D87B-4CB6-A2FB-D12FB112D5C5}" name="Table1" displayName="Table1" ref="A1:Q908" totalsRowShown="0" headerRowDxfId="20" headerRowBorderDxfId="19" tableBorderDxfId="18" totalsRowBorderDxfId="17">
  <autoFilter ref="A1:Q908" xr:uid="{ED4C0852-D87B-4CB6-A2FB-D12FB112D5C5}"/>
  <tableColumns count="17">
    <tableColumn id="1" xr3:uid="{6C54A109-6575-4937-BAA0-F72D2764D78C}" name="Country" dataDxfId="16"/>
    <tableColumn id="2" xr3:uid="{B70F31F5-C2C8-4871-B6B2-047AD61CB7E0}" name="City" dataDxfId="15"/>
    <tableColumn id="3" xr3:uid="{42AF6B03-3CE3-4249-B61A-74105F7EBF45}" name="University" dataDxfId="14"/>
    <tableColumn id="4" xr3:uid="{22FFC1C2-BCA2-408B-8D7E-31961A88E2FA}" name="Program" dataDxfId="13"/>
    <tableColumn id="5" xr3:uid="{9A19557E-76FC-4A1F-81A5-2B6CF8D23F74}" name="Level" dataDxfId="12"/>
    <tableColumn id="6" xr3:uid="{A531C27F-7806-447B-B293-3324451FB72D}" name="Duration_Years" dataDxfId="11"/>
    <tableColumn id="16" xr3:uid="{123E7196-622B-4F97-BE23-5C33F4546C40}" name="Years" dataDxfId="10">
      <calculatedColumnFormula>CONCATENATE(Table1[[#This Row],[Duration_Years]]," ","years")</calculatedColumnFormula>
    </tableColumn>
    <tableColumn id="7" xr3:uid="{72124A8D-F05B-4B34-A48A-B5F046C89E4A}" name="Tuition_USD" dataDxfId="9"/>
    <tableColumn id="8" xr3:uid="{793D0459-594B-422A-BB0D-D818912E85A0}" name="Living_Cost_Index" dataDxfId="8"/>
    <tableColumn id="9" xr3:uid="{D0A0CE21-E1B9-49CB-9E66-E732B7A7099A}" name="Rent_USD" dataDxfId="7"/>
    <tableColumn id="10" xr3:uid="{5863C750-8C2F-454A-AB16-EFE72CA1B5FB}" name="Visa_Fee_USD" dataDxfId="6"/>
    <tableColumn id="11" xr3:uid="{F4EBD46B-27BC-4458-8BEA-5F39E00FD5CB}" name="Insurance_USD" dataDxfId="5"/>
    <tableColumn id="12" xr3:uid="{C0FE2BBC-46E4-47F7-9A21-BF31D9270DFA}" name="Exchange_Rate" dataDxfId="0"/>
    <tableColumn id="17" xr3:uid="{373E0A7C-C430-4B56-936E-F031DF94C65C}" name="Affordability_marker" dataDxfId="4">
      <calculatedColumnFormula>IF(Table1[[#This Row],[Exchange_Rate]]&lt;5,"Strong Currency", IF(Table1[[#This Row],[Exchange_Rate]]&lt;=1000, "Medium Currency","Weak Currency"))</calculatedColumnFormula>
    </tableColumn>
    <tableColumn id="13" xr3:uid="{699BBB45-DAC5-4497-9383-15B6882AF7D0}" name="Monthly_Estimated_Living_cost" dataDxfId="3">
      <calculatedColumnFormula>(Table1[[#This Row],[Living_Cost_Index]]/123.3)*1850</calculatedColumnFormula>
    </tableColumn>
    <tableColumn id="14" xr3:uid="{D0161CEE-C979-4AA4-B586-67FA7D10ED4A}" name="Annual_Estimated_Living_cost" dataDxfId="2">
      <calculatedColumnFormula>Table1[[#This Row],[Monthly_Estimated_Living_cost]]*12</calculatedColumnFormula>
    </tableColumn>
    <tableColumn id="15" xr3:uid="{ED013336-60FD-456B-8311-5A87137E6F93}" name="Total_Cost" dataDxfId="1">
      <calculatedColumnFormula>Table1[[#This Row],[Tuition_USD]]+Table1[[#This Row],[Rent_USD]]+Table1[[#This Row],[Insurance_USD]]+Table1[[#This Row],[Visa_Fee_USD]]+Table1[[#This Row],[Annual_Estimated_Living_cost]]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933F7-3B38-4B69-8B79-1CCED4C0589B}">
  <dimension ref="A1:L908"/>
  <sheetViews>
    <sheetView workbookViewId="0">
      <selection sqref="A1:L908"/>
    </sheetView>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v>2</v>
      </c>
      <c r="G2">
        <v>55400</v>
      </c>
      <c r="H2">
        <v>83.5</v>
      </c>
      <c r="I2">
        <v>2200</v>
      </c>
      <c r="J2">
        <v>160</v>
      </c>
      <c r="K2">
        <v>1500</v>
      </c>
      <c r="L2">
        <v>1</v>
      </c>
    </row>
    <row r="3" spans="1:12" x14ac:dyDescent="0.25">
      <c r="A3" t="s">
        <v>17</v>
      </c>
      <c r="B3" t="s">
        <v>18</v>
      </c>
      <c r="C3" t="s">
        <v>19</v>
      </c>
      <c r="D3" t="s">
        <v>20</v>
      </c>
      <c r="E3" t="s">
        <v>16</v>
      </c>
      <c r="F3">
        <v>1</v>
      </c>
      <c r="G3">
        <v>41200</v>
      </c>
      <c r="H3">
        <v>75.8</v>
      </c>
      <c r="I3">
        <v>1800</v>
      </c>
      <c r="J3">
        <v>485</v>
      </c>
      <c r="K3">
        <v>800</v>
      </c>
      <c r="L3">
        <v>0.79</v>
      </c>
    </row>
    <row r="4" spans="1:12" x14ac:dyDescent="0.25">
      <c r="A4" t="s">
        <v>21</v>
      </c>
      <c r="B4" t="s">
        <v>22</v>
      </c>
      <c r="C4" t="s">
        <v>23</v>
      </c>
      <c r="D4" t="s">
        <v>24</v>
      </c>
      <c r="E4" t="s">
        <v>16</v>
      </c>
      <c r="F4">
        <v>2</v>
      </c>
      <c r="G4">
        <v>38500</v>
      </c>
      <c r="H4">
        <v>72.5</v>
      </c>
      <c r="I4">
        <v>1600</v>
      </c>
      <c r="J4">
        <v>235</v>
      </c>
      <c r="K4">
        <v>900</v>
      </c>
      <c r="L4">
        <v>1.35</v>
      </c>
    </row>
    <row r="5" spans="1:12" x14ac:dyDescent="0.25">
      <c r="A5" t="s">
        <v>25</v>
      </c>
      <c r="B5" t="s">
        <v>26</v>
      </c>
      <c r="C5" t="s">
        <v>27</v>
      </c>
      <c r="D5" t="s">
        <v>28</v>
      </c>
      <c r="E5" t="s">
        <v>16</v>
      </c>
      <c r="F5">
        <v>2</v>
      </c>
      <c r="G5">
        <v>42000</v>
      </c>
      <c r="H5">
        <v>71.2</v>
      </c>
      <c r="I5">
        <v>1400</v>
      </c>
      <c r="J5">
        <v>450</v>
      </c>
      <c r="K5">
        <v>650</v>
      </c>
      <c r="L5">
        <v>1.52</v>
      </c>
    </row>
    <row r="6" spans="1:12" x14ac:dyDescent="0.25">
      <c r="A6" t="s">
        <v>29</v>
      </c>
      <c r="B6" t="s">
        <v>30</v>
      </c>
      <c r="C6" t="s">
        <v>31</v>
      </c>
      <c r="D6" t="s">
        <v>32</v>
      </c>
      <c r="E6" t="s">
        <v>16</v>
      </c>
      <c r="F6">
        <v>2</v>
      </c>
      <c r="G6">
        <v>500</v>
      </c>
      <c r="H6">
        <v>70.5</v>
      </c>
      <c r="I6">
        <v>1100</v>
      </c>
      <c r="J6">
        <v>75</v>
      </c>
      <c r="K6">
        <v>550</v>
      </c>
      <c r="L6">
        <v>0.92</v>
      </c>
    </row>
    <row r="7" spans="1:12" x14ac:dyDescent="0.25">
      <c r="A7" t="s">
        <v>33</v>
      </c>
      <c r="B7" t="s">
        <v>34</v>
      </c>
      <c r="C7" t="s">
        <v>35</v>
      </c>
      <c r="D7" t="s">
        <v>36</v>
      </c>
      <c r="E7" t="s">
        <v>16</v>
      </c>
      <c r="F7">
        <v>2</v>
      </c>
      <c r="G7">
        <v>8900</v>
      </c>
      <c r="H7">
        <v>76.400000000000006</v>
      </c>
      <c r="I7">
        <v>1300</v>
      </c>
      <c r="J7">
        <v>220</v>
      </c>
      <c r="K7">
        <v>750</v>
      </c>
      <c r="L7">
        <v>145.80000000000001</v>
      </c>
    </row>
    <row r="8" spans="1:12" x14ac:dyDescent="0.25">
      <c r="A8" t="s">
        <v>37</v>
      </c>
      <c r="B8" t="s">
        <v>38</v>
      </c>
      <c r="C8" t="s">
        <v>39</v>
      </c>
      <c r="D8" t="s">
        <v>40</v>
      </c>
      <c r="E8" t="s">
        <v>16</v>
      </c>
      <c r="F8">
        <v>1</v>
      </c>
      <c r="G8">
        <v>15800</v>
      </c>
      <c r="H8">
        <v>73.2</v>
      </c>
      <c r="I8">
        <v>1500</v>
      </c>
      <c r="J8">
        <v>180</v>
      </c>
      <c r="K8">
        <v>720</v>
      </c>
      <c r="L8">
        <v>0.92</v>
      </c>
    </row>
    <row r="9" spans="1:12" x14ac:dyDescent="0.25">
      <c r="A9" t="s">
        <v>41</v>
      </c>
      <c r="B9" t="s">
        <v>41</v>
      </c>
      <c r="C9" t="s">
        <v>42</v>
      </c>
      <c r="D9" t="s">
        <v>43</v>
      </c>
      <c r="E9" t="s">
        <v>16</v>
      </c>
      <c r="F9">
        <v>1.5</v>
      </c>
      <c r="G9">
        <v>35000</v>
      </c>
      <c r="H9">
        <v>81.099999999999994</v>
      </c>
      <c r="I9">
        <v>1900</v>
      </c>
      <c r="J9">
        <v>90</v>
      </c>
      <c r="K9">
        <v>800</v>
      </c>
      <c r="L9">
        <v>1.34</v>
      </c>
    </row>
    <row r="10" spans="1:12" x14ac:dyDescent="0.25">
      <c r="A10" t="s">
        <v>44</v>
      </c>
      <c r="B10" t="s">
        <v>45</v>
      </c>
      <c r="C10" t="s">
        <v>46</v>
      </c>
      <c r="D10" t="s">
        <v>47</v>
      </c>
      <c r="E10" t="s">
        <v>16</v>
      </c>
      <c r="F10">
        <v>2</v>
      </c>
      <c r="G10">
        <v>4500</v>
      </c>
      <c r="H10">
        <v>74.599999999999994</v>
      </c>
      <c r="I10">
        <v>1400</v>
      </c>
      <c r="J10">
        <v>99</v>
      </c>
      <c r="K10">
        <v>650</v>
      </c>
      <c r="L10">
        <v>0.92</v>
      </c>
    </row>
    <row r="11" spans="1:12" x14ac:dyDescent="0.25">
      <c r="A11" t="s">
        <v>48</v>
      </c>
      <c r="B11" t="s">
        <v>49</v>
      </c>
      <c r="C11" t="s">
        <v>50</v>
      </c>
      <c r="D11" t="s">
        <v>51</v>
      </c>
      <c r="E11" t="s">
        <v>16</v>
      </c>
      <c r="F11">
        <v>2</v>
      </c>
      <c r="G11">
        <v>1460</v>
      </c>
      <c r="H11">
        <v>91.5</v>
      </c>
      <c r="I11">
        <v>2100</v>
      </c>
      <c r="J11">
        <v>88</v>
      </c>
      <c r="K11">
        <v>1200</v>
      </c>
      <c r="L11">
        <v>0.89</v>
      </c>
    </row>
    <row r="12" spans="1:12" x14ac:dyDescent="0.25">
      <c r="A12" t="s">
        <v>52</v>
      </c>
      <c r="B12" t="s">
        <v>53</v>
      </c>
      <c r="C12" t="s">
        <v>54</v>
      </c>
      <c r="D12" t="s">
        <v>55</v>
      </c>
      <c r="E12" t="s">
        <v>16</v>
      </c>
      <c r="F12">
        <v>2</v>
      </c>
      <c r="G12">
        <v>0</v>
      </c>
      <c r="H12">
        <v>71.8</v>
      </c>
      <c r="I12">
        <v>1200</v>
      </c>
      <c r="J12">
        <v>110</v>
      </c>
      <c r="K12">
        <v>400</v>
      </c>
      <c r="L12">
        <v>10.45</v>
      </c>
    </row>
    <row r="13" spans="1:12" x14ac:dyDescent="0.25">
      <c r="A13" t="s">
        <v>56</v>
      </c>
      <c r="B13" t="s">
        <v>57</v>
      </c>
      <c r="C13" t="s">
        <v>58</v>
      </c>
      <c r="D13" t="s">
        <v>59</v>
      </c>
      <c r="E13" t="s">
        <v>16</v>
      </c>
      <c r="F13">
        <v>2</v>
      </c>
      <c r="G13">
        <v>0</v>
      </c>
      <c r="H13">
        <v>73.400000000000006</v>
      </c>
      <c r="I13">
        <v>1300</v>
      </c>
      <c r="J13">
        <v>120</v>
      </c>
      <c r="K13">
        <v>450</v>
      </c>
      <c r="L13">
        <v>6.92</v>
      </c>
    </row>
    <row r="14" spans="1:12" x14ac:dyDescent="0.25">
      <c r="A14" t="s">
        <v>60</v>
      </c>
      <c r="B14" t="s">
        <v>61</v>
      </c>
      <c r="C14" t="s">
        <v>62</v>
      </c>
      <c r="D14" t="s">
        <v>63</v>
      </c>
      <c r="E14" t="s">
        <v>16</v>
      </c>
      <c r="F14">
        <v>2.5</v>
      </c>
      <c r="G14">
        <v>8900</v>
      </c>
      <c r="H14">
        <v>52.3</v>
      </c>
      <c r="I14">
        <v>800</v>
      </c>
      <c r="J14">
        <v>140</v>
      </c>
      <c r="K14">
        <v>400</v>
      </c>
      <c r="L14">
        <v>7.18</v>
      </c>
    </row>
    <row r="15" spans="1:12" x14ac:dyDescent="0.25">
      <c r="A15" t="s">
        <v>64</v>
      </c>
      <c r="B15" t="s">
        <v>65</v>
      </c>
      <c r="C15" t="s">
        <v>66</v>
      </c>
      <c r="D15" t="s">
        <v>67</v>
      </c>
      <c r="E15" t="s">
        <v>16</v>
      </c>
      <c r="F15">
        <v>2</v>
      </c>
      <c r="G15">
        <v>7200</v>
      </c>
      <c r="H15">
        <v>68.7</v>
      </c>
      <c r="I15">
        <v>900</v>
      </c>
      <c r="J15">
        <v>130</v>
      </c>
      <c r="K15">
        <v>500</v>
      </c>
      <c r="L15">
        <v>1320.5</v>
      </c>
    </row>
    <row r="16" spans="1:12" x14ac:dyDescent="0.25">
      <c r="A16" t="s">
        <v>68</v>
      </c>
      <c r="B16" t="s">
        <v>69</v>
      </c>
      <c r="C16" t="s">
        <v>70</v>
      </c>
      <c r="D16" t="s">
        <v>71</v>
      </c>
      <c r="E16" t="s">
        <v>16</v>
      </c>
      <c r="F16">
        <v>1</v>
      </c>
      <c r="G16">
        <v>28900</v>
      </c>
      <c r="H16">
        <v>72.900000000000006</v>
      </c>
      <c r="I16">
        <v>1600</v>
      </c>
      <c r="J16">
        <v>150</v>
      </c>
      <c r="K16">
        <v>650</v>
      </c>
      <c r="L16">
        <v>0.92</v>
      </c>
    </row>
    <row r="17" spans="1:12" x14ac:dyDescent="0.25">
      <c r="A17" t="s">
        <v>64</v>
      </c>
      <c r="B17" t="s">
        <v>72</v>
      </c>
      <c r="C17" t="s">
        <v>73</v>
      </c>
      <c r="D17" t="s">
        <v>74</v>
      </c>
      <c r="E17" t="s">
        <v>75</v>
      </c>
      <c r="F17">
        <v>4</v>
      </c>
      <c r="G17">
        <v>5900</v>
      </c>
      <c r="H17">
        <v>62.4</v>
      </c>
      <c r="I17">
        <v>700</v>
      </c>
      <c r="J17">
        <v>130</v>
      </c>
      <c r="K17">
        <v>500</v>
      </c>
      <c r="L17">
        <v>1320.5</v>
      </c>
    </row>
    <row r="18" spans="1:12" x14ac:dyDescent="0.25">
      <c r="A18" t="s">
        <v>76</v>
      </c>
      <c r="B18" t="s">
        <v>77</v>
      </c>
      <c r="C18" t="s">
        <v>78</v>
      </c>
      <c r="D18" t="s">
        <v>79</v>
      </c>
      <c r="E18" t="s">
        <v>75</v>
      </c>
      <c r="F18">
        <v>3</v>
      </c>
      <c r="G18">
        <v>28500</v>
      </c>
      <c r="H18">
        <v>69.8</v>
      </c>
      <c r="I18">
        <v>1200</v>
      </c>
      <c r="J18">
        <v>245</v>
      </c>
      <c r="K18">
        <v>600</v>
      </c>
      <c r="L18">
        <v>1.64</v>
      </c>
    </row>
    <row r="19" spans="1:12" x14ac:dyDescent="0.25">
      <c r="A19" t="s">
        <v>80</v>
      </c>
      <c r="B19" t="s">
        <v>81</v>
      </c>
      <c r="C19" t="s">
        <v>82</v>
      </c>
      <c r="D19" t="s">
        <v>83</v>
      </c>
      <c r="E19" t="s">
        <v>75</v>
      </c>
      <c r="F19">
        <v>3</v>
      </c>
      <c r="G19">
        <v>1500</v>
      </c>
      <c r="H19">
        <v>67.400000000000006</v>
      </c>
      <c r="I19">
        <v>950</v>
      </c>
      <c r="J19">
        <v>160</v>
      </c>
      <c r="K19">
        <v>500</v>
      </c>
      <c r="L19">
        <v>0.92</v>
      </c>
    </row>
    <row r="20" spans="1:12" x14ac:dyDescent="0.25">
      <c r="A20" t="s">
        <v>84</v>
      </c>
      <c r="B20" t="s">
        <v>85</v>
      </c>
      <c r="C20" t="s">
        <v>86</v>
      </c>
      <c r="D20" t="s">
        <v>87</v>
      </c>
      <c r="E20" t="s">
        <v>75</v>
      </c>
      <c r="F20">
        <v>3</v>
      </c>
      <c r="G20">
        <v>3500</v>
      </c>
      <c r="H20">
        <v>68.900000000000006</v>
      </c>
      <c r="I20">
        <v>1000</v>
      </c>
      <c r="J20">
        <v>180</v>
      </c>
      <c r="K20">
        <v>550</v>
      </c>
      <c r="L20">
        <v>0.92</v>
      </c>
    </row>
    <row r="21" spans="1:12" x14ac:dyDescent="0.25">
      <c r="A21" t="s">
        <v>12</v>
      </c>
      <c r="B21" t="s">
        <v>88</v>
      </c>
      <c r="C21" t="s">
        <v>89</v>
      </c>
      <c r="D21" t="s">
        <v>90</v>
      </c>
      <c r="E21" t="s">
        <v>75</v>
      </c>
      <c r="F21">
        <v>4</v>
      </c>
      <c r="G21">
        <v>52300</v>
      </c>
      <c r="H21">
        <v>72.5</v>
      </c>
      <c r="I21">
        <v>1800</v>
      </c>
      <c r="J21">
        <v>160</v>
      </c>
      <c r="K21">
        <v>1500</v>
      </c>
      <c r="L21">
        <v>1</v>
      </c>
    </row>
    <row r="22" spans="1:12" x14ac:dyDescent="0.25">
      <c r="A22" t="s">
        <v>12</v>
      </c>
      <c r="B22" t="s">
        <v>91</v>
      </c>
      <c r="C22" t="s">
        <v>92</v>
      </c>
      <c r="D22" t="s">
        <v>93</v>
      </c>
      <c r="E22" t="s">
        <v>75</v>
      </c>
      <c r="F22">
        <v>4</v>
      </c>
      <c r="G22">
        <v>43800</v>
      </c>
      <c r="H22">
        <v>71.5</v>
      </c>
      <c r="I22">
        <v>1700</v>
      </c>
      <c r="J22">
        <v>160</v>
      </c>
      <c r="K22">
        <v>1500</v>
      </c>
      <c r="L22">
        <v>1</v>
      </c>
    </row>
    <row r="23" spans="1:12" x14ac:dyDescent="0.25">
      <c r="A23" t="s">
        <v>12</v>
      </c>
      <c r="B23" t="s">
        <v>94</v>
      </c>
      <c r="C23" t="s">
        <v>95</v>
      </c>
      <c r="D23" t="s">
        <v>96</v>
      </c>
      <c r="E23" t="s">
        <v>75</v>
      </c>
      <c r="F23">
        <v>4</v>
      </c>
      <c r="G23">
        <v>40900</v>
      </c>
      <c r="H23">
        <v>72.400000000000006</v>
      </c>
      <c r="I23">
        <v>1600</v>
      </c>
      <c r="J23">
        <v>160</v>
      </c>
      <c r="K23">
        <v>1500</v>
      </c>
      <c r="L23">
        <v>1</v>
      </c>
    </row>
    <row r="24" spans="1:12" x14ac:dyDescent="0.25">
      <c r="A24" t="s">
        <v>17</v>
      </c>
      <c r="B24" t="s">
        <v>97</v>
      </c>
      <c r="C24" t="s">
        <v>98</v>
      </c>
      <c r="D24" t="s">
        <v>99</v>
      </c>
      <c r="E24" t="s">
        <v>75</v>
      </c>
      <c r="F24">
        <v>3</v>
      </c>
      <c r="G24">
        <v>31200</v>
      </c>
      <c r="H24">
        <v>69.8</v>
      </c>
      <c r="I24">
        <v>1100</v>
      </c>
      <c r="J24">
        <v>485</v>
      </c>
      <c r="K24">
        <v>800</v>
      </c>
      <c r="L24">
        <v>0.79</v>
      </c>
    </row>
    <row r="25" spans="1:12" x14ac:dyDescent="0.25">
      <c r="A25" t="s">
        <v>21</v>
      </c>
      <c r="B25" t="s">
        <v>100</v>
      </c>
      <c r="C25" t="s">
        <v>101</v>
      </c>
      <c r="D25" t="s">
        <v>102</v>
      </c>
      <c r="E25" t="s">
        <v>75</v>
      </c>
      <c r="F25">
        <v>4</v>
      </c>
      <c r="G25">
        <v>28900</v>
      </c>
      <c r="H25">
        <v>68.5</v>
      </c>
      <c r="I25">
        <v>1300</v>
      </c>
      <c r="J25">
        <v>235</v>
      </c>
      <c r="K25">
        <v>900</v>
      </c>
      <c r="L25">
        <v>1.35</v>
      </c>
    </row>
    <row r="26" spans="1:12" x14ac:dyDescent="0.25">
      <c r="A26" t="s">
        <v>103</v>
      </c>
      <c r="B26" t="s">
        <v>103</v>
      </c>
      <c r="C26" t="s">
        <v>104</v>
      </c>
      <c r="D26" t="s">
        <v>43</v>
      </c>
      <c r="E26" t="s">
        <v>75</v>
      </c>
      <c r="F26">
        <v>4</v>
      </c>
      <c r="G26">
        <v>22000</v>
      </c>
      <c r="H26">
        <v>78.599999999999994</v>
      </c>
      <c r="I26">
        <v>1500</v>
      </c>
      <c r="J26">
        <v>120</v>
      </c>
      <c r="K26">
        <v>600</v>
      </c>
      <c r="L26">
        <v>7.82</v>
      </c>
    </row>
    <row r="27" spans="1:12" x14ac:dyDescent="0.25">
      <c r="A27" t="s">
        <v>105</v>
      </c>
      <c r="B27" t="s">
        <v>106</v>
      </c>
      <c r="C27" t="s">
        <v>107</v>
      </c>
      <c r="D27" t="s">
        <v>108</v>
      </c>
      <c r="E27" t="s">
        <v>75</v>
      </c>
      <c r="F27">
        <v>3</v>
      </c>
      <c r="G27">
        <v>3500</v>
      </c>
      <c r="H27">
        <v>58.4</v>
      </c>
      <c r="I27">
        <v>800</v>
      </c>
      <c r="J27">
        <v>120</v>
      </c>
      <c r="K27">
        <v>450</v>
      </c>
      <c r="L27">
        <v>0.92</v>
      </c>
    </row>
    <row r="28" spans="1:12" x14ac:dyDescent="0.25">
      <c r="A28" t="s">
        <v>109</v>
      </c>
      <c r="B28" t="s">
        <v>110</v>
      </c>
      <c r="C28" t="s">
        <v>111</v>
      </c>
      <c r="D28" t="s">
        <v>15</v>
      </c>
      <c r="E28" t="s">
        <v>75</v>
      </c>
      <c r="F28">
        <v>3</v>
      </c>
      <c r="G28">
        <v>12000</v>
      </c>
      <c r="H28">
        <v>76.2</v>
      </c>
      <c r="I28">
        <v>1200</v>
      </c>
      <c r="J28">
        <v>150</v>
      </c>
      <c r="K28">
        <v>800</v>
      </c>
      <c r="L28">
        <v>3.72</v>
      </c>
    </row>
    <row r="29" spans="1:12" x14ac:dyDescent="0.25">
      <c r="A29" t="s">
        <v>112</v>
      </c>
      <c r="B29" t="s">
        <v>113</v>
      </c>
      <c r="C29" t="s">
        <v>114</v>
      </c>
      <c r="D29" t="s">
        <v>115</v>
      </c>
      <c r="E29" t="s">
        <v>75</v>
      </c>
      <c r="F29">
        <v>4</v>
      </c>
      <c r="G29">
        <v>5200</v>
      </c>
      <c r="H29">
        <v>62.8</v>
      </c>
      <c r="I29">
        <v>700</v>
      </c>
      <c r="J29">
        <v>140</v>
      </c>
      <c r="K29">
        <v>450</v>
      </c>
      <c r="L29">
        <v>31.2</v>
      </c>
    </row>
    <row r="30" spans="1:12" x14ac:dyDescent="0.25">
      <c r="A30" t="s">
        <v>116</v>
      </c>
      <c r="B30" t="s">
        <v>117</v>
      </c>
      <c r="C30" t="s">
        <v>118</v>
      </c>
      <c r="D30" t="s">
        <v>119</v>
      </c>
      <c r="E30" t="s">
        <v>75</v>
      </c>
      <c r="F30">
        <v>3</v>
      </c>
      <c r="G30">
        <v>9800</v>
      </c>
      <c r="H30">
        <v>54.6</v>
      </c>
      <c r="I30">
        <v>650</v>
      </c>
      <c r="J30">
        <v>100</v>
      </c>
      <c r="K30">
        <v>400</v>
      </c>
      <c r="L30">
        <v>22.5</v>
      </c>
    </row>
    <row r="31" spans="1:12" x14ac:dyDescent="0.25">
      <c r="A31" t="s">
        <v>12</v>
      </c>
      <c r="B31" t="s">
        <v>120</v>
      </c>
      <c r="C31" t="s">
        <v>121</v>
      </c>
      <c r="D31" t="s">
        <v>15</v>
      </c>
      <c r="E31" t="s">
        <v>1369</v>
      </c>
      <c r="F31">
        <v>5</v>
      </c>
      <c r="G31">
        <v>54200</v>
      </c>
      <c r="H31">
        <v>89.5</v>
      </c>
      <c r="I31">
        <v>2300</v>
      </c>
      <c r="J31">
        <v>160</v>
      </c>
      <c r="K31">
        <v>1500</v>
      </c>
      <c r="L31">
        <v>1</v>
      </c>
    </row>
    <row r="32" spans="1:12" x14ac:dyDescent="0.25">
      <c r="A32" t="s">
        <v>12</v>
      </c>
      <c r="B32" t="s">
        <v>122</v>
      </c>
      <c r="C32" t="s">
        <v>123</v>
      </c>
      <c r="D32" t="s">
        <v>124</v>
      </c>
      <c r="E32" t="s">
        <v>1369</v>
      </c>
      <c r="F32">
        <v>5</v>
      </c>
      <c r="G32">
        <v>53800</v>
      </c>
      <c r="H32">
        <v>83.2</v>
      </c>
      <c r="I32">
        <v>2200</v>
      </c>
      <c r="J32">
        <v>160</v>
      </c>
      <c r="K32">
        <v>1500</v>
      </c>
      <c r="L32">
        <v>1</v>
      </c>
    </row>
    <row r="33" spans="1:12" x14ac:dyDescent="0.25">
      <c r="A33" t="s">
        <v>17</v>
      </c>
      <c r="B33" t="s">
        <v>125</v>
      </c>
      <c r="C33" t="s">
        <v>126</v>
      </c>
      <c r="D33" t="s">
        <v>87</v>
      </c>
      <c r="E33" t="s">
        <v>1369</v>
      </c>
      <c r="F33">
        <v>4</v>
      </c>
      <c r="G33">
        <v>29800</v>
      </c>
      <c r="H33">
        <v>74.5</v>
      </c>
      <c r="I33">
        <v>1600</v>
      </c>
      <c r="J33">
        <v>485</v>
      </c>
      <c r="K33">
        <v>800</v>
      </c>
      <c r="L33">
        <v>0.79</v>
      </c>
    </row>
    <row r="34" spans="1:12" x14ac:dyDescent="0.25">
      <c r="A34" t="s">
        <v>17</v>
      </c>
      <c r="B34" t="s">
        <v>13</v>
      </c>
      <c r="C34" t="s">
        <v>127</v>
      </c>
      <c r="D34" t="s">
        <v>51</v>
      </c>
      <c r="E34" t="s">
        <v>1369</v>
      </c>
      <c r="F34">
        <v>4</v>
      </c>
      <c r="G34">
        <v>31200</v>
      </c>
      <c r="H34">
        <v>75.2</v>
      </c>
      <c r="I34">
        <v>1700</v>
      </c>
      <c r="J34">
        <v>485</v>
      </c>
      <c r="K34">
        <v>800</v>
      </c>
      <c r="L34">
        <v>0.79</v>
      </c>
    </row>
    <row r="35" spans="1:12" x14ac:dyDescent="0.25">
      <c r="A35" t="s">
        <v>29</v>
      </c>
      <c r="B35" t="s">
        <v>128</v>
      </c>
      <c r="C35" t="s">
        <v>129</v>
      </c>
      <c r="D35" t="s">
        <v>130</v>
      </c>
      <c r="E35" t="s">
        <v>1369</v>
      </c>
      <c r="F35">
        <v>3</v>
      </c>
      <c r="G35">
        <v>500</v>
      </c>
      <c r="H35">
        <v>68.400000000000006</v>
      </c>
      <c r="I35">
        <v>900</v>
      </c>
      <c r="J35">
        <v>75</v>
      </c>
      <c r="K35">
        <v>550</v>
      </c>
      <c r="L35">
        <v>0.92</v>
      </c>
    </row>
    <row r="36" spans="1:12" x14ac:dyDescent="0.25">
      <c r="A36" t="s">
        <v>48</v>
      </c>
      <c r="B36" t="s">
        <v>131</v>
      </c>
      <c r="C36" t="s">
        <v>132</v>
      </c>
      <c r="D36" t="s">
        <v>133</v>
      </c>
      <c r="E36" t="s">
        <v>1369</v>
      </c>
      <c r="F36">
        <v>4</v>
      </c>
      <c r="G36">
        <v>1500</v>
      </c>
      <c r="H36">
        <v>88.6</v>
      </c>
      <c r="I36">
        <v>1800</v>
      </c>
      <c r="J36">
        <v>88</v>
      </c>
      <c r="K36">
        <v>1200</v>
      </c>
      <c r="L36">
        <v>0.89</v>
      </c>
    </row>
    <row r="37" spans="1:12" x14ac:dyDescent="0.25">
      <c r="A37" t="s">
        <v>37</v>
      </c>
      <c r="B37" t="s">
        <v>134</v>
      </c>
      <c r="C37" t="s">
        <v>135</v>
      </c>
      <c r="D37" t="s">
        <v>136</v>
      </c>
      <c r="E37" t="s">
        <v>1369</v>
      </c>
      <c r="F37">
        <v>4</v>
      </c>
      <c r="G37">
        <v>4800</v>
      </c>
      <c r="H37">
        <v>71.8</v>
      </c>
      <c r="I37">
        <v>1200</v>
      </c>
      <c r="J37">
        <v>180</v>
      </c>
      <c r="K37">
        <v>720</v>
      </c>
      <c r="L37">
        <v>0.92</v>
      </c>
    </row>
    <row r="38" spans="1:12" x14ac:dyDescent="0.25">
      <c r="A38" t="s">
        <v>41</v>
      </c>
      <c r="B38" t="s">
        <v>41</v>
      </c>
      <c r="C38" t="s">
        <v>137</v>
      </c>
      <c r="D38" t="s">
        <v>20</v>
      </c>
      <c r="E38" t="s">
        <v>1369</v>
      </c>
      <c r="F38">
        <v>4</v>
      </c>
      <c r="G38">
        <v>8900</v>
      </c>
      <c r="H38">
        <v>81.5</v>
      </c>
      <c r="I38">
        <v>1600</v>
      </c>
      <c r="J38">
        <v>90</v>
      </c>
      <c r="K38">
        <v>800</v>
      </c>
      <c r="L38">
        <v>1.34</v>
      </c>
    </row>
    <row r="39" spans="1:12" x14ac:dyDescent="0.25">
      <c r="A39" t="s">
        <v>21</v>
      </c>
      <c r="B39" t="s">
        <v>138</v>
      </c>
      <c r="C39" t="s">
        <v>139</v>
      </c>
      <c r="D39" t="s">
        <v>140</v>
      </c>
      <c r="E39" t="s">
        <v>1369</v>
      </c>
      <c r="F39">
        <v>4</v>
      </c>
      <c r="G39">
        <v>21500</v>
      </c>
      <c r="H39">
        <v>69.8</v>
      </c>
      <c r="I39">
        <v>1300</v>
      </c>
      <c r="J39">
        <v>235</v>
      </c>
      <c r="K39">
        <v>900</v>
      </c>
      <c r="L39">
        <v>1.35</v>
      </c>
    </row>
    <row r="40" spans="1:12" x14ac:dyDescent="0.25">
      <c r="A40" t="s">
        <v>25</v>
      </c>
      <c r="B40" t="s">
        <v>141</v>
      </c>
      <c r="C40" t="s">
        <v>142</v>
      </c>
      <c r="D40" t="s">
        <v>143</v>
      </c>
      <c r="E40" t="s">
        <v>1369</v>
      </c>
      <c r="F40">
        <v>4</v>
      </c>
      <c r="G40">
        <v>29800</v>
      </c>
      <c r="H40">
        <v>70.2</v>
      </c>
      <c r="I40">
        <v>1400</v>
      </c>
      <c r="J40">
        <v>450</v>
      </c>
      <c r="K40">
        <v>650</v>
      </c>
      <c r="L40">
        <v>1.52</v>
      </c>
    </row>
    <row r="41" spans="1:12" x14ac:dyDescent="0.25">
      <c r="A41" t="s">
        <v>52</v>
      </c>
      <c r="B41" t="s">
        <v>144</v>
      </c>
      <c r="C41" t="s">
        <v>145</v>
      </c>
      <c r="D41" t="s">
        <v>146</v>
      </c>
      <c r="E41" t="s">
        <v>1369</v>
      </c>
      <c r="F41">
        <v>4</v>
      </c>
      <c r="G41">
        <v>0</v>
      </c>
      <c r="H41">
        <v>69.5</v>
      </c>
      <c r="I41">
        <v>1000</v>
      </c>
      <c r="J41">
        <v>110</v>
      </c>
      <c r="K41">
        <v>400</v>
      </c>
      <c r="L41">
        <v>10.45</v>
      </c>
    </row>
    <row r="42" spans="1:12" x14ac:dyDescent="0.25">
      <c r="A42" t="s">
        <v>12</v>
      </c>
      <c r="B42" t="s">
        <v>147</v>
      </c>
      <c r="C42" t="s">
        <v>148</v>
      </c>
      <c r="D42" t="s">
        <v>15</v>
      </c>
      <c r="E42" t="s">
        <v>75</v>
      </c>
      <c r="F42">
        <v>4</v>
      </c>
      <c r="G42">
        <v>44200</v>
      </c>
      <c r="H42">
        <v>79.5</v>
      </c>
      <c r="I42">
        <v>1900</v>
      </c>
      <c r="J42">
        <v>160</v>
      </c>
      <c r="K42">
        <v>1500</v>
      </c>
      <c r="L42">
        <v>1</v>
      </c>
    </row>
    <row r="43" spans="1:12" x14ac:dyDescent="0.25">
      <c r="A43" t="s">
        <v>12</v>
      </c>
      <c r="B43" t="s">
        <v>149</v>
      </c>
      <c r="C43" t="s">
        <v>150</v>
      </c>
      <c r="D43" t="s">
        <v>15</v>
      </c>
      <c r="E43" t="s">
        <v>16</v>
      </c>
      <c r="F43">
        <v>2</v>
      </c>
      <c r="G43">
        <v>38900</v>
      </c>
      <c r="H43">
        <v>83.4</v>
      </c>
      <c r="I43">
        <v>2000</v>
      </c>
      <c r="J43">
        <v>160</v>
      </c>
      <c r="K43">
        <v>1500</v>
      </c>
      <c r="L43">
        <v>1</v>
      </c>
    </row>
    <row r="44" spans="1:12" x14ac:dyDescent="0.25">
      <c r="A44" t="s">
        <v>21</v>
      </c>
      <c r="B44" t="s">
        <v>151</v>
      </c>
      <c r="C44" t="s">
        <v>152</v>
      </c>
      <c r="D44" t="s">
        <v>15</v>
      </c>
      <c r="E44" t="s">
        <v>1369</v>
      </c>
      <c r="F44">
        <v>4</v>
      </c>
      <c r="G44">
        <v>22800</v>
      </c>
      <c r="H44">
        <v>67.8</v>
      </c>
      <c r="I44">
        <v>1200</v>
      </c>
      <c r="J44">
        <v>235</v>
      </c>
      <c r="K44">
        <v>900</v>
      </c>
      <c r="L44">
        <v>1.35</v>
      </c>
    </row>
    <row r="45" spans="1:12" x14ac:dyDescent="0.25">
      <c r="A45" t="s">
        <v>17</v>
      </c>
      <c r="B45" t="s">
        <v>153</v>
      </c>
      <c r="C45" t="s">
        <v>154</v>
      </c>
      <c r="D45" t="s">
        <v>15</v>
      </c>
      <c r="E45" t="s">
        <v>16</v>
      </c>
      <c r="F45">
        <v>1</v>
      </c>
      <c r="G45">
        <v>33500</v>
      </c>
      <c r="H45">
        <v>67.5</v>
      </c>
      <c r="I45">
        <v>1100</v>
      </c>
      <c r="J45">
        <v>485</v>
      </c>
      <c r="K45">
        <v>800</v>
      </c>
      <c r="L45">
        <v>0.79</v>
      </c>
    </row>
    <row r="46" spans="1:12" x14ac:dyDescent="0.25">
      <c r="A46" t="s">
        <v>155</v>
      </c>
      <c r="B46" t="s">
        <v>156</v>
      </c>
      <c r="C46" t="s">
        <v>157</v>
      </c>
      <c r="D46" t="s">
        <v>15</v>
      </c>
      <c r="E46" t="s">
        <v>16</v>
      </c>
      <c r="F46">
        <v>2</v>
      </c>
      <c r="G46">
        <v>2500</v>
      </c>
      <c r="H46">
        <v>45.6</v>
      </c>
      <c r="I46">
        <v>500</v>
      </c>
      <c r="J46">
        <v>200</v>
      </c>
      <c r="K46">
        <v>300</v>
      </c>
      <c r="L46">
        <v>83.2</v>
      </c>
    </row>
    <row r="47" spans="1:12" x14ac:dyDescent="0.25">
      <c r="A47" t="s">
        <v>56</v>
      </c>
      <c r="B47" t="s">
        <v>158</v>
      </c>
      <c r="C47" t="s">
        <v>159</v>
      </c>
      <c r="D47" t="s">
        <v>15</v>
      </c>
      <c r="E47" t="s">
        <v>75</v>
      </c>
      <c r="F47">
        <v>3</v>
      </c>
      <c r="G47">
        <v>0</v>
      </c>
      <c r="H47">
        <v>69.8</v>
      </c>
      <c r="I47">
        <v>900</v>
      </c>
      <c r="J47">
        <v>120</v>
      </c>
      <c r="K47">
        <v>450</v>
      </c>
      <c r="L47">
        <v>6.92</v>
      </c>
    </row>
    <row r="48" spans="1:12" x14ac:dyDescent="0.25">
      <c r="A48" t="s">
        <v>160</v>
      </c>
      <c r="B48" t="s">
        <v>161</v>
      </c>
      <c r="C48" t="s">
        <v>162</v>
      </c>
      <c r="D48" t="s">
        <v>15</v>
      </c>
      <c r="E48" t="s">
        <v>16</v>
      </c>
      <c r="F48">
        <v>2</v>
      </c>
      <c r="G48">
        <v>3800</v>
      </c>
      <c r="H48">
        <v>51.2</v>
      </c>
      <c r="I48">
        <v>650</v>
      </c>
      <c r="J48">
        <v>80</v>
      </c>
      <c r="K48">
        <v>350</v>
      </c>
      <c r="L48">
        <v>4.0199999999999996</v>
      </c>
    </row>
    <row r="49" spans="1:12" x14ac:dyDescent="0.25">
      <c r="A49" t="s">
        <v>68</v>
      </c>
      <c r="B49" t="s">
        <v>163</v>
      </c>
      <c r="C49" t="s">
        <v>164</v>
      </c>
      <c r="D49" t="s">
        <v>15</v>
      </c>
      <c r="E49" t="s">
        <v>75</v>
      </c>
      <c r="F49">
        <v>4</v>
      </c>
      <c r="G49">
        <v>25800</v>
      </c>
      <c r="H49">
        <v>68.5</v>
      </c>
      <c r="I49">
        <v>1100</v>
      </c>
      <c r="J49">
        <v>150</v>
      </c>
      <c r="K49">
        <v>650</v>
      </c>
      <c r="L49">
        <v>0.92</v>
      </c>
    </row>
    <row r="50" spans="1:12" x14ac:dyDescent="0.25">
      <c r="A50" t="s">
        <v>64</v>
      </c>
      <c r="B50" t="s">
        <v>165</v>
      </c>
      <c r="C50" t="s">
        <v>166</v>
      </c>
      <c r="D50" t="s">
        <v>15</v>
      </c>
      <c r="E50" t="s">
        <v>1369</v>
      </c>
      <c r="F50">
        <v>4</v>
      </c>
      <c r="G50">
        <v>6900</v>
      </c>
      <c r="H50">
        <v>65.400000000000006</v>
      </c>
      <c r="I50">
        <v>700</v>
      </c>
      <c r="J50">
        <v>130</v>
      </c>
      <c r="K50">
        <v>500</v>
      </c>
      <c r="L50">
        <v>1320.5</v>
      </c>
    </row>
    <row r="51" spans="1:12" x14ac:dyDescent="0.25">
      <c r="A51" t="s">
        <v>167</v>
      </c>
      <c r="B51" t="s">
        <v>168</v>
      </c>
      <c r="C51" t="s">
        <v>169</v>
      </c>
      <c r="D51" t="s">
        <v>15</v>
      </c>
      <c r="E51" t="s">
        <v>75</v>
      </c>
      <c r="F51">
        <v>4</v>
      </c>
      <c r="G51">
        <v>4800</v>
      </c>
      <c r="H51">
        <v>48.2</v>
      </c>
      <c r="I51">
        <v>500</v>
      </c>
      <c r="J51">
        <v>110</v>
      </c>
      <c r="K51">
        <v>300</v>
      </c>
      <c r="L51">
        <v>4.72</v>
      </c>
    </row>
    <row r="52" spans="1:12" x14ac:dyDescent="0.25">
      <c r="A52" t="s">
        <v>12</v>
      </c>
      <c r="B52" t="s">
        <v>170</v>
      </c>
      <c r="C52" t="s">
        <v>171</v>
      </c>
      <c r="D52" t="s">
        <v>15</v>
      </c>
      <c r="E52" t="s">
        <v>75</v>
      </c>
      <c r="F52">
        <v>4</v>
      </c>
      <c r="G52">
        <v>44900</v>
      </c>
      <c r="H52">
        <v>84.2</v>
      </c>
      <c r="I52">
        <v>2100</v>
      </c>
      <c r="J52">
        <v>160</v>
      </c>
      <c r="K52">
        <v>1500</v>
      </c>
      <c r="L52">
        <v>1</v>
      </c>
    </row>
    <row r="53" spans="1:12" x14ac:dyDescent="0.25">
      <c r="A53" t="s">
        <v>17</v>
      </c>
      <c r="B53" t="s">
        <v>172</v>
      </c>
      <c r="C53" t="s">
        <v>173</v>
      </c>
      <c r="D53" t="s">
        <v>174</v>
      </c>
      <c r="E53" t="s">
        <v>75</v>
      </c>
      <c r="F53">
        <v>3</v>
      </c>
      <c r="G53">
        <v>32000</v>
      </c>
      <c r="H53">
        <v>68.400000000000006</v>
      </c>
      <c r="I53">
        <v>1200</v>
      </c>
      <c r="J53">
        <v>485</v>
      </c>
      <c r="K53">
        <v>800</v>
      </c>
      <c r="L53">
        <v>0.79</v>
      </c>
    </row>
    <row r="54" spans="1:12" x14ac:dyDescent="0.25">
      <c r="A54" t="s">
        <v>21</v>
      </c>
      <c r="B54" t="s">
        <v>175</v>
      </c>
      <c r="C54" t="s">
        <v>176</v>
      </c>
      <c r="D54" t="s">
        <v>177</v>
      </c>
      <c r="E54" t="s">
        <v>75</v>
      </c>
      <c r="F54">
        <v>4</v>
      </c>
      <c r="G54">
        <v>31200</v>
      </c>
      <c r="H54">
        <v>71.2</v>
      </c>
      <c r="I54">
        <v>1700</v>
      </c>
      <c r="J54">
        <v>235</v>
      </c>
      <c r="K54">
        <v>900</v>
      </c>
      <c r="L54">
        <v>1.35</v>
      </c>
    </row>
    <row r="55" spans="1:12" x14ac:dyDescent="0.25">
      <c r="A55" t="s">
        <v>25</v>
      </c>
      <c r="B55" t="s">
        <v>178</v>
      </c>
      <c r="C55" t="s">
        <v>179</v>
      </c>
      <c r="D55" t="s">
        <v>74</v>
      </c>
      <c r="E55" t="s">
        <v>75</v>
      </c>
      <c r="F55">
        <v>3</v>
      </c>
      <c r="G55">
        <v>35000</v>
      </c>
      <c r="H55">
        <v>72.8</v>
      </c>
      <c r="I55">
        <v>1600</v>
      </c>
      <c r="J55">
        <v>450</v>
      </c>
      <c r="K55">
        <v>650</v>
      </c>
      <c r="L55">
        <v>1.52</v>
      </c>
    </row>
    <row r="56" spans="1:12" x14ac:dyDescent="0.25">
      <c r="A56" t="s">
        <v>29</v>
      </c>
      <c r="B56" t="s">
        <v>180</v>
      </c>
      <c r="C56" t="s">
        <v>181</v>
      </c>
      <c r="D56" t="s">
        <v>182</v>
      </c>
      <c r="E56" t="s">
        <v>75</v>
      </c>
      <c r="F56">
        <v>3</v>
      </c>
      <c r="G56">
        <v>0</v>
      </c>
      <c r="H56">
        <v>65.2</v>
      </c>
      <c r="I56">
        <v>900</v>
      </c>
      <c r="J56">
        <v>75</v>
      </c>
      <c r="K56">
        <v>550</v>
      </c>
      <c r="L56">
        <v>0.92</v>
      </c>
    </row>
    <row r="57" spans="1:12" x14ac:dyDescent="0.25">
      <c r="A57" t="s">
        <v>183</v>
      </c>
      <c r="B57" t="s">
        <v>184</v>
      </c>
      <c r="C57" t="s">
        <v>185</v>
      </c>
      <c r="D57" t="s">
        <v>108</v>
      </c>
      <c r="E57" t="s">
        <v>75</v>
      </c>
      <c r="F57">
        <v>4</v>
      </c>
      <c r="G57">
        <v>2800</v>
      </c>
      <c r="H57">
        <v>62.4</v>
      </c>
      <c r="I57">
        <v>950</v>
      </c>
      <c r="J57">
        <v>160</v>
      </c>
      <c r="K57">
        <v>500</v>
      </c>
      <c r="L57">
        <v>0.92</v>
      </c>
    </row>
    <row r="58" spans="1:12" x14ac:dyDescent="0.25">
      <c r="A58" t="s">
        <v>186</v>
      </c>
      <c r="B58" t="s">
        <v>187</v>
      </c>
      <c r="C58" t="s">
        <v>188</v>
      </c>
      <c r="D58" t="s">
        <v>189</v>
      </c>
      <c r="E58" t="s">
        <v>75</v>
      </c>
      <c r="F58">
        <v>3</v>
      </c>
      <c r="G58">
        <v>4200</v>
      </c>
      <c r="H58">
        <v>63.8</v>
      </c>
      <c r="I58">
        <v>1100</v>
      </c>
      <c r="J58">
        <v>120</v>
      </c>
      <c r="K58">
        <v>650</v>
      </c>
      <c r="L58">
        <v>0.92</v>
      </c>
    </row>
    <row r="59" spans="1:12" x14ac:dyDescent="0.25">
      <c r="A59" t="s">
        <v>37</v>
      </c>
      <c r="B59" t="s">
        <v>190</v>
      </c>
      <c r="C59" t="s">
        <v>191</v>
      </c>
      <c r="D59" t="s">
        <v>174</v>
      </c>
      <c r="E59" t="s">
        <v>75</v>
      </c>
      <c r="F59">
        <v>3</v>
      </c>
      <c r="G59">
        <v>11200</v>
      </c>
      <c r="H59">
        <v>71.5</v>
      </c>
      <c r="I59">
        <v>1300</v>
      </c>
      <c r="J59">
        <v>180</v>
      </c>
      <c r="K59">
        <v>720</v>
      </c>
      <c r="L59">
        <v>0.92</v>
      </c>
    </row>
    <row r="60" spans="1:12" x14ac:dyDescent="0.25">
      <c r="A60" t="s">
        <v>192</v>
      </c>
      <c r="B60" t="s">
        <v>193</v>
      </c>
      <c r="C60" t="s">
        <v>194</v>
      </c>
      <c r="D60" t="s">
        <v>15</v>
      </c>
      <c r="E60" t="s">
        <v>75</v>
      </c>
      <c r="F60">
        <v>3</v>
      </c>
      <c r="G60">
        <v>0</v>
      </c>
      <c r="H60">
        <v>70.2</v>
      </c>
      <c r="I60">
        <v>1100</v>
      </c>
      <c r="J60">
        <v>120</v>
      </c>
      <c r="K60">
        <v>400</v>
      </c>
      <c r="L60">
        <v>0.92</v>
      </c>
    </row>
    <row r="61" spans="1:12" x14ac:dyDescent="0.25">
      <c r="A61" t="s">
        <v>195</v>
      </c>
      <c r="B61" t="s">
        <v>196</v>
      </c>
      <c r="C61" t="s">
        <v>197</v>
      </c>
      <c r="D61" t="s">
        <v>198</v>
      </c>
      <c r="E61" t="s">
        <v>75</v>
      </c>
      <c r="F61">
        <v>3</v>
      </c>
      <c r="G61">
        <v>0</v>
      </c>
      <c r="H61">
        <v>75.599999999999994</v>
      </c>
      <c r="I61">
        <v>1400</v>
      </c>
      <c r="J61">
        <v>135</v>
      </c>
      <c r="K61">
        <v>450</v>
      </c>
      <c r="L61">
        <v>10.45</v>
      </c>
    </row>
    <row r="62" spans="1:12" x14ac:dyDescent="0.25">
      <c r="A62" t="s">
        <v>33</v>
      </c>
      <c r="B62" t="s">
        <v>199</v>
      </c>
      <c r="C62" t="s">
        <v>200</v>
      </c>
      <c r="D62" t="s">
        <v>28</v>
      </c>
      <c r="E62" t="s">
        <v>75</v>
      </c>
      <c r="F62">
        <v>4</v>
      </c>
      <c r="G62">
        <v>6800</v>
      </c>
      <c r="H62">
        <v>71.2</v>
      </c>
      <c r="I62">
        <v>900</v>
      </c>
      <c r="J62">
        <v>220</v>
      </c>
      <c r="K62">
        <v>750</v>
      </c>
      <c r="L62">
        <v>145.80000000000001</v>
      </c>
    </row>
    <row r="63" spans="1:12" x14ac:dyDescent="0.25">
      <c r="A63" t="s">
        <v>33</v>
      </c>
      <c r="B63" t="s">
        <v>201</v>
      </c>
      <c r="C63" t="s">
        <v>202</v>
      </c>
      <c r="D63" t="s">
        <v>15</v>
      </c>
      <c r="E63" t="s">
        <v>16</v>
      </c>
      <c r="F63">
        <v>2</v>
      </c>
      <c r="G63">
        <v>8500</v>
      </c>
      <c r="H63">
        <v>71.8</v>
      </c>
      <c r="I63">
        <v>900</v>
      </c>
      <c r="J63">
        <v>220</v>
      </c>
      <c r="K63">
        <v>750</v>
      </c>
      <c r="L63">
        <v>145.80000000000001</v>
      </c>
    </row>
    <row r="64" spans="1:12" x14ac:dyDescent="0.25">
      <c r="A64" t="s">
        <v>33</v>
      </c>
      <c r="B64" t="s">
        <v>203</v>
      </c>
      <c r="C64" t="s">
        <v>204</v>
      </c>
      <c r="D64" t="s">
        <v>36</v>
      </c>
      <c r="E64" t="s">
        <v>75</v>
      </c>
      <c r="F64">
        <v>4</v>
      </c>
      <c r="G64">
        <v>7800</v>
      </c>
      <c r="H64">
        <v>68.5</v>
      </c>
      <c r="I64">
        <v>750</v>
      </c>
      <c r="J64">
        <v>220</v>
      </c>
      <c r="K64">
        <v>750</v>
      </c>
      <c r="L64">
        <v>145.80000000000001</v>
      </c>
    </row>
    <row r="65" spans="1:12" x14ac:dyDescent="0.25">
      <c r="A65" t="s">
        <v>33</v>
      </c>
      <c r="B65" t="s">
        <v>205</v>
      </c>
      <c r="C65" t="s">
        <v>206</v>
      </c>
      <c r="D65" t="s">
        <v>207</v>
      </c>
      <c r="E65" t="s">
        <v>16</v>
      </c>
      <c r="F65">
        <v>2</v>
      </c>
      <c r="G65">
        <v>8200</v>
      </c>
      <c r="H65">
        <v>65.400000000000006</v>
      </c>
      <c r="I65">
        <v>650</v>
      </c>
      <c r="J65">
        <v>220</v>
      </c>
      <c r="K65">
        <v>750</v>
      </c>
      <c r="L65">
        <v>145.80000000000001</v>
      </c>
    </row>
    <row r="66" spans="1:12" x14ac:dyDescent="0.25">
      <c r="A66" t="s">
        <v>33</v>
      </c>
      <c r="B66" t="s">
        <v>208</v>
      </c>
      <c r="C66" t="s">
        <v>209</v>
      </c>
      <c r="D66" t="s">
        <v>63</v>
      </c>
      <c r="E66" t="s">
        <v>75</v>
      </c>
      <c r="F66">
        <v>4</v>
      </c>
      <c r="G66">
        <v>7500</v>
      </c>
      <c r="H66">
        <v>64.8</v>
      </c>
      <c r="I66">
        <v>600</v>
      </c>
      <c r="J66">
        <v>220</v>
      </c>
      <c r="K66">
        <v>750</v>
      </c>
      <c r="L66">
        <v>145.80000000000001</v>
      </c>
    </row>
    <row r="67" spans="1:12" x14ac:dyDescent="0.25">
      <c r="A67" t="s">
        <v>33</v>
      </c>
      <c r="B67" t="s">
        <v>210</v>
      </c>
      <c r="C67" t="s">
        <v>211</v>
      </c>
      <c r="D67" t="s">
        <v>20</v>
      </c>
      <c r="E67" t="s">
        <v>16</v>
      </c>
      <c r="F67">
        <v>2</v>
      </c>
      <c r="G67">
        <v>8100</v>
      </c>
      <c r="H67">
        <v>63.5</v>
      </c>
      <c r="I67">
        <v>550</v>
      </c>
      <c r="J67">
        <v>220</v>
      </c>
      <c r="K67">
        <v>750</v>
      </c>
      <c r="L67">
        <v>145.80000000000001</v>
      </c>
    </row>
    <row r="68" spans="1:12" x14ac:dyDescent="0.25">
      <c r="A68" t="s">
        <v>33</v>
      </c>
      <c r="B68" t="s">
        <v>34</v>
      </c>
      <c r="C68" t="s">
        <v>212</v>
      </c>
      <c r="D68" t="s">
        <v>40</v>
      </c>
      <c r="E68" t="s">
        <v>1369</v>
      </c>
      <c r="F68">
        <v>3</v>
      </c>
      <c r="G68">
        <v>8900</v>
      </c>
      <c r="H68">
        <v>76.400000000000006</v>
      </c>
      <c r="I68">
        <v>1100</v>
      </c>
      <c r="J68">
        <v>220</v>
      </c>
      <c r="K68">
        <v>750</v>
      </c>
      <c r="L68">
        <v>145.80000000000001</v>
      </c>
    </row>
    <row r="69" spans="1:12" x14ac:dyDescent="0.25">
      <c r="A69" t="s">
        <v>33</v>
      </c>
      <c r="B69" t="s">
        <v>213</v>
      </c>
      <c r="C69" t="s">
        <v>214</v>
      </c>
      <c r="D69" t="s">
        <v>215</v>
      </c>
      <c r="E69" t="s">
        <v>75</v>
      </c>
      <c r="F69">
        <v>4</v>
      </c>
      <c r="G69">
        <v>7200</v>
      </c>
      <c r="H69">
        <v>64.2</v>
      </c>
      <c r="I69">
        <v>600</v>
      </c>
      <c r="J69">
        <v>220</v>
      </c>
      <c r="K69">
        <v>750</v>
      </c>
      <c r="L69">
        <v>145.80000000000001</v>
      </c>
    </row>
    <row r="70" spans="1:12" x14ac:dyDescent="0.25">
      <c r="A70" t="s">
        <v>33</v>
      </c>
      <c r="B70" t="s">
        <v>216</v>
      </c>
      <c r="C70" t="s">
        <v>217</v>
      </c>
      <c r="D70" t="s">
        <v>15</v>
      </c>
      <c r="E70" t="s">
        <v>16</v>
      </c>
      <c r="F70">
        <v>2</v>
      </c>
      <c r="G70">
        <v>7900</v>
      </c>
      <c r="H70">
        <v>67.8</v>
      </c>
      <c r="I70">
        <v>700</v>
      </c>
      <c r="J70">
        <v>220</v>
      </c>
      <c r="K70">
        <v>750</v>
      </c>
      <c r="L70">
        <v>145.80000000000001</v>
      </c>
    </row>
    <row r="71" spans="1:12" x14ac:dyDescent="0.25">
      <c r="A71" t="s">
        <v>33</v>
      </c>
      <c r="B71" t="s">
        <v>218</v>
      </c>
      <c r="C71" t="s">
        <v>219</v>
      </c>
      <c r="D71" t="s">
        <v>207</v>
      </c>
      <c r="E71" t="s">
        <v>75</v>
      </c>
      <c r="F71">
        <v>4</v>
      </c>
      <c r="G71">
        <v>7100</v>
      </c>
      <c r="H71">
        <v>62.5</v>
      </c>
      <c r="I71">
        <v>500</v>
      </c>
      <c r="J71">
        <v>220</v>
      </c>
      <c r="K71">
        <v>750</v>
      </c>
      <c r="L71">
        <v>145.80000000000001</v>
      </c>
    </row>
    <row r="72" spans="1:12" x14ac:dyDescent="0.25">
      <c r="A72" t="s">
        <v>33</v>
      </c>
      <c r="B72" t="s">
        <v>220</v>
      </c>
      <c r="C72" t="s">
        <v>221</v>
      </c>
      <c r="D72" t="s">
        <v>222</v>
      </c>
      <c r="E72" t="s">
        <v>16</v>
      </c>
      <c r="F72">
        <v>2</v>
      </c>
      <c r="G72">
        <v>7600</v>
      </c>
      <c r="H72">
        <v>63.8</v>
      </c>
      <c r="I72">
        <v>550</v>
      </c>
      <c r="J72">
        <v>220</v>
      </c>
      <c r="K72">
        <v>750</v>
      </c>
      <c r="L72">
        <v>145.80000000000001</v>
      </c>
    </row>
    <row r="73" spans="1:12" x14ac:dyDescent="0.25">
      <c r="A73" t="s">
        <v>25</v>
      </c>
      <c r="B73" t="s">
        <v>223</v>
      </c>
      <c r="C73" t="s">
        <v>224</v>
      </c>
      <c r="D73" t="s">
        <v>15</v>
      </c>
      <c r="E73" t="s">
        <v>75</v>
      </c>
      <c r="F73">
        <v>3</v>
      </c>
      <c r="G73">
        <v>32800</v>
      </c>
      <c r="H73">
        <v>68.5</v>
      </c>
      <c r="I73">
        <v>1100</v>
      </c>
      <c r="J73">
        <v>450</v>
      </c>
      <c r="K73">
        <v>650</v>
      </c>
      <c r="L73">
        <v>1.52</v>
      </c>
    </row>
    <row r="74" spans="1:12" x14ac:dyDescent="0.25">
      <c r="A74" t="s">
        <v>25</v>
      </c>
      <c r="B74" t="s">
        <v>225</v>
      </c>
      <c r="C74" t="s">
        <v>226</v>
      </c>
      <c r="D74" t="s">
        <v>207</v>
      </c>
      <c r="E74" t="s">
        <v>16</v>
      </c>
      <c r="F74">
        <v>2</v>
      </c>
      <c r="G74">
        <v>34500</v>
      </c>
      <c r="H74">
        <v>69.8</v>
      </c>
      <c r="I74">
        <v>1200</v>
      </c>
      <c r="J74">
        <v>450</v>
      </c>
      <c r="K74">
        <v>650</v>
      </c>
      <c r="L74">
        <v>1.52</v>
      </c>
    </row>
    <row r="75" spans="1:12" x14ac:dyDescent="0.25">
      <c r="A75" t="s">
        <v>25</v>
      </c>
      <c r="B75" t="s">
        <v>227</v>
      </c>
      <c r="C75" t="s">
        <v>228</v>
      </c>
      <c r="D75" t="s">
        <v>222</v>
      </c>
      <c r="E75" t="s">
        <v>75</v>
      </c>
      <c r="F75">
        <v>3</v>
      </c>
      <c r="G75">
        <v>31200</v>
      </c>
      <c r="H75">
        <v>67.5</v>
      </c>
      <c r="I75">
        <v>1100</v>
      </c>
      <c r="J75">
        <v>450</v>
      </c>
      <c r="K75">
        <v>650</v>
      </c>
      <c r="L75">
        <v>1.52</v>
      </c>
    </row>
    <row r="76" spans="1:12" x14ac:dyDescent="0.25">
      <c r="A76" t="s">
        <v>25</v>
      </c>
      <c r="B76" t="s">
        <v>229</v>
      </c>
      <c r="C76" t="s">
        <v>230</v>
      </c>
      <c r="D76" t="s">
        <v>20</v>
      </c>
      <c r="E76" t="s">
        <v>16</v>
      </c>
      <c r="F76">
        <v>2</v>
      </c>
      <c r="G76">
        <v>30800</v>
      </c>
      <c r="H76">
        <v>65.400000000000006</v>
      </c>
      <c r="I76">
        <v>950</v>
      </c>
      <c r="J76">
        <v>450</v>
      </c>
      <c r="K76">
        <v>650</v>
      </c>
      <c r="L76">
        <v>1.52</v>
      </c>
    </row>
    <row r="77" spans="1:12" x14ac:dyDescent="0.25">
      <c r="A77" t="s">
        <v>25</v>
      </c>
      <c r="B77" t="s">
        <v>231</v>
      </c>
      <c r="C77" t="s">
        <v>232</v>
      </c>
      <c r="D77" t="s">
        <v>63</v>
      </c>
      <c r="E77" t="s">
        <v>75</v>
      </c>
      <c r="F77">
        <v>4</v>
      </c>
      <c r="G77">
        <v>31500</v>
      </c>
      <c r="H77">
        <v>66.8</v>
      </c>
      <c r="I77">
        <v>1000</v>
      </c>
      <c r="J77">
        <v>450</v>
      </c>
      <c r="K77">
        <v>650</v>
      </c>
      <c r="L77">
        <v>1.52</v>
      </c>
    </row>
    <row r="78" spans="1:12" x14ac:dyDescent="0.25">
      <c r="A78" t="s">
        <v>25</v>
      </c>
      <c r="B78" t="s">
        <v>233</v>
      </c>
      <c r="C78" t="s">
        <v>234</v>
      </c>
      <c r="D78" t="s">
        <v>40</v>
      </c>
      <c r="E78" t="s">
        <v>16</v>
      </c>
      <c r="F78">
        <v>2</v>
      </c>
      <c r="G78">
        <v>32900</v>
      </c>
      <c r="H78">
        <v>67.2</v>
      </c>
      <c r="I78">
        <v>1050</v>
      </c>
      <c r="J78">
        <v>450</v>
      </c>
      <c r="K78">
        <v>650</v>
      </c>
      <c r="L78">
        <v>1.52</v>
      </c>
    </row>
    <row r="79" spans="1:12" x14ac:dyDescent="0.25">
      <c r="A79" t="s">
        <v>25</v>
      </c>
      <c r="B79" t="s">
        <v>235</v>
      </c>
      <c r="C79" t="s">
        <v>236</v>
      </c>
      <c r="D79" t="s">
        <v>215</v>
      </c>
      <c r="E79" t="s">
        <v>75</v>
      </c>
      <c r="F79">
        <v>3</v>
      </c>
      <c r="G79">
        <v>29800</v>
      </c>
      <c r="H79">
        <v>64.5</v>
      </c>
      <c r="I79">
        <v>900</v>
      </c>
      <c r="J79">
        <v>450</v>
      </c>
      <c r="K79">
        <v>650</v>
      </c>
      <c r="L79">
        <v>1.52</v>
      </c>
    </row>
    <row r="80" spans="1:12" x14ac:dyDescent="0.25">
      <c r="A80" t="s">
        <v>25</v>
      </c>
      <c r="B80" t="s">
        <v>237</v>
      </c>
      <c r="C80" t="s">
        <v>238</v>
      </c>
      <c r="D80" t="s">
        <v>71</v>
      </c>
      <c r="E80" t="s">
        <v>16</v>
      </c>
      <c r="F80">
        <v>2</v>
      </c>
      <c r="G80">
        <v>31200</v>
      </c>
      <c r="H80">
        <v>65.8</v>
      </c>
      <c r="I80">
        <v>950</v>
      </c>
      <c r="J80">
        <v>450</v>
      </c>
      <c r="K80">
        <v>650</v>
      </c>
      <c r="L80">
        <v>1.52</v>
      </c>
    </row>
    <row r="81" spans="1:12" x14ac:dyDescent="0.25">
      <c r="A81" t="s">
        <v>25</v>
      </c>
      <c r="B81" t="s">
        <v>239</v>
      </c>
      <c r="C81" t="s">
        <v>240</v>
      </c>
      <c r="D81" t="s">
        <v>241</v>
      </c>
      <c r="E81" t="s">
        <v>75</v>
      </c>
      <c r="F81">
        <v>3</v>
      </c>
      <c r="G81">
        <v>29500</v>
      </c>
      <c r="H81">
        <v>66.2</v>
      </c>
      <c r="I81">
        <v>1000</v>
      </c>
      <c r="J81">
        <v>450</v>
      </c>
      <c r="K81">
        <v>650</v>
      </c>
      <c r="L81">
        <v>1.52</v>
      </c>
    </row>
    <row r="82" spans="1:12" x14ac:dyDescent="0.25">
      <c r="A82" t="s">
        <v>25</v>
      </c>
      <c r="B82" t="s">
        <v>242</v>
      </c>
      <c r="C82" t="s">
        <v>243</v>
      </c>
      <c r="D82" t="s">
        <v>244</v>
      </c>
      <c r="E82" t="s">
        <v>16</v>
      </c>
      <c r="F82">
        <v>2</v>
      </c>
      <c r="G82">
        <v>30500</v>
      </c>
      <c r="H82">
        <v>64.8</v>
      </c>
      <c r="I82">
        <v>850</v>
      </c>
      <c r="J82">
        <v>450</v>
      </c>
      <c r="K82">
        <v>650</v>
      </c>
      <c r="L82">
        <v>1.52</v>
      </c>
    </row>
    <row r="83" spans="1:12" x14ac:dyDescent="0.25">
      <c r="A83" t="s">
        <v>29</v>
      </c>
      <c r="B83" t="s">
        <v>245</v>
      </c>
      <c r="C83" t="s">
        <v>246</v>
      </c>
      <c r="D83" t="s">
        <v>15</v>
      </c>
      <c r="E83" t="s">
        <v>16</v>
      </c>
      <c r="F83">
        <v>2</v>
      </c>
      <c r="G83">
        <v>500</v>
      </c>
      <c r="H83">
        <v>65.8</v>
      </c>
      <c r="I83">
        <v>750</v>
      </c>
      <c r="J83">
        <v>75</v>
      </c>
      <c r="K83">
        <v>550</v>
      </c>
      <c r="L83">
        <v>0.92</v>
      </c>
    </row>
    <row r="84" spans="1:12" x14ac:dyDescent="0.25">
      <c r="A84" t="s">
        <v>29</v>
      </c>
      <c r="B84" t="s">
        <v>247</v>
      </c>
      <c r="C84" t="s">
        <v>248</v>
      </c>
      <c r="D84" t="s">
        <v>207</v>
      </c>
      <c r="E84" t="s">
        <v>75</v>
      </c>
      <c r="F84">
        <v>3</v>
      </c>
      <c r="G84">
        <v>450</v>
      </c>
      <c r="H84">
        <v>68.5</v>
      </c>
      <c r="I84">
        <v>850</v>
      </c>
      <c r="J84">
        <v>75</v>
      </c>
      <c r="K84">
        <v>550</v>
      </c>
      <c r="L84">
        <v>0.92</v>
      </c>
    </row>
    <row r="85" spans="1:12" x14ac:dyDescent="0.25">
      <c r="A85" t="s">
        <v>29</v>
      </c>
      <c r="B85" t="s">
        <v>249</v>
      </c>
      <c r="C85" t="s">
        <v>250</v>
      </c>
      <c r="D85" t="s">
        <v>251</v>
      </c>
      <c r="E85" t="s">
        <v>16</v>
      </c>
      <c r="F85">
        <v>2</v>
      </c>
      <c r="G85">
        <v>500</v>
      </c>
      <c r="H85">
        <v>71.2</v>
      </c>
      <c r="I85">
        <v>950</v>
      </c>
      <c r="J85">
        <v>75</v>
      </c>
      <c r="K85">
        <v>550</v>
      </c>
      <c r="L85">
        <v>0.92</v>
      </c>
    </row>
    <row r="86" spans="1:12" x14ac:dyDescent="0.25">
      <c r="A86" t="s">
        <v>29</v>
      </c>
      <c r="B86" t="s">
        <v>252</v>
      </c>
      <c r="C86" t="s">
        <v>253</v>
      </c>
      <c r="D86" t="s">
        <v>63</v>
      </c>
      <c r="E86" t="s">
        <v>75</v>
      </c>
      <c r="F86">
        <v>3</v>
      </c>
      <c r="G86">
        <v>500</v>
      </c>
      <c r="H86">
        <v>66.400000000000006</v>
      </c>
      <c r="I86">
        <v>700</v>
      </c>
      <c r="J86">
        <v>75</v>
      </c>
      <c r="K86">
        <v>550</v>
      </c>
      <c r="L86">
        <v>0.92</v>
      </c>
    </row>
    <row r="87" spans="1:12" x14ac:dyDescent="0.25">
      <c r="A87" t="s">
        <v>29</v>
      </c>
      <c r="B87" t="s">
        <v>254</v>
      </c>
      <c r="C87" t="s">
        <v>255</v>
      </c>
      <c r="D87" t="s">
        <v>40</v>
      </c>
      <c r="E87" t="s">
        <v>16</v>
      </c>
      <c r="F87">
        <v>2</v>
      </c>
      <c r="G87">
        <v>500</v>
      </c>
      <c r="H87">
        <v>67.8</v>
      </c>
      <c r="I87">
        <v>800</v>
      </c>
      <c r="J87">
        <v>75</v>
      </c>
      <c r="K87">
        <v>550</v>
      </c>
      <c r="L87">
        <v>0.92</v>
      </c>
    </row>
    <row r="88" spans="1:12" x14ac:dyDescent="0.25">
      <c r="A88" t="s">
        <v>29</v>
      </c>
      <c r="B88" t="s">
        <v>256</v>
      </c>
      <c r="C88" t="s">
        <v>257</v>
      </c>
      <c r="D88" t="s">
        <v>215</v>
      </c>
      <c r="E88" t="s">
        <v>75</v>
      </c>
      <c r="F88">
        <v>3</v>
      </c>
      <c r="G88">
        <v>450</v>
      </c>
      <c r="H88">
        <v>66.900000000000006</v>
      </c>
      <c r="I88">
        <v>750</v>
      </c>
      <c r="J88">
        <v>75</v>
      </c>
      <c r="K88">
        <v>550</v>
      </c>
      <c r="L88">
        <v>0.92</v>
      </c>
    </row>
    <row r="89" spans="1:12" x14ac:dyDescent="0.25">
      <c r="A89" t="s">
        <v>29</v>
      </c>
      <c r="B89" t="s">
        <v>258</v>
      </c>
      <c r="C89" t="s">
        <v>259</v>
      </c>
      <c r="D89" t="s">
        <v>260</v>
      </c>
      <c r="E89" t="s">
        <v>16</v>
      </c>
      <c r="F89">
        <v>2</v>
      </c>
      <c r="G89">
        <v>500</v>
      </c>
      <c r="H89">
        <v>64.5</v>
      </c>
      <c r="I89">
        <v>650</v>
      </c>
      <c r="J89">
        <v>75</v>
      </c>
      <c r="K89">
        <v>550</v>
      </c>
      <c r="L89">
        <v>0.92</v>
      </c>
    </row>
    <row r="90" spans="1:12" x14ac:dyDescent="0.25">
      <c r="A90" t="s">
        <v>29</v>
      </c>
      <c r="B90" t="s">
        <v>261</v>
      </c>
      <c r="C90" t="s">
        <v>262</v>
      </c>
      <c r="D90" t="s">
        <v>20</v>
      </c>
      <c r="E90" t="s">
        <v>75</v>
      </c>
      <c r="F90">
        <v>3</v>
      </c>
      <c r="G90">
        <v>450</v>
      </c>
      <c r="H90">
        <v>63.8</v>
      </c>
      <c r="I90">
        <v>600</v>
      </c>
      <c r="J90">
        <v>75</v>
      </c>
      <c r="K90">
        <v>550</v>
      </c>
      <c r="L90">
        <v>0.92</v>
      </c>
    </row>
    <row r="91" spans="1:12" x14ac:dyDescent="0.25">
      <c r="A91" t="s">
        <v>29</v>
      </c>
      <c r="B91" t="s">
        <v>263</v>
      </c>
      <c r="C91" t="s">
        <v>264</v>
      </c>
      <c r="D91" t="s">
        <v>265</v>
      </c>
      <c r="E91" t="s">
        <v>16</v>
      </c>
      <c r="F91">
        <v>2</v>
      </c>
      <c r="G91">
        <v>500</v>
      </c>
      <c r="H91">
        <v>66.2</v>
      </c>
      <c r="I91">
        <v>750</v>
      </c>
      <c r="J91">
        <v>75</v>
      </c>
      <c r="K91">
        <v>550</v>
      </c>
      <c r="L91">
        <v>0.92</v>
      </c>
    </row>
    <row r="92" spans="1:12" x14ac:dyDescent="0.25">
      <c r="A92" t="s">
        <v>29</v>
      </c>
      <c r="B92" t="s">
        <v>266</v>
      </c>
      <c r="C92" t="s">
        <v>267</v>
      </c>
      <c r="D92" t="s">
        <v>268</v>
      </c>
      <c r="E92" t="s">
        <v>16</v>
      </c>
      <c r="F92">
        <v>2</v>
      </c>
      <c r="G92">
        <v>500</v>
      </c>
      <c r="H92">
        <v>67.5</v>
      </c>
      <c r="I92">
        <v>800</v>
      </c>
      <c r="J92">
        <v>75</v>
      </c>
      <c r="K92">
        <v>550</v>
      </c>
      <c r="L92">
        <v>0.92</v>
      </c>
    </row>
    <row r="93" spans="1:12" x14ac:dyDescent="0.25">
      <c r="A93" t="s">
        <v>12</v>
      </c>
      <c r="B93" t="s">
        <v>269</v>
      </c>
      <c r="C93" t="s">
        <v>270</v>
      </c>
      <c r="D93" t="s">
        <v>15</v>
      </c>
      <c r="E93" t="s">
        <v>16</v>
      </c>
      <c r="F93">
        <v>2</v>
      </c>
      <c r="G93">
        <v>51900</v>
      </c>
      <c r="H93">
        <v>76.8</v>
      </c>
      <c r="I93">
        <v>1900</v>
      </c>
      <c r="J93">
        <v>160</v>
      </c>
      <c r="K93">
        <v>1500</v>
      </c>
      <c r="L93">
        <v>1</v>
      </c>
    </row>
    <row r="94" spans="1:12" x14ac:dyDescent="0.25">
      <c r="A94" t="s">
        <v>12</v>
      </c>
      <c r="B94" t="s">
        <v>271</v>
      </c>
      <c r="C94" t="s">
        <v>272</v>
      </c>
      <c r="D94" t="s">
        <v>71</v>
      </c>
      <c r="E94" t="s">
        <v>16</v>
      </c>
      <c r="F94">
        <v>2</v>
      </c>
      <c r="G94">
        <v>52400</v>
      </c>
      <c r="H94">
        <v>78.900000000000006</v>
      </c>
      <c r="I94">
        <v>2000</v>
      </c>
      <c r="J94">
        <v>160</v>
      </c>
      <c r="K94">
        <v>1500</v>
      </c>
      <c r="L94">
        <v>1</v>
      </c>
    </row>
    <row r="95" spans="1:12" x14ac:dyDescent="0.25">
      <c r="A95" t="s">
        <v>12</v>
      </c>
      <c r="B95" t="s">
        <v>273</v>
      </c>
      <c r="C95" t="s">
        <v>274</v>
      </c>
      <c r="D95" t="s">
        <v>40</v>
      </c>
      <c r="E95" t="s">
        <v>1369</v>
      </c>
      <c r="F95">
        <v>5</v>
      </c>
      <c r="G95">
        <v>53600</v>
      </c>
      <c r="H95">
        <v>72.5</v>
      </c>
      <c r="I95">
        <v>1700</v>
      </c>
      <c r="J95">
        <v>160</v>
      </c>
      <c r="K95">
        <v>1500</v>
      </c>
      <c r="L95">
        <v>1</v>
      </c>
    </row>
    <row r="96" spans="1:12" x14ac:dyDescent="0.25">
      <c r="A96" t="s">
        <v>12</v>
      </c>
      <c r="B96" t="s">
        <v>275</v>
      </c>
      <c r="C96" t="s">
        <v>276</v>
      </c>
      <c r="D96" t="s">
        <v>63</v>
      </c>
      <c r="E96" t="s">
        <v>75</v>
      </c>
      <c r="F96">
        <v>4</v>
      </c>
      <c r="G96">
        <v>50800</v>
      </c>
      <c r="H96">
        <v>71.2</v>
      </c>
      <c r="I96">
        <v>1600</v>
      </c>
      <c r="J96">
        <v>160</v>
      </c>
      <c r="K96">
        <v>1500</v>
      </c>
      <c r="L96">
        <v>1</v>
      </c>
    </row>
    <row r="97" spans="1:12" x14ac:dyDescent="0.25">
      <c r="A97" t="s">
        <v>12</v>
      </c>
      <c r="B97" t="s">
        <v>277</v>
      </c>
      <c r="C97" t="s">
        <v>278</v>
      </c>
      <c r="D97" t="s">
        <v>207</v>
      </c>
      <c r="E97" t="s">
        <v>16</v>
      </c>
      <c r="F97">
        <v>2</v>
      </c>
      <c r="G97">
        <v>51500</v>
      </c>
      <c r="H97">
        <v>70.8</v>
      </c>
      <c r="I97">
        <v>1500</v>
      </c>
      <c r="J97">
        <v>160</v>
      </c>
      <c r="K97">
        <v>1500</v>
      </c>
      <c r="L97">
        <v>1</v>
      </c>
    </row>
    <row r="98" spans="1:12" x14ac:dyDescent="0.25">
      <c r="A98" t="s">
        <v>12</v>
      </c>
      <c r="B98" t="s">
        <v>279</v>
      </c>
      <c r="C98" t="s">
        <v>280</v>
      </c>
      <c r="D98" t="s">
        <v>15</v>
      </c>
      <c r="E98" t="s">
        <v>1369</v>
      </c>
      <c r="F98">
        <v>5</v>
      </c>
      <c r="G98">
        <v>38200</v>
      </c>
      <c r="H98">
        <v>69.5</v>
      </c>
      <c r="I98">
        <v>1400</v>
      </c>
      <c r="J98">
        <v>160</v>
      </c>
      <c r="K98">
        <v>1500</v>
      </c>
      <c r="L98">
        <v>1</v>
      </c>
    </row>
    <row r="99" spans="1:12" x14ac:dyDescent="0.25">
      <c r="A99" t="s">
        <v>12</v>
      </c>
      <c r="B99" t="s">
        <v>281</v>
      </c>
      <c r="C99" t="s">
        <v>282</v>
      </c>
      <c r="D99" t="s">
        <v>222</v>
      </c>
      <c r="E99" t="s">
        <v>75</v>
      </c>
      <c r="F99">
        <v>4</v>
      </c>
      <c r="G99">
        <v>41200</v>
      </c>
      <c r="H99">
        <v>70.2</v>
      </c>
      <c r="I99">
        <v>1300</v>
      </c>
      <c r="J99">
        <v>160</v>
      </c>
      <c r="K99">
        <v>1500</v>
      </c>
      <c r="L99">
        <v>1</v>
      </c>
    </row>
    <row r="100" spans="1:12" x14ac:dyDescent="0.25">
      <c r="A100" t="s">
        <v>12</v>
      </c>
      <c r="B100" t="s">
        <v>283</v>
      </c>
      <c r="C100" t="s">
        <v>284</v>
      </c>
      <c r="D100" t="s">
        <v>20</v>
      </c>
      <c r="E100" t="s">
        <v>16</v>
      </c>
      <c r="F100">
        <v>2</v>
      </c>
      <c r="G100">
        <v>39800</v>
      </c>
      <c r="H100">
        <v>71.5</v>
      </c>
      <c r="I100">
        <v>1600</v>
      </c>
      <c r="J100">
        <v>160</v>
      </c>
      <c r="K100">
        <v>1500</v>
      </c>
      <c r="L100">
        <v>1</v>
      </c>
    </row>
    <row r="101" spans="1:12" x14ac:dyDescent="0.25">
      <c r="A101" t="s">
        <v>12</v>
      </c>
      <c r="B101" t="s">
        <v>285</v>
      </c>
      <c r="C101" t="s">
        <v>286</v>
      </c>
      <c r="D101" t="s">
        <v>15</v>
      </c>
      <c r="E101" t="s">
        <v>75</v>
      </c>
      <c r="F101">
        <v>4</v>
      </c>
      <c r="G101">
        <v>42500</v>
      </c>
      <c r="H101">
        <v>72.8</v>
      </c>
      <c r="I101">
        <v>1500</v>
      </c>
      <c r="J101">
        <v>160</v>
      </c>
      <c r="K101">
        <v>1500</v>
      </c>
      <c r="L101">
        <v>1</v>
      </c>
    </row>
    <row r="102" spans="1:12" x14ac:dyDescent="0.25">
      <c r="A102" t="s">
        <v>12</v>
      </c>
      <c r="B102" t="s">
        <v>287</v>
      </c>
      <c r="C102" t="s">
        <v>288</v>
      </c>
      <c r="D102" t="s">
        <v>63</v>
      </c>
      <c r="E102" t="s">
        <v>16</v>
      </c>
      <c r="F102">
        <v>2</v>
      </c>
      <c r="G102">
        <v>42800</v>
      </c>
      <c r="H102">
        <v>73.5</v>
      </c>
      <c r="I102">
        <v>1700</v>
      </c>
      <c r="J102">
        <v>160</v>
      </c>
      <c r="K102">
        <v>1500</v>
      </c>
      <c r="L102">
        <v>1</v>
      </c>
    </row>
    <row r="103" spans="1:12" x14ac:dyDescent="0.25">
      <c r="A103" t="s">
        <v>17</v>
      </c>
      <c r="B103" t="s">
        <v>18</v>
      </c>
      <c r="C103" t="s">
        <v>289</v>
      </c>
      <c r="D103" t="s">
        <v>15</v>
      </c>
      <c r="E103" t="s">
        <v>16</v>
      </c>
      <c r="F103">
        <v>1</v>
      </c>
      <c r="G103">
        <v>39200</v>
      </c>
      <c r="H103">
        <v>76.2</v>
      </c>
      <c r="I103">
        <v>1900</v>
      </c>
      <c r="J103">
        <v>485</v>
      </c>
      <c r="K103">
        <v>800</v>
      </c>
      <c r="L103">
        <v>0.79</v>
      </c>
    </row>
    <row r="104" spans="1:12" x14ac:dyDescent="0.25">
      <c r="A104" t="s">
        <v>17</v>
      </c>
      <c r="B104" t="s">
        <v>290</v>
      </c>
      <c r="C104" t="s">
        <v>291</v>
      </c>
      <c r="D104" t="s">
        <v>207</v>
      </c>
      <c r="E104" t="s">
        <v>75</v>
      </c>
      <c r="F104">
        <v>3</v>
      </c>
      <c r="G104">
        <v>28500</v>
      </c>
      <c r="H104">
        <v>65.8</v>
      </c>
      <c r="I104">
        <v>950</v>
      </c>
      <c r="J104">
        <v>485</v>
      </c>
      <c r="K104">
        <v>800</v>
      </c>
      <c r="L104">
        <v>0.79</v>
      </c>
    </row>
    <row r="105" spans="1:12" x14ac:dyDescent="0.25">
      <c r="A105" t="s">
        <v>17</v>
      </c>
      <c r="B105" t="s">
        <v>292</v>
      </c>
      <c r="C105" t="s">
        <v>293</v>
      </c>
      <c r="D105" t="s">
        <v>20</v>
      </c>
      <c r="E105" t="s">
        <v>16</v>
      </c>
      <c r="F105">
        <v>1</v>
      </c>
      <c r="G105">
        <v>36800</v>
      </c>
      <c r="H105">
        <v>67.2</v>
      </c>
      <c r="I105">
        <v>1000</v>
      </c>
      <c r="J105">
        <v>485</v>
      </c>
      <c r="K105">
        <v>800</v>
      </c>
      <c r="L105">
        <v>0.79</v>
      </c>
    </row>
    <row r="106" spans="1:12" x14ac:dyDescent="0.25">
      <c r="A106" t="s">
        <v>17</v>
      </c>
      <c r="B106" t="s">
        <v>294</v>
      </c>
      <c r="C106" t="s">
        <v>295</v>
      </c>
      <c r="D106" t="s">
        <v>40</v>
      </c>
      <c r="E106" t="s">
        <v>1369</v>
      </c>
      <c r="F106">
        <v>3</v>
      </c>
      <c r="G106">
        <v>27900</v>
      </c>
      <c r="H106">
        <v>64.5</v>
      </c>
      <c r="I106">
        <v>850</v>
      </c>
      <c r="J106">
        <v>485</v>
      </c>
      <c r="K106">
        <v>800</v>
      </c>
      <c r="L106">
        <v>0.79</v>
      </c>
    </row>
    <row r="107" spans="1:12" x14ac:dyDescent="0.25">
      <c r="A107" t="s">
        <v>17</v>
      </c>
      <c r="B107" t="s">
        <v>296</v>
      </c>
      <c r="C107" t="s">
        <v>297</v>
      </c>
      <c r="D107" t="s">
        <v>63</v>
      </c>
      <c r="E107" t="s">
        <v>75</v>
      </c>
      <c r="F107">
        <v>3</v>
      </c>
      <c r="G107">
        <v>29500</v>
      </c>
      <c r="H107">
        <v>66.8</v>
      </c>
      <c r="I107">
        <v>950</v>
      </c>
      <c r="J107">
        <v>485</v>
      </c>
      <c r="K107">
        <v>800</v>
      </c>
      <c r="L107">
        <v>0.79</v>
      </c>
    </row>
    <row r="108" spans="1:12" x14ac:dyDescent="0.25">
      <c r="A108" t="s">
        <v>17</v>
      </c>
      <c r="B108" t="s">
        <v>298</v>
      </c>
      <c r="C108" t="s">
        <v>299</v>
      </c>
      <c r="D108" t="s">
        <v>300</v>
      </c>
      <c r="E108" t="s">
        <v>16</v>
      </c>
      <c r="F108">
        <v>1</v>
      </c>
      <c r="G108">
        <v>32400</v>
      </c>
      <c r="H108">
        <v>65.900000000000006</v>
      </c>
      <c r="I108">
        <v>900</v>
      </c>
      <c r="J108">
        <v>485</v>
      </c>
      <c r="K108">
        <v>800</v>
      </c>
      <c r="L108">
        <v>0.79</v>
      </c>
    </row>
    <row r="109" spans="1:12" x14ac:dyDescent="0.25">
      <c r="A109" t="s">
        <v>17</v>
      </c>
      <c r="B109" t="s">
        <v>301</v>
      </c>
      <c r="C109" t="s">
        <v>302</v>
      </c>
      <c r="D109" t="s">
        <v>15</v>
      </c>
      <c r="E109" t="s">
        <v>75</v>
      </c>
      <c r="F109">
        <v>3</v>
      </c>
      <c r="G109">
        <v>28900</v>
      </c>
      <c r="H109">
        <v>64.8</v>
      </c>
      <c r="I109">
        <v>850</v>
      </c>
      <c r="J109">
        <v>485</v>
      </c>
      <c r="K109">
        <v>800</v>
      </c>
      <c r="L109">
        <v>0.79</v>
      </c>
    </row>
    <row r="110" spans="1:12" x14ac:dyDescent="0.25">
      <c r="A110" t="s">
        <v>17</v>
      </c>
      <c r="B110" t="s">
        <v>303</v>
      </c>
      <c r="C110" t="s">
        <v>304</v>
      </c>
      <c r="D110" t="s">
        <v>241</v>
      </c>
      <c r="E110" t="s">
        <v>16</v>
      </c>
      <c r="F110">
        <v>1</v>
      </c>
      <c r="G110">
        <v>31200</v>
      </c>
      <c r="H110">
        <v>64.2</v>
      </c>
      <c r="I110">
        <v>800</v>
      </c>
      <c r="J110">
        <v>485</v>
      </c>
      <c r="K110">
        <v>800</v>
      </c>
      <c r="L110">
        <v>0.79</v>
      </c>
    </row>
    <row r="111" spans="1:12" x14ac:dyDescent="0.25">
      <c r="A111" t="s">
        <v>17</v>
      </c>
      <c r="B111" t="s">
        <v>305</v>
      </c>
      <c r="C111" t="s">
        <v>306</v>
      </c>
      <c r="D111" t="s">
        <v>307</v>
      </c>
      <c r="E111" t="s">
        <v>75</v>
      </c>
      <c r="F111">
        <v>3</v>
      </c>
      <c r="G111">
        <v>27500</v>
      </c>
      <c r="H111">
        <v>63.5</v>
      </c>
      <c r="I111">
        <v>750</v>
      </c>
      <c r="J111">
        <v>485</v>
      </c>
      <c r="K111">
        <v>800</v>
      </c>
      <c r="L111">
        <v>0.79</v>
      </c>
    </row>
    <row r="112" spans="1:12" x14ac:dyDescent="0.25">
      <c r="A112" t="s">
        <v>17</v>
      </c>
      <c r="B112" t="s">
        <v>231</v>
      </c>
      <c r="C112" t="s">
        <v>308</v>
      </c>
      <c r="D112" t="s">
        <v>71</v>
      </c>
      <c r="E112" t="s">
        <v>16</v>
      </c>
      <c r="F112">
        <v>1</v>
      </c>
      <c r="G112">
        <v>30800</v>
      </c>
      <c r="H112">
        <v>64.599999999999994</v>
      </c>
      <c r="I112">
        <v>800</v>
      </c>
      <c r="J112">
        <v>485</v>
      </c>
      <c r="K112">
        <v>800</v>
      </c>
      <c r="L112">
        <v>0.79</v>
      </c>
    </row>
    <row r="113" spans="1:12" x14ac:dyDescent="0.25">
      <c r="A113" t="s">
        <v>21</v>
      </c>
      <c r="B113" t="s">
        <v>309</v>
      </c>
      <c r="C113" t="s">
        <v>310</v>
      </c>
      <c r="D113" t="s">
        <v>207</v>
      </c>
      <c r="E113" t="s">
        <v>75</v>
      </c>
      <c r="F113">
        <v>4</v>
      </c>
      <c r="G113">
        <v>32500</v>
      </c>
      <c r="H113">
        <v>68.5</v>
      </c>
      <c r="I113">
        <v>1200</v>
      </c>
      <c r="J113">
        <v>235</v>
      </c>
      <c r="K113">
        <v>900</v>
      </c>
      <c r="L113">
        <v>1.35</v>
      </c>
    </row>
    <row r="114" spans="1:12" x14ac:dyDescent="0.25">
      <c r="A114" t="s">
        <v>21</v>
      </c>
      <c r="B114" t="s">
        <v>311</v>
      </c>
      <c r="C114" t="s">
        <v>312</v>
      </c>
      <c r="D114" t="s">
        <v>15</v>
      </c>
      <c r="E114" t="s">
        <v>16</v>
      </c>
      <c r="F114">
        <v>2</v>
      </c>
      <c r="G114">
        <v>29800</v>
      </c>
      <c r="H114">
        <v>65.8</v>
      </c>
      <c r="I114">
        <v>1100</v>
      </c>
      <c r="J114">
        <v>235</v>
      </c>
      <c r="K114">
        <v>900</v>
      </c>
      <c r="L114">
        <v>1.35</v>
      </c>
    </row>
    <row r="115" spans="1:12" x14ac:dyDescent="0.25">
      <c r="A115" t="s">
        <v>21</v>
      </c>
      <c r="B115" t="s">
        <v>313</v>
      </c>
      <c r="C115" t="s">
        <v>314</v>
      </c>
      <c r="D115" t="s">
        <v>20</v>
      </c>
      <c r="E115" t="s">
        <v>16</v>
      </c>
      <c r="F115">
        <v>2</v>
      </c>
      <c r="G115">
        <v>28500</v>
      </c>
      <c r="H115">
        <v>64.5</v>
      </c>
      <c r="I115">
        <v>1200</v>
      </c>
      <c r="J115">
        <v>235</v>
      </c>
      <c r="K115">
        <v>900</v>
      </c>
      <c r="L115">
        <v>1.35</v>
      </c>
    </row>
    <row r="116" spans="1:12" x14ac:dyDescent="0.25">
      <c r="A116" t="s">
        <v>21</v>
      </c>
      <c r="B116" t="s">
        <v>315</v>
      </c>
      <c r="C116" t="s">
        <v>316</v>
      </c>
      <c r="D116" t="s">
        <v>63</v>
      </c>
      <c r="E116" t="s">
        <v>75</v>
      </c>
      <c r="F116">
        <v>4</v>
      </c>
      <c r="G116">
        <v>27900</v>
      </c>
      <c r="H116">
        <v>69.2</v>
      </c>
      <c r="I116">
        <v>1300</v>
      </c>
      <c r="J116">
        <v>235</v>
      </c>
      <c r="K116">
        <v>900</v>
      </c>
      <c r="L116">
        <v>1.35</v>
      </c>
    </row>
    <row r="117" spans="1:12" x14ac:dyDescent="0.25">
      <c r="A117" t="s">
        <v>21</v>
      </c>
      <c r="B117" t="s">
        <v>317</v>
      </c>
      <c r="C117" t="s">
        <v>318</v>
      </c>
      <c r="D117" t="s">
        <v>40</v>
      </c>
      <c r="E117" t="s">
        <v>16</v>
      </c>
      <c r="F117">
        <v>2</v>
      </c>
      <c r="G117">
        <v>21500</v>
      </c>
      <c r="H117">
        <v>63.8</v>
      </c>
      <c r="I117">
        <v>900</v>
      </c>
      <c r="J117">
        <v>235</v>
      </c>
      <c r="K117">
        <v>900</v>
      </c>
      <c r="L117">
        <v>1.35</v>
      </c>
    </row>
    <row r="118" spans="1:12" x14ac:dyDescent="0.25">
      <c r="A118" t="s">
        <v>21</v>
      </c>
      <c r="B118" t="s">
        <v>319</v>
      </c>
      <c r="C118" t="s">
        <v>320</v>
      </c>
      <c r="D118" t="s">
        <v>15</v>
      </c>
      <c r="E118" t="s">
        <v>75</v>
      </c>
      <c r="F118">
        <v>4</v>
      </c>
      <c r="G118">
        <v>26800</v>
      </c>
      <c r="H118">
        <v>62.5</v>
      </c>
      <c r="I118">
        <v>950</v>
      </c>
      <c r="J118">
        <v>235</v>
      </c>
      <c r="K118">
        <v>900</v>
      </c>
      <c r="L118">
        <v>1.35</v>
      </c>
    </row>
    <row r="119" spans="1:12" x14ac:dyDescent="0.25">
      <c r="A119" t="s">
        <v>21</v>
      </c>
      <c r="B119" t="s">
        <v>321</v>
      </c>
      <c r="C119" t="s">
        <v>322</v>
      </c>
      <c r="D119" t="s">
        <v>260</v>
      </c>
      <c r="E119" t="s">
        <v>75</v>
      </c>
      <c r="F119">
        <v>4</v>
      </c>
      <c r="G119">
        <v>25500</v>
      </c>
      <c r="H119">
        <v>61.8</v>
      </c>
      <c r="I119">
        <v>900</v>
      </c>
      <c r="J119">
        <v>235</v>
      </c>
      <c r="K119">
        <v>900</v>
      </c>
      <c r="L119">
        <v>1.35</v>
      </c>
    </row>
    <row r="120" spans="1:12" x14ac:dyDescent="0.25">
      <c r="A120" t="s">
        <v>21</v>
      </c>
      <c r="B120" t="s">
        <v>323</v>
      </c>
      <c r="C120" t="s">
        <v>324</v>
      </c>
      <c r="D120" t="s">
        <v>15</v>
      </c>
      <c r="E120" t="s">
        <v>16</v>
      </c>
      <c r="F120">
        <v>2</v>
      </c>
      <c r="G120">
        <v>19800</v>
      </c>
      <c r="H120">
        <v>63.2</v>
      </c>
      <c r="I120">
        <v>950</v>
      </c>
      <c r="J120">
        <v>235</v>
      </c>
      <c r="K120">
        <v>900</v>
      </c>
      <c r="L120">
        <v>1.35</v>
      </c>
    </row>
    <row r="121" spans="1:12" x14ac:dyDescent="0.25">
      <c r="A121" t="s">
        <v>21</v>
      </c>
      <c r="B121" t="s">
        <v>325</v>
      </c>
      <c r="C121" t="s">
        <v>326</v>
      </c>
      <c r="D121" t="s">
        <v>71</v>
      </c>
      <c r="E121" t="s">
        <v>16</v>
      </c>
      <c r="F121">
        <v>2</v>
      </c>
      <c r="G121">
        <v>24500</v>
      </c>
      <c r="H121">
        <v>62.8</v>
      </c>
      <c r="I121">
        <v>1000</v>
      </c>
      <c r="J121">
        <v>235</v>
      </c>
      <c r="K121">
        <v>900</v>
      </c>
      <c r="L121">
        <v>1.35</v>
      </c>
    </row>
    <row r="122" spans="1:12" x14ac:dyDescent="0.25">
      <c r="A122" t="s">
        <v>21</v>
      </c>
      <c r="B122" t="s">
        <v>327</v>
      </c>
      <c r="C122" t="s">
        <v>328</v>
      </c>
      <c r="D122" t="s">
        <v>63</v>
      </c>
      <c r="E122" t="s">
        <v>1369</v>
      </c>
      <c r="F122">
        <v>4</v>
      </c>
      <c r="G122">
        <v>20500</v>
      </c>
      <c r="H122">
        <v>61.5</v>
      </c>
      <c r="I122">
        <v>850</v>
      </c>
      <c r="J122">
        <v>235</v>
      </c>
      <c r="K122">
        <v>900</v>
      </c>
      <c r="L122">
        <v>1.35</v>
      </c>
    </row>
    <row r="123" spans="1:12" x14ac:dyDescent="0.25">
      <c r="A123" t="s">
        <v>12</v>
      </c>
      <c r="B123" t="s">
        <v>329</v>
      </c>
      <c r="C123" t="s">
        <v>330</v>
      </c>
      <c r="D123" t="s">
        <v>15</v>
      </c>
      <c r="E123" t="s">
        <v>16</v>
      </c>
      <c r="F123">
        <v>2</v>
      </c>
      <c r="G123">
        <v>51200</v>
      </c>
      <c r="H123">
        <v>72.400000000000006</v>
      </c>
      <c r="I123">
        <v>1800</v>
      </c>
      <c r="J123">
        <v>160</v>
      </c>
      <c r="K123">
        <v>1500</v>
      </c>
      <c r="L123">
        <v>1</v>
      </c>
    </row>
    <row r="124" spans="1:12" x14ac:dyDescent="0.25">
      <c r="A124" t="s">
        <v>12</v>
      </c>
      <c r="B124" t="s">
        <v>331</v>
      </c>
      <c r="C124" t="s">
        <v>332</v>
      </c>
      <c r="D124" t="s">
        <v>15</v>
      </c>
      <c r="E124" t="s">
        <v>1369</v>
      </c>
      <c r="F124">
        <v>5</v>
      </c>
      <c r="G124">
        <v>45800</v>
      </c>
      <c r="H124">
        <v>68.5</v>
      </c>
      <c r="I124">
        <v>1400</v>
      </c>
      <c r="J124">
        <v>160</v>
      </c>
      <c r="K124">
        <v>1500</v>
      </c>
      <c r="L124">
        <v>1</v>
      </c>
    </row>
    <row r="125" spans="1:12" x14ac:dyDescent="0.25">
      <c r="A125" t="s">
        <v>21</v>
      </c>
      <c r="B125" t="s">
        <v>333</v>
      </c>
      <c r="C125" t="s">
        <v>334</v>
      </c>
      <c r="D125" t="s">
        <v>207</v>
      </c>
      <c r="E125" t="s">
        <v>75</v>
      </c>
      <c r="F125">
        <v>4</v>
      </c>
      <c r="G125">
        <v>26500</v>
      </c>
      <c r="H125">
        <v>69.2</v>
      </c>
      <c r="I125">
        <v>1300</v>
      </c>
      <c r="J125">
        <v>235</v>
      </c>
      <c r="K125">
        <v>900</v>
      </c>
      <c r="L125">
        <v>1.35</v>
      </c>
    </row>
    <row r="126" spans="1:12" x14ac:dyDescent="0.25">
      <c r="A126" t="s">
        <v>335</v>
      </c>
      <c r="B126" t="s">
        <v>336</v>
      </c>
      <c r="C126" t="s">
        <v>337</v>
      </c>
      <c r="D126" t="s">
        <v>15</v>
      </c>
      <c r="E126" t="s">
        <v>16</v>
      </c>
      <c r="F126">
        <v>2</v>
      </c>
      <c r="G126">
        <v>0</v>
      </c>
      <c r="H126">
        <v>48.5</v>
      </c>
      <c r="I126">
        <v>600</v>
      </c>
      <c r="J126">
        <v>160</v>
      </c>
      <c r="K126">
        <v>400</v>
      </c>
      <c r="L126">
        <v>4.95</v>
      </c>
    </row>
    <row r="127" spans="1:12" x14ac:dyDescent="0.25">
      <c r="A127" t="s">
        <v>338</v>
      </c>
      <c r="B127" t="s">
        <v>339</v>
      </c>
      <c r="C127" t="s">
        <v>340</v>
      </c>
      <c r="D127" t="s">
        <v>63</v>
      </c>
      <c r="E127" t="s">
        <v>75</v>
      </c>
      <c r="F127">
        <v>4</v>
      </c>
      <c r="G127">
        <v>1800</v>
      </c>
      <c r="H127">
        <v>42.8</v>
      </c>
      <c r="I127">
        <v>450</v>
      </c>
      <c r="J127">
        <v>100</v>
      </c>
      <c r="K127">
        <v>300</v>
      </c>
      <c r="L127">
        <v>30.5</v>
      </c>
    </row>
    <row r="128" spans="1:12" x14ac:dyDescent="0.25">
      <c r="A128" t="s">
        <v>341</v>
      </c>
      <c r="B128" t="s">
        <v>342</v>
      </c>
      <c r="C128" t="s">
        <v>343</v>
      </c>
      <c r="D128" t="s">
        <v>344</v>
      </c>
      <c r="E128" t="s">
        <v>16</v>
      </c>
      <c r="F128">
        <v>2</v>
      </c>
      <c r="G128">
        <v>3900</v>
      </c>
      <c r="H128">
        <v>51.2</v>
      </c>
      <c r="I128">
        <v>700</v>
      </c>
      <c r="J128">
        <v>120</v>
      </c>
      <c r="K128">
        <v>350</v>
      </c>
      <c r="L128">
        <v>92.8</v>
      </c>
    </row>
    <row r="129" spans="1:12" x14ac:dyDescent="0.25">
      <c r="A129" t="s">
        <v>345</v>
      </c>
      <c r="B129" t="s">
        <v>346</v>
      </c>
      <c r="C129" t="s">
        <v>347</v>
      </c>
      <c r="D129" t="s">
        <v>63</v>
      </c>
      <c r="E129" t="s">
        <v>75</v>
      </c>
      <c r="F129">
        <v>4</v>
      </c>
      <c r="G129">
        <v>800</v>
      </c>
      <c r="H129">
        <v>44.6</v>
      </c>
      <c r="I129">
        <v>500</v>
      </c>
      <c r="J129">
        <v>160</v>
      </c>
      <c r="K129">
        <v>400</v>
      </c>
      <c r="L129">
        <v>17.2</v>
      </c>
    </row>
    <row r="130" spans="1:12" x14ac:dyDescent="0.25">
      <c r="A130" t="s">
        <v>348</v>
      </c>
      <c r="B130" t="s">
        <v>349</v>
      </c>
      <c r="C130" t="s">
        <v>350</v>
      </c>
      <c r="D130" t="s">
        <v>207</v>
      </c>
      <c r="E130" t="s">
        <v>16</v>
      </c>
      <c r="F130">
        <v>2</v>
      </c>
      <c r="G130">
        <v>2500</v>
      </c>
      <c r="H130">
        <v>54.8</v>
      </c>
      <c r="I130">
        <v>550</v>
      </c>
      <c r="J130">
        <v>120</v>
      </c>
      <c r="K130">
        <v>400</v>
      </c>
      <c r="L130">
        <v>0.92</v>
      </c>
    </row>
    <row r="131" spans="1:12" x14ac:dyDescent="0.25">
      <c r="A131" t="s">
        <v>351</v>
      </c>
      <c r="B131" t="s">
        <v>352</v>
      </c>
      <c r="C131" t="s">
        <v>353</v>
      </c>
      <c r="D131" t="s">
        <v>15</v>
      </c>
      <c r="E131" t="s">
        <v>75</v>
      </c>
      <c r="F131">
        <v>4</v>
      </c>
      <c r="G131">
        <v>3800</v>
      </c>
      <c r="H131">
        <v>46.5</v>
      </c>
      <c r="I131">
        <v>450</v>
      </c>
      <c r="J131">
        <v>140</v>
      </c>
      <c r="K131">
        <v>300</v>
      </c>
      <c r="L131">
        <v>35.200000000000003</v>
      </c>
    </row>
    <row r="132" spans="1:12" x14ac:dyDescent="0.25">
      <c r="A132" t="s">
        <v>354</v>
      </c>
      <c r="B132" t="s">
        <v>355</v>
      </c>
      <c r="C132" t="s">
        <v>356</v>
      </c>
      <c r="D132" t="s">
        <v>15</v>
      </c>
      <c r="E132" t="s">
        <v>75</v>
      </c>
      <c r="F132">
        <v>4</v>
      </c>
      <c r="G132">
        <v>29500</v>
      </c>
      <c r="H132">
        <v>72.400000000000006</v>
      </c>
      <c r="I132">
        <v>1200</v>
      </c>
      <c r="J132">
        <v>270</v>
      </c>
      <c r="K132">
        <v>800</v>
      </c>
      <c r="L132">
        <v>3.67</v>
      </c>
    </row>
    <row r="133" spans="1:12" x14ac:dyDescent="0.25">
      <c r="A133" t="s">
        <v>12</v>
      </c>
      <c r="B133" t="s">
        <v>357</v>
      </c>
      <c r="C133" t="s">
        <v>358</v>
      </c>
      <c r="D133" t="s">
        <v>20</v>
      </c>
      <c r="E133" t="s">
        <v>16</v>
      </c>
      <c r="F133">
        <v>2</v>
      </c>
      <c r="G133">
        <v>52800</v>
      </c>
      <c r="H133">
        <v>100</v>
      </c>
      <c r="I133">
        <v>2500</v>
      </c>
      <c r="J133">
        <v>160</v>
      </c>
      <c r="K133">
        <v>1500</v>
      </c>
      <c r="L133">
        <v>1</v>
      </c>
    </row>
    <row r="134" spans="1:12" x14ac:dyDescent="0.25">
      <c r="A134" t="s">
        <v>12</v>
      </c>
      <c r="B134" t="s">
        <v>359</v>
      </c>
      <c r="C134" t="s">
        <v>360</v>
      </c>
      <c r="D134" t="s">
        <v>15</v>
      </c>
      <c r="E134" t="s">
        <v>1369</v>
      </c>
      <c r="F134">
        <v>5</v>
      </c>
      <c r="G134">
        <v>49800</v>
      </c>
      <c r="H134">
        <v>70.5</v>
      </c>
      <c r="I134">
        <v>1600</v>
      </c>
      <c r="J134">
        <v>160</v>
      </c>
      <c r="K134">
        <v>1500</v>
      </c>
      <c r="L134">
        <v>1</v>
      </c>
    </row>
    <row r="135" spans="1:12" x14ac:dyDescent="0.25">
      <c r="A135" t="s">
        <v>60</v>
      </c>
      <c r="B135" t="s">
        <v>361</v>
      </c>
      <c r="C135" t="s">
        <v>362</v>
      </c>
      <c r="D135" t="s">
        <v>40</v>
      </c>
      <c r="E135" t="s">
        <v>16</v>
      </c>
      <c r="F135">
        <v>2</v>
      </c>
      <c r="G135">
        <v>8200</v>
      </c>
      <c r="H135">
        <v>58.4</v>
      </c>
      <c r="I135">
        <v>800</v>
      </c>
      <c r="J135">
        <v>140</v>
      </c>
      <c r="K135">
        <v>400</v>
      </c>
      <c r="L135">
        <v>7.18</v>
      </c>
    </row>
    <row r="136" spans="1:12" x14ac:dyDescent="0.25">
      <c r="A136" t="s">
        <v>363</v>
      </c>
      <c r="B136" t="s">
        <v>364</v>
      </c>
      <c r="C136" t="s">
        <v>365</v>
      </c>
      <c r="D136" t="s">
        <v>15</v>
      </c>
      <c r="E136" t="s">
        <v>75</v>
      </c>
      <c r="F136">
        <v>3</v>
      </c>
      <c r="G136">
        <v>5900</v>
      </c>
      <c r="H136">
        <v>49.2</v>
      </c>
      <c r="I136">
        <v>600</v>
      </c>
      <c r="J136">
        <v>140</v>
      </c>
      <c r="K136">
        <v>400</v>
      </c>
      <c r="L136">
        <v>18.72</v>
      </c>
    </row>
    <row r="137" spans="1:12" x14ac:dyDescent="0.25">
      <c r="A137" t="s">
        <v>366</v>
      </c>
      <c r="B137" t="s">
        <v>367</v>
      </c>
      <c r="C137" t="s">
        <v>368</v>
      </c>
      <c r="D137" t="s">
        <v>63</v>
      </c>
      <c r="E137" t="s">
        <v>75</v>
      </c>
      <c r="F137">
        <v>4</v>
      </c>
      <c r="G137">
        <v>19800</v>
      </c>
      <c r="H137">
        <v>38.4</v>
      </c>
      <c r="I137">
        <v>450</v>
      </c>
      <c r="J137">
        <v>130</v>
      </c>
      <c r="K137">
        <v>350</v>
      </c>
      <c r="L137">
        <v>30.9</v>
      </c>
    </row>
    <row r="138" spans="1:12" x14ac:dyDescent="0.25">
      <c r="A138" t="s">
        <v>369</v>
      </c>
      <c r="B138" t="s">
        <v>370</v>
      </c>
      <c r="C138" t="s">
        <v>371</v>
      </c>
      <c r="D138" t="s">
        <v>207</v>
      </c>
      <c r="E138" t="s">
        <v>75</v>
      </c>
      <c r="F138">
        <v>5</v>
      </c>
      <c r="G138">
        <v>0</v>
      </c>
      <c r="H138">
        <v>42.6</v>
      </c>
      <c r="I138">
        <v>400</v>
      </c>
      <c r="J138">
        <v>150</v>
      </c>
      <c r="K138">
        <v>300</v>
      </c>
      <c r="L138">
        <v>821.5</v>
      </c>
    </row>
    <row r="139" spans="1:12" x14ac:dyDescent="0.25">
      <c r="A139" t="s">
        <v>372</v>
      </c>
      <c r="B139" t="s">
        <v>373</v>
      </c>
      <c r="C139" t="s">
        <v>374</v>
      </c>
      <c r="D139" t="s">
        <v>215</v>
      </c>
      <c r="E139" t="s">
        <v>75</v>
      </c>
      <c r="F139">
        <v>4</v>
      </c>
      <c r="G139">
        <v>4200</v>
      </c>
      <c r="H139">
        <v>45.8</v>
      </c>
      <c r="I139">
        <v>500</v>
      </c>
      <c r="J139">
        <v>130</v>
      </c>
      <c r="K139">
        <v>300</v>
      </c>
      <c r="L139">
        <v>15640</v>
      </c>
    </row>
    <row r="140" spans="1:12" x14ac:dyDescent="0.25">
      <c r="A140" t="s">
        <v>375</v>
      </c>
      <c r="B140" t="s">
        <v>376</v>
      </c>
      <c r="C140" t="s">
        <v>377</v>
      </c>
      <c r="D140" t="s">
        <v>15</v>
      </c>
      <c r="E140" t="s">
        <v>16</v>
      </c>
      <c r="F140">
        <v>2</v>
      </c>
      <c r="G140">
        <v>7800</v>
      </c>
      <c r="H140">
        <v>52.4</v>
      </c>
      <c r="I140">
        <v>800</v>
      </c>
      <c r="J140">
        <v>250</v>
      </c>
      <c r="K140">
        <v>600</v>
      </c>
      <c r="L140">
        <v>3.75</v>
      </c>
    </row>
    <row r="141" spans="1:12" x14ac:dyDescent="0.25">
      <c r="A141" t="s">
        <v>378</v>
      </c>
      <c r="B141" t="s">
        <v>379</v>
      </c>
      <c r="C141" t="s">
        <v>380</v>
      </c>
      <c r="D141" t="s">
        <v>63</v>
      </c>
      <c r="E141" t="s">
        <v>75</v>
      </c>
      <c r="F141">
        <v>4</v>
      </c>
      <c r="G141">
        <v>2500</v>
      </c>
      <c r="H141">
        <v>40.200000000000003</v>
      </c>
      <c r="I141">
        <v>400</v>
      </c>
      <c r="J141">
        <v>180</v>
      </c>
      <c r="K141">
        <v>300</v>
      </c>
      <c r="L141">
        <v>860.2</v>
      </c>
    </row>
    <row r="142" spans="1:12" x14ac:dyDescent="0.25">
      <c r="A142" t="s">
        <v>381</v>
      </c>
      <c r="B142" t="s">
        <v>382</v>
      </c>
      <c r="C142" t="s">
        <v>383</v>
      </c>
      <c r="D142" t="s">
        <v>207</v>
      </c>
      <c r="E142" t="s">
        <v>75</v>
      </c>
      <c r="F142">
        <v>4</v>
      </c>
      <c r="G142">
        <v>3200</v>
      </c>
      <c r="H142">
        <v>43.6</v>
      </c>
      <c r="I142">
        <v>450</v>
      </c>
      <c r="J142">
        <v>120</v>
      </c>
      <c r="K142">
        <v>250</v>
      </c>
      <c r="L142">
        <v>24450</v>
      </c>
    </row>
    <row r="143" spans="1:12" x14ac:dyDescent="0.25">
      <c r="A143" t="s">
        <v>37</v>
      </c>
      <c r="B143" t="s">
        <v>384</v>
      </c>
      <c r="C143" t="s">
        <v>385</v>
      </c>
      <c r="D143" t="s">
        <v>15</v>
      </c>
      <c r="E143" t="s">
        <v>16</v>
      </c>
      <c r="F143">
        <v>2</v>
      </c>
      <c r="G143">
        <v>15600</v>
      </c>
      <c r="H143">
        <v>69.8</v>
      </c>
      <c r="I143">
        <v>950</v>
      </c>
      <c r="J143">
        <v>180</v>
      </c>
      <c r="K143">
        <v>720</v>
      </c>
      <c r="L143">
        <v>0.92</v>
      </c>
    </row>
    <row r="144" spans="1:12" x14ac:dyDescent="0.25">
      <c r="A144" t="s">
        <v>37</v>
      </c>
      <c r="B144" t="s">
        <v>386</v>
      </c>
      <c r="C144" t="s">
        <v>387</v>
      </c>
      <c r="D144" t="s">
        <v>40</v>
      </c>
      <c r="E144" t="s">
        <v>75</v>
      </c>
      <c r="F144">
        <v>3</v>
      </c>
      <c r="G144">
        <v>11200</v>
      </c>
      <c r="H144">
        <v>65.400000000000006</v>
      </c>
      <c r="I144">
        <v>750</v>
      </c>
      <c r="J144">
        <v>180</v>
      </c>
      <c r="K144">
        <v>720</v>
      </c>
      <c r="L144">
        <v>0.92</v>
      </c>
    </row>
    <row r="145" spans="1:12" x14ac:dyDescent="0.25">
      <c r="A145" t="s">
        <v>37</v>
      </c>
      <c r="B145" t="s">
        <v>388</v>
      </c>
      <c r="C145" t="s">
        <v>389</v>
      </c>
      <c r="D145" t="s">
        <v>244</v>
      </c>
      <c r="E145" t="s">
        <v>16</v>
      </c>
      <c r="F145">
        <v>2</v>
      </c>
      <c r="G145">
        <v>14800</v>
      </c>
      <c r="H145">
        <v>66.8</v>
      </c>
      <c r="I145">
        <v>800</v>
      </c>
      <c r="J145">
        <v>180</v>
      </c>
      <c r="K145">
        <v>720</v>
      </c>
      <c r="L145">
        <v>0.92</v>
      </c>
    </row>
    <row r="146" spans="1:12" x14ac:dyDescent="0.25">
      <c r="A146" t="s">
        <v>37</v>
      </c>
      <c r="B146" t="s">
        <v>390</v>
      </c>
      <c r="C146" t="s">
        <v>391</v>
      </c>
      <c r="D146" t="s">
        <v>20</v>
      </c>
      <c r="E146" t="s">
        <v>75</v>
      </c>
      <c r="F146">
        <v>3</v>
      </c>
      <c r="G146">
        <v>11500</v>
      </c>
      <c r="H146">
        <v>67.2</v>
      </c>
      <c r="I146">
        <v>850</v>
      </c>
      <c r="J146">
        <v>180</v>
      </c>
      <c r="K146">
        <v>720</v>
      </c>
      <c r="L146">
        <v>0.92</v>
      </c>
    </row>
    <row r="147" spans="1:12" x14ac:dyDescent="0.25">
      <c r="A147" t="s">
        <v>37</v>
      </c>
      <c r="B147" t="s">
        <v>392</v>
      </c>
      <c r="C147" t="s">
        <v>393</v>
      </c>
      <c r="D147" t="s">
        <v>394</v>
      </c>
      <c r="E147" t="s">
        <v>16</v>
      </c>
      <c r="F147">
        <v>2</v>
      </c>
      <c r="G147">
        <v>14500</v>
      </c>
      <c r="H147">
        <v>66.5</v>
      </c>
      <c r="I147">
        <v>800</v>
      </c>
      <c r="J147">
        <v>180</v>
      </c>
      <c r="K147">
        <v>720</v>
      </c>
      <c r="L147">
        <v>0.92</v>
      </c>
    </row>
    <row r="148" spans="1:12" x14ac:dyDescent="0.25">
      <c r="A148" t="s">
        <v>37</v>
      </c>
      <c r="B148" t="s">
        <v>395</v>
      </c>
      <c r="C148" t="s">
        <v>396</v>
      </c>
      <c r="D148" t="s">
        <v>215</v>
      </c>
      <c r="E148" t="s">
        <v>75</v>
      </c>
      <c r="F148">
        <v>3</v>
      </c>
      <c r="G148">
        <v>11300</v>
      </c>
      <c r="H148">
        <v>65.8</v>
      </c>
      <c r="I148">
        <v>750</v>
      </c>
      <c r="J148">
        <v>180</v>
      </c>
      <c r="K148">
        <v>720</v>
      </c>
      <c r="L148">
        <v>0.92</v>
      </c>
    </row>
    <row r="149" spans="1:12" x14ac:dyDescent="0.25">
      <c r="A149" t="s">
        <v>37</v>
      </c>
      <c r="B149" t="s">
        <v>397</v>
      </c>
      <c r="C149" t="s">
        <v>398</v>
      </c>
      <c r="D149" t="s">
        <v>399</v>
      </c>
      <c r="E149" t="s">
        <v>16</v>
      </c>
      <c r="F149">
        <v>2</v>
      </c>
      <c r="G149">
        <v>15200</v>
      </c>
      <c r="H149">
        <v>70.2</v>
      </c>
      <c r="I149">
        <v>1000</v>
      </c>
      <c r="J149">
        <v>180</v>
      </c>
      <c r="K149">
        <v>720</v>
      </c>
      <c r="L149">
        <v>0.92</v>
      </c>
    </row>
    <row r="150" spans="1:12" x14ac:dyDescent="0.25">
      <c r="A150" t="s">
        <v>37</v>
      </c>
      <c r="B150" t="s">
        <v>400</v>
      </c>
      <c r="C150" t="s">
        <v>401</v>
      </c>
      <c r="D150" t="s">
        <v>63</v>
      </c>
      <c r="E150" t="s">
        <v>75</v>
      </c>
      <c r="F150">
        <v>3</v>
      </c>
      <c r="G150">
        <v>11400</v>
      </c>
      <c r="H150">
        <v>69.5</v>
      </c>
      <c r="I150">
        <v>950</v>
      </c>
      <c r="J150">
        <v>180</v>
      </c>
      <c r="K150">
        <v>720</v>
      </c>
      <c r="L150">
        <v>0.92</v>
      </c>
    </row>
    <row r="151" spans="1:12" x14ac:dyDescent="0.25">
      <c r="A151" t="s">
        <v>37</v>
      </c>
      <c r="B151" t="s">
        <v>402</v>
      </c>
      <c r="C151" t="s">
        <v>403</v>
      </c>
      <c r="D151" t="s">
        <v>59</v>
      </c>
      <c r="E151" t="s">
        <v>16</v>
      </c>
      <c r="F151">
        <v>2</v>
      </c>
      <c r="G151">
        <v>14900</v>
      </c>
      <c r="H151">
        <v>65.2</v>
      </c>
      <c r="I151">
        <v>750</v>
      </c>
      <c r="J151">
        <v>180</v>
      </c>
      <c r="K151">
        <v>720</v>
      </c>
      <c r="L151">
        <v>0.92</v>
      </c>
    </row>
    <row r="152" spans="1:12" x14ac:dyDescent="0.25">
      <c r="A152" t="s">
        <v>37</v>
      </c>
      <c r="B152" t="s">
        <v>38</v>
      </c>
      <c r="C152" t="s">
        <v>404</v>
      </c>
      <c r="D152" t="s">
        <v>24</v>
      </c>
      <c r="E152" t="s">
        <v>16</v>
      </c>
      <c r="F152">
        <v>2</v>
      </c>
      <c r="G152">
        <v>15400</v>
      </c>
      <c r="H152">
        <v>73.5</v>
      </c>
      <c r="I152">
        <v>1100</v>
      </c>
      <c r="J152">
        <v>180</v>
      </c>
      <c r="K152">
        <v>720</v>
      </c>
      <c r="L152">
        <v>0.92</v>
      </c>
    </row>
    <row r="153" spans="1:12" x14ac:dyDescent="0.25">
      <c r="A153" t="s">
        <v>41</v>
      </c>
      <c r="B153" t="s">
        <v>41</v>
      </c>
      <c r="C153" t="s">
        <v>405</v>
      </c>
      <c r="D153" t="s">
        <v>15</v>
      </c>
      <c r="E153" t="s">
        <v>75</v>
      </c>
      <c r="F153">
        <v>4</v>
      </c>
      <c r="G153">
        <v>32500</v>
      </c>
      <c r="H153">
        <v>81.099999999999994</v>
      </c>
      <c r="I153">
        <v>1500</v>
      </c>
      <c r="J153">
        <v>90</v>
      </c>
      <c r="K153">
        <v>800</v>
      </c>
      <c r="L153">
        <v>1.34</v>
      </c>
    </row>
    <row r="154" spans="1:12" x14ac:dyDescent="0.25">
      <c r="A154" t="s">
        <v>41</v>
      </c>
      <c r="B154" t="s">
        <v>41</v>
      </c>
      <c r="C154" t="s">
        <v>406</v>
      </c>
      <c r="D154" t="s">
        <v>215</v>
      </c>
      <c r="E154" t="s">
        <v>75</v>
      </c>
      <c r="F154">
        <v>4</v>
      </c>
      <c r="G154">
        <v>31800</v>
      </c>
      <c r="H154">
        <v>81.099999999999994</v>
      </c>
      <c r="I154">
        <v>1500</v>
      </c>
      <c r="J154">
        <v>90</v>
      </c>
      <c r="K154">
        <v>800</v>
      </c>
      <c r="L154">
        <v>1.34</v>
      </c>
    </row>
    <row r="155" spans="1:12" x14ac:dyDescent="0.25">
      <c r="A155" t="s">
        <v>41</v>
      </c>
      <c r="B155" t="s">
        <v>41</v>
      </c>
      <c r="C155" t="s">
        <v>407</v>
      </c>
      <c r="D155" t="s">
        <v>408</v>
      </c>
      <c r="E155" t="s">
        <v>75</v>
      </c>
      <c r="F155">
        <v>4</v>
      </c>
      <c r="G155">
        <v>31200</v>
      </c>
      <c r="H155">
        <v>81.099999999999994</v>
      </c>
      <c r="I155">
        <v>1500</v>
      </c>
      <c r="J155">
        <v>90</v>
      </c>
      <c r="K155">
        <v>800</v>
      </c>
      <c r="L155">
        <v>1.34</v>
      </c>
    </row>
    <row r="156" spans="1:12" x14ac:dyDescent="0.25">
      <c r="A156" t="s">
        <v>41</v>
      </c>
      <c r="B156" t="s">
        <v>41</v>
      </c>
      <c r="C156" t="s">
        <v>409</v>
      </c>
      <c r="D156" t="s">
        <v>207</v>
      </c>
      <c r="E156" t="s">
        <v>75</v>
      </c>
      <c r="F156">
        <v>4</v>
      </c>
      <c r="G156">
        <v>29800</v>
      </c>
      <c r="H156">
        <v>81.099999999999994</v>
      </c>
      <c r="I156">
        <v>1500</v>
      </c>
      <c r="J156">
        <v>90</v>
      </c>
      <c r="K156">
        <v>800</v>
      </c>
      <c r="L156">
        <v>1.34</v>
      </c>
    </row>
    <row r="157" spans="1:12" x14ac:dyDescent="0.25">
      <c r="A157" t="s">
        <v>41</v>
      </c>
      <c r="B157" t="s">
        <v>41</v>
      </c>
      <c r="C157" t="s">
        <v>410</v>
      </c>
      <c r="D157" t="s">
        <v>40</v>
      </c>
      <c r="E157" t="s">
        <v>16</v>
      </c>
      <c r="F157">
        <v>2</v>
      </c>
      <c r="G157">
        <v>35600</v>
      </c>
      <c r="H157">
        <v>81.099999999999994</v>
      </c>
      <c r="I157">
        <v>1500</v>
      </c>
      <c r="J157">
        <v>90</v>
      </c>
      <c r="K157">
        <v>800</v>
      </c>
      <c r="L157">
        <v>1.34</v>
      </c>
    </row>
    <row r="158" spans="1:12" x14ac:dyDescent="0.25">
      <c r="A158" t="s">
        <v>41</v>
      </c>
      <c r="B158" t="s">
        <v>41</v>
      </c>
      <c r="C158" t="s">
        <v>411</v>
      </c>
      <c r="D158" t="s">
        <v>412</v>
      </c>
      <c r="E158" t="s">
        <v>16</v>
      </c>
      <c r="F158">
        <v>2</v>
      </c>
      <c r="G158">
        <v>34900</v>
      </c>
      <c r="H158">
        <v>81.099999999999994</v>
      </c>
      <c r="I158">
        <v>1500</v>
      </c>
      <c r="J158">
        <v>90</v>
      </c>
      <c r="K158">
        <v>800</v>
      </c>
      <c r="L158">
        <v>1.34</v>
      </c>
    </row>
    <row r="159" spans="1:12" x14ac:dyDescent="0.25">
      <c r="A159" t="s">
        <v>41</v>
      </c>
      <c r="B159" t="s">
        <v>41</v>
      </c>
      <c r="C159" t="s">
        <v>407</v>
      </c>
      <c r="D159" t="s">
        <v>413</v>
      </c>
      <c r="E159" t="s">
        <v>16</v>
      </c>
      <c r="F159">
        <v>2</v>
      </c>
      <c r="G159">
        <v>33800</v>
      </c>
      <c r="H159">
        <v>81.099999999999994</v>
      </c>
      <c r="I159">
        <v>1500</v>
      </c>
      <c r="J159">
        <v>90</v>
      </c>
      <c r="K159">
        <v>800</v>
      </c>
      <c r="L159">
        <v>1.34</v>
      </c>
    </row>
    <row r="160" spans="1:12" x14ac:dyDescent="0.25">
      <c r="A160" t="s">
        <v>41</v>
      </c>
      <c r="B160" t="s">
        <v>41</v>
      </c>
      <c r="C160" t="s">
        <v>414</v>
      </c>
      <c r="D160" t="s">
        <v>415</v>
      </c>
      <c r="E160" t="s">
        <v>16</v>
      </c>
      <c r="F160">
        <v>2</v>
      </c>
      <c r="G160">
        <v>34200</v>
      </c>
      <c r="H160">
        <v>81.099999999999994</v>
      </c>
      <c r="I160">
        <v>1500</v>
      </c>
      <c r="J160">
        <v>90</v>
      </c>
      <c r="K160">
        <v>800</v>
      </c>
      <c r="L160">
        <v>1.34</v>
      </c>
    </row>
    <row r="161" spans="1:12" x14ac:dyDescent="0.25">
      <c r="A161" t="s">
        <v>41</v>
      </c>
      <c r="B161" t="s">
        <v>41</v>
      </c>
      <c r="C161" t="s">
        <v>410</v>
      </c>
      <c r="D161" t="s">
        <v>63</v>
      </c>
      <c r="E161" t="s">
        <v>1369</v>
      </c>
      <c r="F161">
        <v>4</v>
      </c>
      <c r="G161">
        <v>38500</v>
      </c>
      <c r="H161">
        <v>81.099999999999994</v>
      </c>
      <c r="I161">
        <v>1500</v>
      </c>
      <c r="J161">
        <v>90</v>
      </c>
      <c r="K161">
        <v>800</v>
      </c>
      <c r="L161">
        <v>1.34</v>
      </c>
    </row>
    <row r="162" spans="1:12" x14ac:dyDescent="0.25">
      <c r="A162" t="s">
        <v>41</v>
      </c>
      <c r="B162" t="s">
        <v>41</v>
      </c>
      <c r="C162" t="s">
        <v>411</v>
      </c>
      <c r="D162" t="s">
        <v>416</v>
      </c>
      <c r="E162" t="s">
        <v>1369</v>
      </c>
      <c r="F162">
        <v>4</v>
      </c>
      <c r="G162">
        <v>37900</v>
      </c>
      <c r="H162">
        <v>81.099999999999994</v>
      </c>
      <c r="I162">
        <v>1500</v>
      </c>
      <c r="J162">
        <v>90</v>
      </c>
      <c r="K162">
        <v>800</v>
      </c>
      <c r="L162">
        <v>1.34</v>
      </c>
    </row>
    <row r="163" spans="1:12" x14ac:dyDescent="0.25">
      <c r="A163" t="s">
        <v>44</v>
      </c>
      <c r="B163" t="s">
        <v>45</v>
      </c>
      <c r="C163" t="s">
        <v>417</v>
      </c>
      <c r="D163" t="s">
        <v>15</v>
      </c>
      <c r="E163" t="s">
        <v>16</v>
      </c>
      <c r="F163">
        <v>2</v>
      </c>
      <c r="G163">
        <v>15600</v>
      </c>
      <c r="H163">
        <v>74.599999999999994</v>
      </c>
      <c r="I163">
        <v>1500</v>
      </c>
      <c r="J163">
        <v>99</v>
      </c>
      <c r="K163">
        <v>650</v>
      </c>
      <c r="L163">
        <v>0.92</v>
      </c>
    </row>
    <row r="164" spans="1:12" x14ac:dyDescent="0.25">
      <c r="A164" t="s">
        <v>44</v>
      </c>
      <c r="B164" t="s">
        <v>418</v>
      </c>
      <c r="C164" t="s">
        <v>419</v>
      </c>
      <c r="D164" t="s">
        <v>207</v>
      </c>
      <c r="E164" t="s">
        <v>75</v>
      </c>
      <c r="F164">
        <v>3</v>
      </c>
      <c r="G164">
        <v>4200</v>
      </c>
      <c r="H164">
        <v>65.8</v>
      </c>
      <c r="I164">
        <v>750</v>
      </c>
      <c r="J164">
        <v>99</v>
      </c>
      <c r="K164">
        <v>650</v>
      </c>
      <c r="L164">
        <v>0.92</v>
      </c>
    </row>
    <row r="165" spans="1:12" x14ac:dyDescent="0.25">
      <c r="A165" t="s">
        <v>44</v>
      </c>
      <c r="B165" t="s">
        <v>420</v>
      </c>
      <c r="C165" t="s">
        <v>421</v>
      </c>
      <c r="D165" t="s">
        <v>20</v>
      </c>
      <c r="E165" t="s">
        <v>16</v>
      </c>
      <c r="F165">
        <v>2</v>
      </c>
      <c r="G165">
        <v>4800</v>
      </c>
      <c r="H165">
        <v>68.5</v>
      </c>
      <c r="I165">
        <v>850</v>
      </c>
      <c r="J165">
        <v>99</v>
      </c>
      <c r="K165">
        <v>650</v>
      </c>
      <c r="L165">
        <v>0.92</v>
      </c>
    </row>
    <row r="166" spans="1:12" x14ac:dyDescent="0.25">
      <c r="A166" t="s">
        <v>44</v>
      </c>
      <c r="B166" t="s">
        <v>422</v>
      </c>
      <c r="C166" t="s">
        <v>423</v>
      </c>
      <c r="D166" t="s">
        <v>40</v>
      </c>
      <c r="E166" t="s">
        <v>16</v>
      </c>
      <c r="F166">
        <v>2</v>
      </c>
      <c r="G166">
        <v>4500</v>
      </c>
      <c r="H166">
        <v>66.400000000000006</v>
      </c>
      <c r="I166">
        <v>800</v>
      </c>
      <c r="J166">
        <v>99</v>
      </c>
      <c r="K166">
        <v>650</v>
      </c>
      <c r="L166">
        <v>0.92</v>
      </c>
    </row>
    <row r="167" spans="1:12" x14ac:dyDescent="0.25">
      <c r="A167" t="s">
        <v>44</v>
      </c>
      <c r="B167" t="s">
        <v>424</v>
      </c>
      <c r="C167" t="s">
        <v>425</v>
      </c>
      <c r="D167" t="s">
        <v>63</v>
      </c>
      <c r="E167" t="s">
        <v>75</v>
      </c>
      <c r="F167">
        <v>3</v>
      </c>
      <c r="G167">
        <v>3900</v>
      </c>
      <c r="H167">
        <v>69.2</v>
      </c>
      <c r="I167">
        <v>900</v>
      </c>
      <c r="J167">
        <v>99</v>
      </c>
      <c r="K167">
        <v>650</v>
      </c>
      <c r="L167">
        <v>0.92</v>
      </c>
    </row>
    <row r="168" spans="1:12" x14ac:dyDescent="0.25">
      <c r="A168" t="s">
        <v>44</v>
      </c>
      <c r="B168" t="s">
        <v>426</v>
      </c>
      <c r="C168" t="s">
        <v>427</v>
      </c>
      <c r="D168" t="s">
        <v>215</v>
      </c>
      <c r="E168" t="s">
        <v>16</v>
      </c>
      <c r="F168">
        <v>2</v>
      </c>
      <c r="G168">
        <v>4200</v>
      </c>
      <c r="H168">
        <v>67.8</v>
      </c>
      <c r="I168">
        <v>850</v>
      </c>
      <c r="J168">
        <v>99</v>
      </c>
      <c r="K168">
        <v>650</v>
      </c>
      <c r="L168">
        <v>0.92</v>
      </c>
    </row>
    <row r="169" spans="1:12" x14ac:dyDescent="0.25">
      <c r="A169" t="s">
        <v>44</v>
      </c>
      <c r="B169" t="s">
        <v>428</v>
      </c>
      <c r="C169" t="s">
        <v>429</v>
      </c>
      <c r="D169" t="s">
        <v>241</v>
      </c>
      <c r="E169" t="s">
        <v>75</v>
      </c>
      <c r="F169">
        <v>3</v>
      </c>
      <c r="G169">
        <v>3800</v>
      </c>
      <c r="H169">
        <v>65.5</v>
      </c>
      <c r="I169">
        <v>750</v>
      </c>
      <c r="J169">
        <v>99</v>
      </c>
      <c r="K169">
        <v>650</v>
      </c>
      <c r="L169">
        <v>0.92</v>
      </c>
    </row>
    <row r="170" spans="1:12" x14ac:dyDescent="0.25">
      <c r="A170" t="s">
        <v>44</v>
      </c>
      <c r="B170" t="s">
        <v>430</v>
      </c>
      <c r="C170" t="s">
        <v>431</v>
      </c>
      <c r="D170" t="s">
        <v>300</v>
      </c>
      <c r="E170" t="s">
        <v>16</v>
      </c>
      <c r="F170">
        <v>2</v>
      </c>
      <c r="G170">
        <v>4500</v>
      </c>
      <c r="H170">
        <v>64.8</v>
      </c>
      <c r="I170">
        <v>700</v>
      </c>
      <c r="J170">
        <v>99</v>
      </c>
      <c r="K170">
        <v>650</v>
      </c>
      <c r="L170">
        <v>0.92</v>
      </c>
    </row>
    <row r="171" spans="1:12" x14ac:dyDescent="0.25">
      <c r="A171" t="s">
        <v>44</v>
      </c>
      <c r="B171" t="s">
        <v>432</v>
      </c>
      <c r="C171" t="s">
        <v>433</v>
      </c>
      <c r="D171" t="s">
        <v>434</v>
      </c>
      <c r="E171" t="s">
        <v>75</v>
      </c>
      <c r="F171">
        <v>3</v>
      </c>
      <c r="G171">
        <v>3900</v>
      </c>
      <c r="H171">
        <v>66.2</v>
      </c>
      <c r="I171">
        <v>800</v>
      </c>
      <c r="J171">
        <v>99</v>
      </c>
      <c r="K171">
        <v>650</v>
      </c>
      <c r="L171">
        <v>0.92</v>
      </c>
    </row>
    <row r="172" spans="1:12" x14ac:dyDescent="0.25">
      <c r="A172" t="s">
        <v>44</v>
      </c>
      <c r="B172" t="s">
        <v>435</v>
      </c>
      <c r="C172" t="s">
        <v>436</v>
      </c>
      <c r="D172" t="s">
        <v>251</v>
      </c>
      <c r="E172" t="s">
        <v>16</v>
      </c>
      <c r="F172">
        <v>2</v>
      </c>
      <c r="G172">
        <v>4100</v>
      </c>
      <c r="H172">
        <v>65.900000000000006</v>
      </c>
      <c r="I172">
        <v>750</v>
      </c>
      <c r="J172">
        <v>99</v>
      </c>
      <c r="K172">
        <v>650</v>
      </c>
      <c r="L172">
        <v>0.92</v>
      </c>
    </row>
    <row r="173" spans="1:12" x14ac:dyDescent="0.25">
      <c r="A173" t="s">
        <v>48</v>
      </c>
      <c r="B173" t="s">
        <v>437</v>
      </c>
      <c r="C173" t="s">
        <v>438</v>
      </c>
      <c r="D173" t="s">
        <v>15</v>
      </c>
      <c r="E173" t="s">
        <v>16</v>
      </c>
      <c r="F173">
        <v>2</v>
      </c>
      <c r="G173">
        <v>1460</v>
      </c>
      <c r="H173">
        <v>89.8</v>
      </c>
      <c r="I173">
        <v>1900</v>
      </c>
      <c r="J173">
        <v>88</v>
      </c>
      <c r="K173">
        <v>1200</v>
      </c>
      <c r="L173">
        <v>0.89</v>
      </c>
    </row>
    <row r="174" spans="1:12" x14ac:dyDescent="0.25">
      <c r="A174" t="s">
        <v>48</v>
      </c>
      <c r="B174" t="s">
        <v>439</v>
      </c>
      <c r="C174" t="s">
        <v>440</v>
      </c>
      <c r="D174" t="s">
        <v>20</v>
      </c>
      <c r="E174" t="s">
        <v>75</v>
      </c>
      <c r="F174">
        <v>3</v>
      </c>
      <c r="G174">
        <v>1380</v>
      </c>
      <c r="H174">
        <v>90.5</v>
      </c>
      <c r="I174">
        <v>2000</v>
      </c>
      <c r="J174">
        <v>88</v>
      </c>
      <c r="K174">
        <v>1200</v>
      </c>
      <c r="L174">
        <v>0.89</v>
      </c>
    </row>
    <row r="175" spans="1:12" x14ac:dyDescent="0.25">
      <c r="A175" t="s">
        <v>48</v>
      </c>
      <c r="B175" t="s">
        <v>441</v>
      </c>
      <c r="C175" t="s">
        <v>442</v>
      </c>
      <c r="D175" t="s">
        <v>207</v>
      </c>
      <c r="E175" t="s">
        <v>16</v>
      </c>
      <c r="F175">
        <v>2</v>
      </c>
      <c r="G175">
        <v>1420</v>
      </c>
      <c r="H175">
        <v>85.4</v>
      </c>
      <c r="I175">
        <v>1700</v>
      </c>
      <c r="J175">
        <v>88</v>
      </c>
      <c r="K175">
        <v>1200</v>
      </c>
      <c r="L175">
        <v>0.89</v>
      </c>
    </row>
    <row r="176" spans="1:12" x14ac:dyDescent="0.25">
      <c r="A176" t="s">
        <v>48</v>
      </c>
      <c r="B176" t="s">
        <v>443</v>
      </c>
      <c r="C176" t="s">
        <v>444</v>
      </c>
      <c r="D176" t="s">
        <v>445</v>
      </c>
      <c r="E176" t="s">
        <v>75</v>
      </c>
      <c r="F176">
        <v>3</v>
      </c>
      <c r="G176">
        <v>1440</v>
      </c>
      <c r="H176">
        <v>86.2</v>
      </c>
      <c r="I176">
        <v>1600</v>
      </c>
      <c r="J176">
        <v>88</v>
      </c>
      <c r="K176">
        <v>1200</v>
      </c>
      <c r="L176">
        <v>0.89</v>
      </c>
    </row>
    <row r="177" spans="1:12" x14ac:dyDescent="0.25">
      <c r="A177" t="s">
        <v>48</v>
      </c>
      <c r="B177" t="s">
        <v>446</v>
      </c>
      <c r="C177" t="s">
        <v>447</v>
      </c>
      <c r="D177" t="s">
        <v>40</v>
      </c>
      <c r="E177" t="s">
        <v>16</v>
      </c>
      <c r="F177">
        <v>2</v>
      </c>
      <c r="G177">
        <v>1460</v>
      </c>
      <c r="H177">
        <v>84.5</v>
      </c>
      <c r="I177">
        <v>1500</v>
      </c>
      <c r="J177">
        <v>88</v>
      </c>
      <c r="K177">
        <v>1200</v>
      </c>
      <c r="L177">
        <v>0.89</v>
      </c>
    </row>
    <row r="178" spans="1:12" x14ac:dyDescent="0.25">
      <c r="A178" t="s">
        <v>48</v>
      </c>
      <c r="B178" t="s">
        <v>448</v>
      </c>
      <c r="C178" t="s">
        <v>449</v>
      </c>
      <c r="D178" t="s">
        <v>63</v>
      </c>
      <c r="E178" t="s">
        <v>75</v>
      </c>
      <c r="F178">
        <v>3</v>
      </c>
      <c r="G178">
        <v>1380</v>
      </c>
      <c r="H178">
        <v>83.8</v>
      </c>
      <c r="I178">
        <v>1400</v>
      </c>
      <c r="J178">
        <v>88</v>
      </c>
      <c r="K178">
        <v>1200</v>
      </c>
      <c r="L178">
        <v>0.89</v>
      </c>
    </row>
    <row r="179" spans="1:12" x14ac:dyDescent="0.25">
      <c r="A179" t="s">
        <v>48</v>
      </c>
      <c r="B179" t="s">
        <v>450</v>
      </c>
      <c r="C179" t="s">
        <v>451</v>
      </c>
      <c r="D179" t="s">
        <v>215</v>
      </c>
      <c r="E179" t="s">
        <v>16</v>
      </c>
      <c r="F179">
        <v>2</v>
      </c>
      <c r="G179">
        <v>1420</v>
      </c>
      <c r="H179">
        <v>84.2</v>
      </c>
      <c r="I179">
        <v>1500</v>
      </c>
      <c r="J179">
        <v>88</v>
      </c>
      <c r="K179">
        <v>1200</v>
      </c>
      <c r="L179">
        <v>0.89</v>
      </c>
    </row>
    <row r="180" spans="1:12" x14ac:dyDescent="0.25">
      <c r="A180" t="s">
        <v>48</v>
      </c>
      <c r="B180" t="s">
        <v>131</v>
      </c>
      <c r="C180" t="s">
        <v>452</v>
      </c>
      <c r="D180" t="s">
        <v>453</v>
      </c>
      <c r="E180" t="s">
        <v>16</v>
      </c>
      <c r="F180">
        <v>2</v>
      </c>
      <c r="G180">
        <v>1440</v>
      </c>
      <c r="H180">
        <v>87.5</v>
      </c>
      <c r="I180">
        <v>1800</v>
      </c>
      <c r="J180">
        <v>88</v>
      </c>
      <c r="K180">
        <v>1200</v>
      </c>
      <c r="L180">
        <v>0.89</v>
      </c>
    </row>
    <row r="181" spans="1:12" x14ac:dyDescent="0.25">
      <c r="A181" t="s">
        <v>48</v>
      </c>
      <c r="B181" t="s">
        <v>454</v>
      </c>
      <c r="C181" t="s">
        <v>455</v>
      </c>
      <c r="D181" t="s">
        <v>456</v>
      </c>
      <c r="E181" t="s">
        <v>75</v>
      </c>
      <c r="F181">
        <v>3</v>
      </c>
      <c r="G181">
        <v>1380</v>
      </c>
      <c r="H181">
        <v>85.8</v>
      </c>
      <c r="I181">
        <v>1600</v>
      </c>
      <c r="J181">
        <v>88</v>
      </c>
      <c r="K181">
        <v>1200</v>
      </c>
      <c r="L181">
        <v>0.89</v>
      </c>
    </row>
    <row r="182" spans="1:12" x14ac:dyDescent="0.25">
      <c r="A182" t="s">
        <v>48</v>
      </c>
      <c r="B182" t="s">
        <v>457</v>
      </c>
      <c r="C182" t="s">
        <v>458</v>
      </c>
      <c r="D182" t="s">
        <v>251</v>
      </c>
      <c r="E182" t="s">
        <v>16</v>
      </c>
      <c r="F182">
        <v>2</v>
      </c>
      <c r="G182">
        <v>1460</v>
      </c>
      <c r="H182">
        <v>86.4</v>
      </c>
      <c r="I182">
        <v>1700</v>
      </c>
      <c r="J182">
        <v>88</v>
      </c>
      <c r="K182">
        <v>1200</v>
      </c>
      <c r="L182">
        <v>0.89</v>
      </c>
    </row>
    <row r="183" spans="1:12" x14ac:dyDescent="0.25">
      <c r="A183" t="s">
        <v>56</v>
      </c>
      <c r="B183" t="s">
        <v>57</v>
      </c>
      <c r="C183" t="s">
        <v>58</v>
      </c>
      <c r="D183" t="s">
        <v>15</v>
      </c>
      <c r="E183" t="s">
        <v>16</v>
      </c>
      <c r="F183">
        <v>2</v>
      </c>
      <c r="G183">
        <v>8800</v>
      </c>
      <c r="H183">
        <v>83.2</v>
      </c>
      <c r="I183">
        <v>1500</v>
      </c>
      <c r="J183">
        <v>110</v>
      </c>
      <c r="K183">
        <v>600</v>
      </c>
      <c r="L183">
        <v>0.15</v>
      </c>
    </row>
    <row r="184" spans="1:12" x14ac:dyDescent="0.25">
      <c r="A184" t="s">
        <v>56</v>
      </c>
      <c r="B184" t="s">
        <v>459</v>
      </c>
      <c r="C184" t="s">
        <v>460</v>
      </c>
      <c r="D184" t="s">
        <v>20</v>
      </c>
      <c r="E184" t="s">
        <v>16</v>
      </c>
      <c r="F184">
        <v>2</v>
      </c>
      <c r="G184">
        <v>8600</v>
      </c>
      <c r="H184">
        <v>77.400000000000006</v>
      </c>
      <c r="I184">
        <v>1200</v>
      </c>
      <c r="J184">
        <v>110</v>
      </c>
      <c r="K184">
        <v>600</v>
      </c>
      <c r="L184">
        <v>0.15</v>
      </c>
    </row>
    <row r="185" spans="1:12" x14ac:dyDescent="0.25">
      <c r="A185" t="s">
        <v>56</v>
      </c>
      <c r="B185" t="s">
        <v>158</v>
      </c>
      <c r="C185" t="s">
        <v>159</v>
      </c>
      <c r="D185" t="s">
        <v>207</v>
      </c>
      <c r="E185" t="s">
        <v>16</v>
      </c>
      <c r="F185">
        <v>2</v>
      </c>
      <c r="G185">
        <v>8400</v>
      </c>
      <c r="H185">
        <v>75.099999999999994</v>
      </c>
      <c r="I185">
        <v>1000</v>
      </c>
      <c r="J185">
        <v>110</v>
      </c>
      <c r="K185">
        <v>600</v>
      </c>
      <c r="L185">
        <v>0.15</v>
      </c>
    </row>
    <row r="186" spans="1:12" x14ac:dyDescent="0.25">
      <c r="A186" t="s">
        <v>60</v>
      </c>
      <c r="B186" t="s">
        <v>61</v>
      </c>
      <c r="C186" t="s">
        <v>62</v>
      </c>
      <c r="D186" t="s">
        <v>15</v>
      </c>
      <c r="E186" t="s">
        <v>16</v>
      </c>
      <c r="F186">
        <v>3</v>
      </c>
      <c r="G186">
        <v>8900</v>
      </c>
      <c r="H186">
        <v>51.2</v>
      </c>
      <c r="I186">
        <v>800</v>
      </c>
      <c r="J186">
        <v>140</v>
      </c>
      <c r="K186">
        <v>400</v>
      </c>
      <c r="L186">
        <v>7.15</v>
      </c>
    </row>
    <row r="187" spans="1:12" x14ac:dyDescent="0.25">
      <c r="A187" t="s">
        <v>60</v>
      </c>
      <c r="B187" t="s">
        <v>61</v>
      </c>
      <c r="C187" t="s">
        <v>461</v>
      </c>
      <c r="D187" t="s">
        <v>20</v>
      </c>
      <c r="E187" t="s">
        <v>16</v>
      </c>
      <c r="F187">
        <v>3</v>
      </c>
      <c r="G187">
        <v>8500</v>
      </c>
      <c r="H187">
        <v>51.2</v>
      </c>
      <c r="I187">
        <v>750</v>
      </c>
      <c r="J187">
        <v>140</v>
      </c>
      <c r="K187">
        <v>400</v>
      </c>
      <c r="L187">
        <v>7.15</v>
      </c>
    </row>
    <row r="188" spans="1:12" x14ac:dyDescent="0.25">
      <c r="A188" t="s">
        <v>60</v>
      </c>
      <c r="B188" t="s">
        <v>462</v>
      </c>
      <c r="C188" t="s">
        <v>463</v>
      </c>
      <c r="D188" t="s">
        <v>207</v>
      </c>
      <c r="E188" t="s">
        <v>16</v>
      </c>
      <c r="F188">
        <v>2.5</v>
      </c>
      <c r="G188">
        <v>7800</v>
      </c>
      <c r="H188">
        <v>48.9</v>
      </c>
      <c r="I188">
        <v>700</v>
      </c>
      <c r="J188">
        <v>140</v>
      </c>
      <c r="K188">
        <v>400</v>
      </c>
      <c r="L188">
        <v>7.15</v>
      </c>
    </row>
    <row r="189" spans="1:12" x14ac:dyDescent="0.25">
      <c r="A189" t="s">
        <v>60</v>
      </c>
      <c r="B189" t="s">
        <v>462</v>
      </c>
      <c r="C189" t="s">
        <v>464</v>
      </c>
      <c r="D189" t="s">
        <v>40</v>
      </c>
      <c r="E189" t="s">
        <v>16</v>
      </c>
      <c r="F189">
        <v>2.5</v>
      </c>
      <c r="G189">
        <v>8200</v>
      </c>
      <c r="H189">
        <v>48.9</v>
      </c>
      <c r="I189">
        <v>720</v>
      </c>
      <c r="J189">
        <v>140</v>
      </c>
      <c r="K189">
        <v>400</v>
      </c>
      <c r="L189">
        <v>7.15</v>
      </c>
    </row>
    <row r="190" spans="1:12" x14ac:dyDescent="0.25">
      <c r="A190" t="s">
        <v>60</v>
      </c>
      <c r="B190" t="s">
        <v>465</v>
      </c>
      <c r="C190" t="s">
        <v>466</v>
      </c>
      <c r="D190" t="s">
        <v>63</v>
      </c>
      <c r="E190" t="s">
        <v>16</v>
      </c>
      <c r="F190">
        <v>3</v>
      </c>
      <c r="G190">
        <v>7500</v>
      </c>
      <c r="H190">
        <v>45.3</v>
      </c>
      <c r="I190">
        <v>550</v>
      </c>
      <c r="J190">
        <v>140</v>
      </c>
      <c r="K190">
        <v>400</v>
      </c>
      <c r="L190">
        <v>7.15</v>
      </c>
    </row>
    <row r="191" spans="1:12" x14ac:dyDescent="0.25">
      <c r="A191" t="s">
        <v>60</v>
      </c>
      <c r="B191" t="s">
        <v>467</v>
      </c>
      <c r="C191" t="s">
        <v>468</v>
      </c>
      <c r="D191" t="s">
        <v>222</v>
      </c>
      <c r="E191" t="s">
        <v>16</v>
      </c>
      <c r="F191">
        <v>3</v>
      </c>
      <c r="G191">
        <v>7200</v>
      </c>
      <c r="H191">
        <v>44.1</v>
      </c>
      <c r="I191">
        <v>500</v>
      </c>
      <c r="J191">
        <v>140</v>
      </c>
      <c r="K191">
        <v>400</v>
      </c>
      <c r="L191">
        <v>7.15</v>
      </c>
    </row>
    <row r="192" spans="1:12" x14ac:dyDescent="0.25">
      <c r="A192" t="s">
        <v>60</v>
      </c>
      <c r="B192" t="s">
        <v>469</v>
      </c>
      <c r="C192" t="s">
        <v>470</v>
      </c>
      <c r="D192" t="s">
        <v>15</v>
      </c>
      <c r="E192" t="s">
        <v>16</v>
      </c>
      <c r="F192">
        <v>3</v>
      </c>
      <c r="G192">
        <v>6900</v>
      </c>
      <c r="H192">
        <v>43.8</v>
      </c>
      <c r="I192">
        <v>480</v>
      </c>
      <c r="J192">
        <v>140</v>
      </c>
      <c r="K192">
        <v>400</v>
      </c>
      <c r="L192">
        <v>7.15</v>
      </c>
    </row>
    <row r="193" spans="1:12" x14ac:dyDescent="0.25">
      <c r="A193" t="s">
        <v>60</v>
      </c>
      <c r="B193" t="s">
        <v>471</v>
      </c>
      <c r="C193" t="s">
        <v>472</v>
      </c>
      <c r="D193" t="s">
        <v>207</v>
      </c>
      <c r="E193" t="s">
        <v>16</v>
      </c>
      <c r="F193">
        <v>3</v>
      </c>
      <c r="G193">
        <v>6500</v>
      </c>
      <c r="H193">
        <v>41.2</v>
      </c>
      <c r="I193">
        <v>450</v>
      </c>
      <c r="J193">
        <v>140</v>
      </c>
      <c r="K193">
        <v>400</v>
      </c>
      <c r="L193">
        <v>7.15</v>
      </c>
    </row>
    <row r="194" spans="1:12" x14ac:dyDescent="0.25">
      <c r="A194" t="s">
        <v>60</v>
      </c>
      <c r="B194" t="s">
        <v>473</v>
      </c>
      <c r="C194" t="s">
        <v>474</v>
      </c>
      <c r="D194" t="s">
        <v>20</v>
      </c>
      <c r="E194" t="s">
        <v>16</v>
      </c>
      <c r="F194">
        <v>3</v>
      </c>
      <c r="G194">
        <v>6300</v>
      </c>
      <c r="H194">
        <v>40.5</v>
      </c>
      <c r="I194">
        <v>420</v>
      </c>
      <c r="J194">
        <v>140</v>
      </c>
      <c r="K194">
        <v>400</v>
      </c>
      <c r="L194">
        <v>7.15</v>
      </c>
    </row>
    <row r="195" spans="1:12" x14ac:dyDescent="0.25">
      <c r="A195" t="s">
        <v>60</v>
      </c>
      <c r="B195" t="s">
        <v>475</v>
      </c>
      <c r="C195" t="s">
        <v>476</v>
      </c>
      <c r="D195" t="s">
        <v>63</v>
      </c>
      <c r="E195" t="s">
        <v>16</v>
      </c>
      <c r="F195">
        <v>3</v>
      </c>
      <c r="G195">
        <v>6100</v>
      </c>
      <c r="H195">
        <v>39.799999999999997</v>
      </c>
      <c r="I195">
        <v>400</v>
      </c>
      <c r="J195">
        <v>140</v>
      </c>
      <c r="K195">
        <v>400</v>
      </c>
      <c r="L195">
        <v>7.15</v>
      </c>
    </row>
    <row r="196" spans="1:12" x14ac:dyDescent="0.25">
      <c r="A196" t="s">
        <v>64</v>
      </c>
      <c r="B196" t="s">
        <v>65</v>
      </c>
      <c r="C196" t="s">
        <v>66</v>
      </c>
      <c r="D196" t="s">
        <v>15</v>
      </c>
      <c r="E196" t="s">
        <v>16</v>
      </c>
      <c r="F196">
        <v>2</v>
      </c>
      <c r="G196">
        <v>7200</v>
      </c>
      <c r="H196">
        <v>85.1</v>
      </c>
      <c r="I196">
        <v>950</v>
      </c>
      <c r="J196">
        <v>90</v>
      </c>
      <c r="K196">
        <v>800</v>
      </c>
      <c r="L196">
        <v>1300</v>
      </c>
    </row>
    <row r="197" spans="1:12" x14ac:dyDescent="0.25">
      <c r="A197" t="s">
        <v>64</v>
      </c>
      <c r="B197" t="s">
        <v>65</v>
      </c>
      <c r="C197" t="s">
        <v>477</v>
      </c>
      <c r="D197" t="s">
        <v>40</v>
      </c>
      <c r="E197" t="s">
        <v>16</v>
      </c>
      <c r="F197">
        <v>2</v>
      </c>
      <c r="G197">
        <v>7000</v>
      </c>
      <c r="H197">
        <v>85.1</v>
      </c>
      <c r="I197">
        <v>920</v>
      </c>
      <c r="J197">
        <v>90</v>
      </c>
      <c r="K197">
        <v>800</v>
      </c>
      <c r="L197">
        <v>1300</v>
      </c>
    </row>
    <row r="198" spans="1:12" x14ac:dyDescent="0.25">
      <c r="A198" t="s">
        <v>64</v>
      </c>
      <c r="B198" t="s">
        <v>65</v>
      </c>
      <c r="C198" t="s">
        <v>478</v>
      </c>
      <c r="D198" t="s">
        <v>20</v>
      </c>
      <c r="E198" t="s">
        <v>16</v>
      </c>
      <c r="F198">
        <v>2</v>
      </c>
      <c r="G198">
        <v>6900</v>
      </c>
      <c r="H198">
        <v>85.1</v>
      </c>
      <c r="I198">
        <v>900</v>
      </c>
      <c r="J198">
        <v>90</v>
      </c>
      <c r="K198">
        <v>800</v>
      </c>
      <c r="L198">
        <v>1300</v>
      </c>
    </row>
    <row r="199" spans="1:12" x14ac:dyDescent="0.25">
      <c r="A199" t="s">
        <v>64</v>
      </c>
      <c r="B199" t="s">
        <v>65</v>
      </c>
      <c r="C199" t="s">
        <v>479</v>
      </c>
      <c r="D199" t="s">
        <v>207</v>
      </c>
      <c r="E199" t="s">
        <v>16</v>
      </c>
      <c r="F199">
        <v>2</v>
      </c>
      <c r="G199">
        <v>6500</v>
      </c>
      <c r="H199">
        <v>85.1</v>
      </c>
      <c r="I199">
        <v>850</v>
      </c>
      <c r="J199">
        <v>90</v>
      </c>
      <c r="K199">
        <v>800</v>
      </c>
      <c r="L199">
        <v>1300</v>
      </c>
    </row>
    <row r="200" spans="1:12" x14ac:dyDescent="0.25">
      <c r="A200" t="s">
        <v>64</v>
      </c>
      <c r="B200" t="s">
        <v>65</v>
      </c>
      <c r="C200" t="s">
        <v>480</v>
      </c>
      <c r="D200" t="s">
        <v>63</v>
      </c>
      <c r="E200" t="s">
        <v>16</v>
      </c>
      <c r="F200">
        <v>2</v>
      </c>
      <c r="G200">
        <v>6400</v>
      </c>
      <c r="H200">
        <v>85.1</v>
      </c>
      <c r="I200">
        <v>840</v>
      </c>
      <c r="J200">
        <v>90</v>
      </c>
      <c r="K200">
        <v>800</v>
      </c>
      <c r="L200">
        <v>1300</v>
      </c>
    </row>
    <row r="201" spans="1:12" x14ac:dyDescent="0.25">
      <c r="A201" t="s">
        <v>64</v>
      </c>
      <c r="B201" t="s">
        <v>165</v>
      </c>
      <c r="C201" t="s">
        <v>166</v>
      </c>
      <c r="D201" t="s">
        <v>481</v>
      </c>
      <c r="E201" t="s">
        <v>16</v>
      </c>
      <c r="F201">
        <v>2</v>
      </c>
      <c r="G201">
        <v>6800</v>
      </c>
      <c r="H201">
        <v>75.400000000000006</v>
      </c>
      <c r="I201">
        <v>700</v>
      </c>
      <c r="J201">
        <v>90</v>
      </c>
      <c r="K201">
        <v>800</v>
      </c>
      <c r="L201">
        <v>1300</v>
      </c>
    </row>
    <row r="202" spans="1:12" x14ac:dyDescent="0.25">
      <c r="A202" t="s">
        <v>64</v>
      </c>
      <c r="B202" t="s">
        <v>165</v>
      </c>
      <c r="C202" t="s">
        <v>482</v>
      </c>
      <c r="D202" t="s">
        <v>215</v>
      </c>
      <c r="E202" t="s">
        <v>16</v>
      </c>
      <c r="F202">
        <v>2</v>
      </c>
      <c r="G202">
        <v>5900</v>
      </c>
      <c r="H202">
        <v>75.400000000000006</v>
      </c>
      <c r="I202">
        <v>650</v>
      </c>
      <c r="J202">
        <v>90</v>
      </c>
      <c r="K202">
        <v>800</v>
      </c>
      <c r="L202">
        <v>1300</v>
      </c>
    </row>
    <row r="203" spans="1:12" x14ac:dyDescent="0.25">
      <c r="A203" t="s">
        <v>64</v>
      </c>
      <c r="B203" t="s">
        <v>72</v>
      </c>
      <c r="C203" t="s">
        <v>73</v>
      </c>
      <c r="D203" t="s">
        <v>15</v>
      </c>
      <c r="E203" t="s">
        <v>16</v>
      </c>
      <c r="F203">
        <v>2</v>
      </c>
      <c r="G203">
        <v>5800</v>
      </c>
      <c r="H203">
        <v>73.2</v>
      </c>
      <c r="I203">
        <v>600</v>
      </c>
      <c r="J203">
        <v>90</v>
      </c>
      <c r="K203">
        <v>800</v>
      </c>
      <c r="L203">
        <v>1300</v>
      </c>
    </row>
    <row r="204" spans="1:12" x14ac:dyDescent="0.25">
      <c r="A204" t="s">
        <v>64</v>
      </c>
      <c r="B204" t="s">
        <v>72</v>
      </c>
      <c r="C204" t="s">
        <v>483</v>
      </c>
      <c r="D204" t="s">
        <v>207</v>
      </c>
      <c r="E204" t="s">
        <v>16</v>
      </c>
      <c r="F204">
        <v>2</v>
      </c>
      <c r="G204">
        <v>5600</v>
      </c>
      <c r="H204">
        <v>73.2</v>
      </c>
      <c r="I204">
        <v>580</v>
      </c>
      <c r="J204">
        <v>90</v>
      </c>
      <c r="K204">
        <v>800</v>
      </c>
      <c r="L204">
        <v>1300</v>
      </c>
    </row>
    <row r="205" spans="1:12" x14ac:dyDescent="0.25">
      <c r="A205" t="s">
        <v>64</v>
      </c>
      <c r="B205" t="s">
        <v>484</v>
      </c>
      <c r="C205" t="s">
        <v>485</v>
      </c>
      <c r="D205" t="s">
        <v>71</v>
      </c>
      <c r="E205" t="s">
        <v>16</v>
      </c>
      <c r="F205">
        <v>2</v>
      </c>
      <c r="G205">
        <v>5500</v>
      </c>
      <c r="H205">
        <v>71.8</v>
      </c>
      <c r="I205">
        <v>550</v>
      </c>
      <c r="J205">
        <v>90</v>
      </c>
      <c r="K205">
        <v>800</v>
      </c>
      <c r="L205">
        <v>1300</v>
      </c>
    </row>
    <row r="206" spans="1:12" x14ac:dyDescent="0.25">
      <c r="A206" t="s">
        <v>64</v>
      </c>
      <c r="B206" t="s">
        <v>484</v>
      </c>
      <c r="C206" t="s">
        <v>486</v>
      </c>
      <c r="D206" t="s">
        <v>63</v>
      </c>
      <c r="E206" t="s">
        <v>16</v>
      </c>
      <c r="F206">
        <v>2</v>
      </c>
      <c r="G206">
        <v>5400</v>
      </c>
      <c r="H206">
        <v>71.8</v>
      </c>
      <c r="I206">
        <v>530</v>
      </c>
      <c r="J206">
        <v>90</v>
      </c>
      <c r="K206">
        <v>800</v>
      </c>
      <c r="L206">
        <v>1300</v>
      </c>
    </row>
    <row r="207" spans="1:12" x14ac:dyDescent="0.25">
      <c r="A207" t="s">
        <v>64</v>
      </c>
      <c r="B207" t="s">
        <v>487</v>
      </c>
      <c r="C207" t="s">
        <v>488</v>
      </c>
      <c r="D207" t="s">
        <v>222</v>
      </c>
      <c r="E207" t="s">
        <v>16</v>
      </c>
      <c r="F207">
        <v>2</v>
      </c>
      <c r="G207">
        <v>5300</v>
      </c>
      <c r="H207">
        <v>70.5</v>
      </c>
      <c r="I207">
        <v>520</v>
      </c>
      <c r="J207">
        <v>90</v>
      </c>
      <c r="K207">
        <v>800</v>
      </c>
      <c r="L207">
        <v>1300</v>
      </c>
    </row>
    <row r="208" spans="1:12" x14ac:dyDescent="0.25">
      <c r="A208" t="s">
        <v>64</v>
      </c>
      <c r="B208" t="s">
        <v>487</v>
      </c>
      <c r="C208" t="s">
        <v>489</v>
      </c>
      <c r="D208" t="s">
        <v>15</v>
      </c>
      <c r="E208" t="s">
        <v>16</v>
      </c>
      <c r="F208">
        <v>2</v>
      </c>
      <c r="G208">
        <v>5200</v>
      </c>
      <c r="H208">
        <v>70.5</v>
      </c>
      <c r="I208">
        <v>500</v>
      </c>
      <c r="J208">
        <v>90</v>
      </c>
      <c r="K208">
        <v>800</v>
      </c>
      <c r="L208">
        <v>1300</v>
      </c>
    </row>
    <row r="209" spans="1:12" x14ac:dyDescent="0.25">
      <c r="A209" t="s">
        <v>64</v>
      </c>
      <c r="B209" t="s">
        <v>490</v>
      </c>
      <c r="C209" t="s">
        <v>491</v>
      </c>
      <c r="D209" t="s">
        <v>492</v>
      </c>
      <c r="E209" t="s">
        <v>16</v>
      </c>
      <c r="F209">
        <v>2</v>
      </c>
      <c r="G209">
        <v>6100</v>
      </c>
      <c r="H209">
        <v>72.3</v>
      </c>
      <c r="I209">
        <v>580</v>
      </c>
      <c r="J209">
        <v>90</v>
      </c>
      <c r="K209">
        <v>800</v>
      </c>
      <c r="L209">
        <v>1300</v>
      </c>
    </row>
    <row r="210" spans="1:12" x14ac:dyDescent="0.25">
      <c r="A210" t="s">
        <v>64</v>
      </c>
      <c r="B210" t="s">
        <v>490</v>
      </c>
      <c r="C210" t="s">
        <v>493</v>
      </c>
      <c r="D210" t="s">
        <v>260</v>
      </c>
      <c r="E210" t="s">
        <v>16</v>
      </c>
      <c r="F210">
        <v>2</v>
      </c>
      <c r="G210">
        <v>5100</v>
      </c>
      <c r="H210">
        <v>72.3</v>
      </c>
      <c r="I210">
        <v>550</v>
      </c>
      <c r="J210">
        <v>90</v>
      </c>
      <c r="K210">
        <v>800</v>
      </c>
      <c r="L210">
        <v>1300</v>
      </c>
    </row>
    <row r="211" spans="1:12" x14ac:dyDescent="0.25">
      <c r="A211" t="s">
        <v>64</v>
      </c>
      <c r="B211" t="s">
        <v>494</v>
      </c>
      <c r="C211" t="s">
        <v>495</v>
      </c>
      <c r="D211" t="s">
        <v>63</v>
      </c>
      <c r="E211" t="s">
        <v>16</v>
      </c>
      <c r="F211">
        <v>2</v>
      </c>
      <c r="G211">
        <v>6300</v>
      </c>
      <c r="H211">
        <v>71.2</v>
      </c>
      <c r="I211">
        <v>570</v>
      </c>
      <c r="J211">
        <v>90</v>
      </c>
      <c r="K211">
        <v>800</v>
      </c>
      <c r="L211">
        <v>1300</v>
      </c>
    </row>
    <row r="212" spans="1:12" x14ac:dyDescent="0.25">
      <c r="A212" t="s">
        <v>64</v>
      </c>
      <c r="B212" t="s">
        <v>496</v>
      </c>
      <c r="C212" t="s">
        <v>497</v>
      </c>
      <c r="D212" t="s">
        <v>20</v>
      </c>
      <c r="E212" t="s">
        <v>16</v>
      </c>
      <c r="F212">
        <v>2</v>
      </c>
      <c r="G212">
        <v>5000</v>
      </c>
      <c r="H212">
        <v>76.400000000000006</v>
      </c>
      <c r="I212">
        <v>600</v>
      </c>
      <c r="J212">
        <v>90</v>
      </c>
      <c r="K212">
        <v>800</v>
      </c>
      <c r="L212">
        <v>1300</v>
      </c>
    </row>
    <row r="213" spans="1:12" x14ac:dyDescent="0.25">
      <c r="A213" t="s">
        <v>64</v>
      </c>
      <c r="B213" t="s">
        <v>498</v>
      </c>
      <c r="C213" t="s">
        <v>499</v>
      </c>
      <c r="D213" t="s">
        <v>500</v>
      </c>
      <c r="E213" t="s">
        <v>16</v>
      </c>
      <c r="F213">
        <v>2</v>
      </c>
      <c r="G213">
        <v>5900</v>
      </c>
      <c r="H213">
        <v>77.8</v>
      </c>
      <c r="I213">
        <v>650</v>
      </c>
      <c r="J213">
        <v>90</v>
      </c>
      <c r="K213">
        <v>800</v>
      </c>
      <c r="L213">
        <v>1300</v>
      </c>
    </row>
    <row r="214" spans="1:12" x14ac:dyDescent="0.25">
      <c r="A214" t="s">
        <v>64</v>
      </c>
      <c r="B214" t="s">
        <v>165</v>
      </c>
      <c r="C214" t="s">
        <v>501</v>
      </c>
      <c r="D214" t="s">
        <v>502</v>
      </c>
      <c r="E214" t="s">
        <v>16</v>
      </c>
      <c r="F214">
        <v>2</v>
      </c>
      <c r="G214">
        <v>4900</v>
      </c>
      <c r="H214">
        <v>75.400000000000006</v>
      </c>
      <c r="I214">
        <v>540</v>
      </c>
      <c r="J214">
        <v>90</v>
      </c>
      <c r="K214">
        <v>800</v>
      </c>
      <c r="L214">
        <v>1300</v>
      </c>
    </row>
    <row r="215" spans="1:12" x14ac:dyDescent="0.25">
      <c r="A215" t="s">
        <v>64</v>
      </c>
      <c r="B215" t="s">
        <v>503</v>
      </c>
      <c r="C215" t="s">
        <v>504</v>
      </c>
      <c r="D215" t="s">
        <v>505</v>
      </c>
      <c r="E215" t="s">
        <v>16</v>
      </c>
      <c r="F215">
        <v>2</v>
      </c>
      <c r="G215">
        <v>4800</v>
      </c>
      <c r="H215">
        <v>70.099999999999994</v>
      </c>
      <c r="I215">
        <v>520</v>
      </c>
      <c r="J215">
        <v>90</v>
      </c>
      <c r="K215">
        <v>800</v>
      </c>
      <c r="L215">
        <v>1300</v>
      </c>
    </row>
    <row r="216" spans="1:12" x14ac:dyDescent="0.25">
      <c r="A216" t="s">
        <v>12</v>
      </c>
      <c r="B216" t="s">
        <v>120</v>
      </c>
      <c r="C216" t="s">
        <v>121</v>
      </c>
      <c r="D216" t="s">
        <v>15</v>
      </c>
      <c r="E216" t="s">
        <v>75</v>
      </c>
      <c r="F216">
        <v>4</v>
      </c>
      <c r="G216">
        <v>57000</v>
      </c>
      <c r="H216">
        <v>95.2</v>
      </c>
      <c r="I216">
        <v>2400</v>
      </c>
      <c r="J216">
        <v>160</v>
      </c>
      <c r="K216">
        <v>1500</v>
      </c>
      <c r="L216">
        <v>1</v>
      </c>
    </row>
    <row r="217" spans="1:12" x14ac:dyDescent="0.25">
      <c r="A217" t="s">
        <v>12</v>
      </c>
      <c r="B217" t="s">
        <v>13</v>
      </c>
      <c r="C217" t="s">
        <v>123</v>
      </c>
      <c r="D217" t="s">
        <v>15</v>
      </c>
      <c r="E217" t="s">
        <v>75</v>
      </c>
      <c r="F217">
        <v>4</v>
      </c>
      <c r="G217">
        <v>55800</v>
      </c>
      <c r="H217">
        <v>83.5</v>
      </c>
      <c r="I217">
        <v>2300</v>
      </c>
      <c r="J217">
        <v>160</v>
      </c>
      <c r="K217">
        <v>1500</v>
      </c>
      <c r="L217">
        <v>1</v>
      </c>
    </row>
    <row r="218" spans="1:12" x14ac:dyDescent="0.25">
      <c r="A218" t="s">
        <v>12</v>
      </c>
      <c r="B218" t="s">
        <v>506</v>
      </c>
      <c r="C218" t="s">
        <v>507</v>
      </c>
      <c r="D218" t="s">
        <v>15</v>
      </c>
      <c r="E218" t="s">
        <v>75</v>
      </c>
      <c r="F218">
        <v>4</v>
      </c>
      <c r="G218">
        <v>54500</v>
      </c>
      <c r="H218">
        <v>79.8</v>
      </c>
      <c r="I218">
        <v>2100</v>
      </c>
      <c r="J218">
        <v>160</v>
      </c>
      <c r="K218">
        <v>1500</v>
      </c>
      <c r="L218">
        <v>1</v>
      </c>
    </row>
    <row r="219" spans="1:12" x14ac:dyDescent="0.25">
      <c r="A219" t="s">
        <v>12</v>
      </c>
      <c r="B219" t="s">
        <v>508</v>
      </c>
      <c r="C219" t="s">
        <v>509</v>
      </c>
      <c r="D219" t="s">
        <v>15</v>
      </c>
      <c r="E219" t="s">
        <v>75</v>
      </c>
      <c r="F219">
        <v>4</v>
      </c>
      <c r="G219">
        <v>54000</v>
      </c>
      <c r="H219">
        <v>81.2</v>
      </c>
      <c r="I219">
        <v>2000</v>
      </c>
      <c r="J219">
        <v>160</v>
      </c>
      <c r="K219">
        <v>1500</v>
      </c>
      <c r="L219">
        <v>1</v>
      </c>
    </row>
    <row r="220" spans="1:12" x14ac:dyDescent="0.25">
      <c r="A220" t="s">
        <v>12</v>
      </c>
      <c r="B220" t="s">
        <v>269</v>
      </c>
      <c r="C220" t="s">
        <v>270</v>
      </c>
      <c r="D220" t="s">
        <v>15</v>
      </c>
      <c r="E220" t="s">
        <v>75</v>
      </c>
      <c r="F220">
        <v>4</v>
      </c>
      <c r="G220">
        <v>53500</v>
      </c>
      <c r="H220">
        <v>82.4</v>
      </c>
      <c r="I220">
        <v>1900</v>
      </c>
      <c r="J220">
        <v>160</v>
      </c>
      <c r="K220">
        <v>1500</v>
      </c>
      <c r="L220">
        <v>1</v>
      </c>
    </row>
    <row r="221" spans="1:12" x14ac:dyDescent="0.25">
      <c r="A221" t="s">
        <v>12</v>
      </c>
      <c r="B221" t="s">
        <v>510</v>
      </c>
      <c r="C221" t="s">
        <v>511</v>
      </c>
      <c r="D221" t="s">
        <v>15</v>
      </c>
      <c r="E221" t="s">
        <v>75</v>
      </c>
      <c r="F221">
        <v>4</v>
      </c>
      <c r="G221">
        <v>43000</v>
      </c>
      <c r="H221">
        <v>88.7</v>
      </c>
      <c r="I221">
        <v>2200</v>
      </c>
      <c r="J221">
        <v>160</v>
      </c>
      <c r="K221">
        <v>1500</v>
      </c>
      <c r="L221">
        <v>1</v>
      </c>
    </row>
    <row r="222" spans="1:12" x14ac:dyDescent="0.25">
      <c r="A222" t="s">
        <v>12</v>
      </c>
      <c r="B222" t="s">
        <v>170</v>
      </c>
      <c r="C222" t="s">
        <v>171</v>
      </c>
      <c r="D222" t="s">
        <v>15</v>
      </c>
      <c r="E222" t="s">
        <v>75</v>
      </c>
      <c r="F222">
        <v>4</v>
      </c>
      <c r="G222">
        <v>43500</v>
      </c>
      <c r="H222">
        <v>91.5</v>
      </c>
      <c r="I222">
        <v>2300</v>
      </c>
      <c r="J222">
        <v>160</v>
      </c>
      <c r="K222">
        <v>1500</v>
      </c>
      <c r="L222">
        <v>1</v>
      </c>
    </row>
    <row r="223" spans="1:12" x14ac:dyDescent="0.25">
      <c r="A223" t="s">
        <v>12</v>
      </c>
      <c r="B223" t="s">
        <v>88</v>
      </c>
      <c r="C223" t="s">
        <v>89</v>
      </c>
      <c r="D223" t="s">
        <v>15</v>
      </c>
      <c r="E223" t="s">
        <v>75</v>
      </c>
      <c r="F223">
        <v>4</v>
      </c>
      <c r="G223">
        <v>52000</v>
      </c>
      <c r="H223">
        <v>75.400000000000006</v>
      </c>
      <c r="I223">
        <v>1700</v>
      </c>
      <c r="J223">
        <v>160</v>
      </c>
      <c r="K223">
        <v>1500</v>
      </c>
      <c r="L223">
        <v>1</v>
      </c>
    </row>
    <row r="224" spans="1:12" x14ac:dyDescent="0.25">
      <c r="A224" t="s">
        <v>12</v>
      </c>
      <c r="B224" t="s">
        <v>94</v>
      </c>
      <c r="C224" t="s">
        <v>512</v>
      </c>
      <c r="D224" t="s">
        <v>15</v>
      </c>
      <c r="E224" t="s">
        <v>75</v>
      </c>
      <c r="F224">
        <v>4</v>
      </c>
      <c r="G224">
        <v>40500</v>
      </c>
      <c r="H224">
        <v>72.8</v>
      </c>
      <c r="I224">
        <v>1800</v>
      </c>
      <c r="J224">
        <v>160</v>
      </c>
      <c r="K224">
        <v>1500</v>
      </c>
      <c r="L224">
        <v>1</v>
      </c>
    </row>
    <row r="225" spans="1:12" x14ac:dyDescent="0.25">
      <c r="A225" t="s">
        <v>12</v>
      </c>
      <c r="B225" t="s">
        <v>149</v>
      </c>
      <c r="C225" t="s">
        <v>150</v>
      </c>
      <c r="D225" t="s">
        <v>15</v>
      </c>
      <c r="E225" t="s">
        <v>75</v>
      </c>
      <c r="F225">
        <v>4</v>
      </c>
      <c r="G225">
        <v>39800</v>
      </c>
      <c r="H225">
        <v>85.6</v>
      </c>
      <c r="I225">
        <v>2000</v>
      </c>
      <c r="J225">
        <v>160</v>
      </c>
      <c r="K225">
        <v>1500</v>
      </c>
      <c r="L225">
        <v>1</v>
      </c>
    </row>
    <row r="226" spans="1:12" x14ac:dyDescent="0.25">
      <c r="A226" t="s">
        <v>12</v>
      </c>
      <c r="B226" t="s">
        <v>279</v>
      </c>
      <c r="C226" t="s">
        <v>513</v>
      </c>
      <c r="D226" t="s">
        <v>15</v>
      </c>
      <c r="E226" t="s">
        <v>75</v>
      </c>
      <c r="F226">
        <v>4</v>
      </c>
      <c r="G226">
        <v>37500</v>
      </c>
      <c r="H226">
        <v>71.2</v>
      </c>
      <c r="I226">
        <v>1600</v>
      </c>
      <c r="J226">
        <v>160</v>
      </c>
      <c r="K226">
        <v>1500</v>
      </c>
      <c r="L226">
        <v>1</v>
      </c>
    </row>
    <row r="227" spans="1:12" x14ac:dyDescent="0.25">
      <c r="A227" t="s">
        <v>12</v>
      </c>
      <c r="B227" t="s">
        <v>514</v>
      </c>
      <c r="C227" t="s">
        <v>515</v>
      </c>
      <c r="D227" t="s">
        <v>15</v>
      </c>
      <c r="E227" t="s">
        <v>75</v>
      </c>
      <c r="F227">
        <v>4</v>
      </c>
      <c r="G227">
        <v>36800</v>
      </c>
      <c r="H227">
        <v>70.5</v>
      </c>
      <c r="I227">
        <v>1500</v>
      </c>
      <c r="J227">
        <v>160</v>
      </c>
      <c r="K227">
        <v>1500</v>
      </c>
      <c r="L227">
        <v>1</v>
      </c>
    </row>
    <row r="228" spans="1:12" x14ac:dyDescent="0.25">
      <c r="A228" t="s">
        <v>12</v>
      </c>
      <c r="B228" t="s">
        <v>91</v>
      </c>
      <c r="C228" t="s">
        <v>92</v>
      </c>
      <c r="D228" t="s">
        <v>15</v>
      </c>
      <c r="E228" t="s">
        <v>75</v>
      </c>
      <c r="F228">
        <v>4</v>
      </c>
      <c r="G228">
        <v>33500</v>
      </c>
      <c r="H228">
        <v>76.8</v>
      </c>
      <c r="I228">
        <v>1700</v>
      </c>
      <c r="J228">
        <v>160</v>
      </c>
      <c r="K228">
        <v>1500</v>
      </c>
      <c r="L228">
        <v>1</v>
      </c>
    </row>
    <row r="229" spans="1:12" x14ac:dyDescent="0.25">
      <c r="A229" t="s">
        <v>12</v>
      </c>
      <c r="B229" t="s">
        <v>516</v>
      </c>
      <c r="C229" t="s">
        <v>517</v>
      </c>
      <c r="D229" t="s">
        <v>15</v>
      </c>
      <c r="E229" t="s">
        <v>75</v>
      </c>
      <c r="F229">
        <v>4</v>
      </c>
      <c r="G229">
        <v>32800</v>
      </c>
      <c r="H229">
        <v>71.400000000000006</v>
      </c>
      <c r="I229">
        <v>1400</v>
      </c>
      <c r="J229">
        <v>160</v>
      </c>
      <c r="K229">
        <v>1500</v>
      </c>
      <c r="L229">
        <v>1</v>
      </c>
    </row>
    <row r="230" spans="1:12" x14ac:dyDescent="0.25">
      <c r="A230" t="s">
        <v>12</v>
      </c>
      <c r="B230" t="s">
        <v>518</v>
      </c>
      <c r="C230" t="s">
        <v>519</v>
      </c>
      <c r="D230" t="s">
        <v>15</v>
      </c>
      <c r="E230" t="s">
        <v>75</v>
      </c>
      <c r="F230">
        <v>4</v>
      </c>
      <c r="G230">
        <v>31500</v>
      </c>
      <c r="H230">
        <v>68.900000000000006</v>
      </c>
      <c r="I230">
        <v>1300</v>
      </c>
      <c r="J230">
        <v>160</v>
      </c>
      <c r="K230">
        <v>1500</v>
      </c>
      <c r="L230">
        <v>1</v>
      </c>
    </row>
    <row r="231" spans="1:12" x14ac:dyDescent="0.25">
      <c r="A231" t="s">
        <v>12</v>
      </c>
      <c r="B231" t="s">
        <v>520</v>
      </c>
      <c r="C231" t="s">
        <v>521</v>
      </c>
      <c r="D231" t="s">
        <v>15</v>
      </c>
      <c r="E231" t="s">
        <v>75</v>
      </c>
      <c r="F231">
        <v>4</v>
      </c>
      <c r="G231">
        <v>28500</v>
      </c>
      <c r="H231">
        <v>70.2</v>
      </c>
      <c r="I231">
        <v>1400</v>
      </c>
      <c r="J231">
        <v>160</v>
      </c>
      <c r="K231">
        <v>1500</v>
      </c>
      <c r="L231">
        <v>1</v>
      </c>
    </row>
    <row r="232" spans="1:12" x14ac:dyDescent="0.25">
      <c r="A232" t="s">
        <v>12</v>
      </c>
      <c r="B232" t="s">
        <v>281</v>
      </c>
      <c r="C232" t="s">
        <v>282</v>
      </c>
      <c r="D232" t="s">
        <v>15</v>
      </c>
      <c r="E232" t="s">
        <v>75</v>
      </c>
      <c r="F232">
        <v>4</v>
      </c>
      <c r="G232">
        <v>28000</v>
      </c>
      <c r="H232">
        <v>72.5</v>
      </c>
      <c r="I232">
        <v>1500</v>
      </c>
      <c r="J232">
        <v>160</v>
      </c>
      <c r="K232">
        <v>1500</v>
      </c>
      <c r="L232">
        <v>1</v>
      </c>
    </row>
    <row r="233" spans="1:12" x14ac:dyDescent="0.25">
      <c r="A233" t="s">
        <v>12</v>
      </c>
      <c r="B233" t="s">
        <v>522</v>
      </c>
      <c r="C233" t="s">
        <v>523</v>
      </c>
      <c r="D233" t="s">
        <v>15</v>
      </c>
      <c r="E233" t="s">
        <v>75</v>
      </c>
      <c r="F233">
        <v>4</v>
      </c>
      <c r="G233">
        <v>27500</v>
      </c>
      <c r="H233">
        <v>71.8</v>
      </c>
      <c r="I233">
        <v>1400</v>
      </c>
      <c r="J233">
        <v>160</v>
      </c>
      <c r="K233">
        <v>1500</v>
      </c>
      <c r="L233">
        <v>1</v>
      </c>
    </row>
    <row r="234" spans="1:12" x14ac:dyDescent="0.25">
      <c r="A234" t="s">
        <v>12</v>
      </c>
      <c r="B234" t="s">
        <v>524</v>
      </c>
      <c r="C234" t="s">
        <v>525</v>
      </c>
      <c r="D234" t="s">
        <v>15</v>
      </c>
      <c r="E234" t="s">
        <v>75</v>
      </c>
      <c r="F234">
        <v>4</v>
      </c>
      <c r="G234">
        <v>27000</v>
      </c>
      <c r="H234">
        <v>69.5</v>
      </c>
      <c r="I234">
        <v>1300</v>
      </c>
      <c r="J234">
        <v>160</v>
      </c>
      <c r="K234">
        <v>1500</v>
      </c>
      <c r="L234">
        <v>1</v>
      </c>
    </row>
    <row r="235" spans="1:12" x14ac:dyDescent="0.25">
      <c r="A235" t="s">
        <v>12</v>
      </c>
      <c r="B235" t="s">
        <v>526</v>
      </c>
      <c r="C235" t="s">
        <v>527</v>
      </c>
      <c r="D235" t="s">
        <v>15</v>
      </c>
      <c r="E235" t="s">
        <v>75</v>
      </c>
      <c r="F235">
        <v>4</v>
      </c>
      <c r="G235">
        <v>26500</v>
      </c>
      <c r="H235">
        <v>70.099999999999994</v>
      </c>
      <c r="I235">
        <v>1300</v>
      </c>
      <c r="J235">
        <v>160</v>
      </c>
      <c r="K235">
        <v>1500</v>
      </c>
      <c r="L235">
        <v>1</v>
      </c>
    </row>
    <row r="236" spans="1:12" x14ac:dyDescent="0.25">
      <c r="A236" t="s">
        <v>17</v>
      </c>
      <c r="B236" t="s">
        <v>13</v>
      </c>
      <c r="C236" t="s">
        <v>127</v>
      </c>
      <c r="D236" t="s">
        <v>15</v>
      </c>
      <c r="E236" t="s">
        <v>75</v>
      </c>
      <c r="F236">
        <v>3</v>
      </c>
      <c r="G236">
        <v>38500</v>
      </c>
      <c r="H236">
        <v>78.5</v>
      </c>
      <c r="I236">
        <v>1800</v>
      </c>
      <c r="J236">
        <v>490</v>
      </c>
      <c r="K236">
        <v>800</v>
      </c>
      <c r="L236">
        <v>0.79</v>
      </c>
    </row>
    <row r="237" spans="1:12" x14ac:dyDescent="0.25">
      <c r="A237" t="s">
        <v>17</v>
      </c>
      <c r="B237" t="s">
        <v>125</v>
      </c>
      <c r="C237" t="s">
        <v>126</v>
      </c>
      <c r="D237" t="s">
        <v>15</v>
      </c>
      <c r="E237" t="s">
        <v>75</v>
      </c>
      <c r="F237">
        <v>3</v>
      </c>
      <c r="G237">
        <v>37900</v>
      </c>
      <c r="H237">
        <v>77.8</v>
      </c>
      <c r="I237">
        <v>1850</v>
      </c>
      <c r="J237">
        <v>490</v>
      </c>
      <c r="K237">
        <v>800</v>
      </c>
      <c r="L237">
        <v>0.79</v>
      </c>
    </row>
    <row r="238" spans="1:12" x14ac:dyDescent="0.25">
      <c r="A238" t="s">
        <v>17</v>
      </c>
      <c r="B238" t="s">
        <v>18</v>
      </c>
      <c r="C238" t="s">
        <v>19</v>
      </c>
      <c r="D238" t="s">
        <v>15</v>
      </c>
      <c r="E238" t="s">
        <v>75</v>
      </c>
      <c r="F238">
        <v>3</v>
      </c>
      <c r="G238">
        <v>37500</v>
      </c>
      <c r="H238">
        <v>83.2</v>
      </c>
      <c r="I238">
        <v>2200</v>
      </c>
      <c r="J238">
        <v>490</v>
      </c>
      <c r="K238">
        <v>800</v>
      </c>
      <c r="L238">
        <v>0.79</v>
      </c>
    </row>
    <row r="239" spans="1:12" x14ac:dyDescent="0.25">
      <c r="A239" t="s">
        <v>17</v>
      </c>
      <c r="B239" t="s">
        <v>18</v>
      </c>
      <c r="C239" t="s">
        <v>289</v>
      </c>
      <c r="D239" t="s">
        <v>15</v>
      </c>
      <c r="E239" t="s">
        <v>75</v>
      </c>
      <c r="F239">
        <v>3</v>
      </c>
      <c r="G239">
        <v>36800</v>
      </c>
      <c r="H239">
        <v>83.2</v>
      </c>
      <c r="I239">
        <v>2100</v>
      </c>
      <c r="J239">
        <v>490</v>
      </c>
      <c r="K239">
        <v>800</v>
      </c>
      <c r="L239">
        <v>0.79</v>
      </c>
    </row>
    <row r="240" spans="1:12" x14ac:dyDescent="0.25">
      <c r="A240" t="s">
        <v>17</v>
      </c>
      <c r="B240" t="s">
        <v>18</v>
      </c>
      <c r="C240" t="s">
        <v>528</v>
      </c>
      <c r="D240" t="s">
        <v>15</v>
      </c>
      <c r="E240" t="s">
        <v>75</v>
      </c>
      <c r="F240">
        <v>3</v>
      </c>
      <c r="G240">
        <v>35500</v>
      </c>
      <c r="H240">
        <v>83.2</v>
      </c>
      <c r="I240">
        <v>2000</v>
      </c>
      <c r="J240">
        <v>490</v>
      </c>
      <c r="K240">
        <v>800</v>
      </c>
      <c r="L240">
        <v>0.79</v>
      </c>
    </row>
    <row r="241" spans="1:12" x14ac:dyDescent="0.25">
      <c r="A241" t="s">
        <v>17</v>
      </c>
      <c r="B241" t="s">
        <v>529</v>
      </c>
      <c r="C241" t="s">
        <v>530</v>
      </c>
      <c r="D241" t="s">
        <v>15</v>
      </c>
      <c r="E241" t="s">
        <v>75</v>
      </c>
      <c r="F241">
        <v>4</v>
      </c>
      <c r="G241">
        <v>32500</v>
      </c>
      <c r="H241">
        <v>75.400000000000006</v>
      </c>
      <c r="I241">
        <v>1600</v>
      </c>
      <c r="J241">
        <v>490</v>
      </c>
      <c r="K241">
        <v>800</v>
      </c>
      <c r="L241">
        <v>0.79</v>
      </c>
    </row>
    <row r="242" spans="1:12" x14ac:dyDescent="0.25">
      <c r="A242" t="s">
        <v>17</v>
      </c>
      <c r="B242" t="s">
        <v>172</v>
      </c>
      <c r="C242" t="s">
        <v>173</v>
      </c>
      <c r="D242" t="s">
        <v>15</v>
      </c>
      <c r="E242" t="s">
        <v>75</v>
      </c>
      <c r="F242">
        <v>3</v>
      </c>
      <c r="G242">
        <v>31800</v>
      </c>
      <c r="H242">
        <v>72.099999999999994</v>
      </c>
      <c r="I242">
        <v>1400</v>
      </c>
      <c r="J242">
        <v>490</v>
      </c>
      <c r="K242">
        <v>800</v>
      </c>
      <c r="L242">
        <v>0.79</v>
      </c>
    </row>
    <row r="243" spans="1:12" x14ac:dyDescent="0.25">
      <c r="A243" t="s">
        <v>17</v>
      </c>
      <c r="B243" t="s">
        <v>97</v>
      </c>
      <c r="C243" t="s">
        <v>98</v>
      </c>
      <c r="D243" t="s">
        <v>15</v>
      </c>
      <c r="E243" t="s">
        <v>75</v>
      </c>
      <c r="F243">
        <v>3</v>
      </c>
      <c r="G243">
        <v>31500</v>
      </c>
      <c r="H243">
        <v>74.8</v>
      </c>
      <c r="I243">
        <v>1500</v>
      </c>
      <c r="J243">
        <v>490</v>
      </c>
      <c r="K243">
        <v>800</v>
      </c>
      <c r="L243">
        <v>0.79</v>
      </c>
    </row>
    <row r="244" spans="1:12" x14ac:dyDescent="0.25">
      <c r="A244" t="s">
        <v>17</v>
      </c>
      <c r="B244" t="s">
        <v>292</v>
      </c>
      <c r="C244" t="s">
        <v>293</v>
      </c>
      <c r="D244" t="s">
        <v>15</v>
      </c>
      <c r="E244" t="s">
        <v>75</v>
      </c>
      <c r="F244">
        <v>3</v>
      </c>
      <c r="G244">
        <v>31200</v>
      </c>
      <c r="H244">
        <v>71.5</v>
      </c>
      <c r="I244">
        <v>1300</v>
      </c>
      <c r="J244">
        <v>490</v>
      </c>
      <c r="K244">
        <v>800</v>
      </c>
      <c r="L244">
        <v>0.79</v>
      </c>
    </row>
    <row r="245" spans="1:12" x14ac:dyDescent="0.25">
      <c r="A245" t="s">
        <v>17</v>
      </c>
      <c r="B245" t="s">
        <v>153</v>
      </c>
      <c r="C245" t="s">
        <v>154</v>
      </c>
      <c r="D245" t="s">
        <v>15</v>
      </c>
      <c r="E245" t="s">
        <v>75</v>
      </c>
      <c r="F245">
        <v>4</v>
      </c>
      <c r="G245">
        <v>30800</v>
      </c>
      <c r="H245">
        <v>73.2</v>
      </c>
      <c r="I245">
        <v>1400</v>
      </c>
      <c r="J245">
        <v>490</v>
      </c>
      <c r="K245">
        <v>800</v>
      </c>
      <c r="L245">
        <v>0.79</v>
      </c>
    </row>
    <row r="246" spans="1:12" x14ac:dyDescent="0.25">
      <c r="A246" t="s">
        <v>17</v>
      </c>
      <c r="B246" t="s">
        <v>296</v>
      </c>
      <c r="C246" t="s">
        <v>297</v>
      </c>
      <c r="D246" t="s">
        <v>15</v>
      </c>
      <c r="E246" t="s">
        <v>75</v>
      </c>
      <c r="F246">
        <v>3</v>
      </c>
      <c r="G246">
        <v>30500</v>
      </c>
      <c r="H246">
        <v>71.8</v>
      </c>
      <c r="I246">
        <v>1300</v>
      </c>
      <c r="J246">
        <v>490</v>
      </c>
      <c r="K246">
        <v>800</v>
      </c>
      <c r="L246">
        <v>0.79</v>
      </c>
    </row>
    <row r="247" spans="1:12" x14ac:dyDescent="0.25">
      <c r="A247" t="s">
        <v>17</v>
      </c>
      <c r="B247" t="s">
        <v>290</v>
      </c>
      <c r="C247" t="s">
        <v>291</v>
      </c>
      <c r="D247" t="s">
        <v>15</v>
      </c>
      <c r="E247" t="s">
        <v>75</v>
      </c>
      <c r="F247">
        <v>3</v>
      </c>
      <c r="G247">
        <v>30200</v>
      </c>
      <c r="H247">
        <v>71.2</v>
      </c>
      <c r="I247">
        <v>1250</v>
      </c>
      <c r="J247">
        <v>490</v>
      </c>
      <c r="K247">
        <v>800</v>
      </c>
      <c r="L247">
        <v>0.79</v>
      </c>
    </row>
    <row r="248" spans="1:12" x14ac:dyDescent="0.25">
      <c r="A248" t="s">
        <v>17</v>
      </c>
      <c r="B248" t="s">
        <v>294</v>
      </c>
      <c r="C248" t="s">
        <v>295</v>
      </c>
      <c r="D248" t="s">
        <v>15</v>
      </c>
      <c r="E248" t="s">
        <v>75</v>
      </c>
      <c r="F248">
        <v>3</v>
      </c>
      <c r="G248">
        <v>29800</v>
      </c>
      <c r="H248">
        <v>70.5</v>
      </c>
      <c r="I248">
        <v>1200</v>
      </c>
      <c r="J248">
        <v>490</v>
      </c>
      <c r="K248">
        <v>800</v>
      </c>
      <c r="L248">
        <v>0.79</v>
      </c>
    </row>
    <row r="249" spans="1:12" x14ac:dyDescent="0.25">
      <c r="A249" t="s">
        <v>17</v>
      </c>
      <c r="B249" t="s">
        <v>301</v>
      </c>
      <c r="C249" t="s">
        <v>302</v>
      </c>
      <c r="D249" t="s">
        <v>15</v>
      </c>
      <c r="E249" t="s">
        <v>75</v>
      </c>
      <c r="F249">
        <v>3</v>
      </c>
      <c r="G249">
        <v>29500</v>
      </c>
      <c r="H249">
        <v>70.8</v>
      </c>
      <c r="I249">
        <v>1150</v>
      </c>
      <c r="J249">
        <v>490</v>
      </c>
      <c r="K249">
        <v>800</v>
      </c>
      <c r="L249">
        <v>0.79</v>
      </c>
    </row>
    <row r="250" spans="1:12" x14ac:dyDescent="0.25">
      <c r="A250" t="s">
        <v>17</v>
      </c>
      <c r="B250" t="s">
        <v>298</v>
      </c>
      <c r="C250" t="s">
        <v>299</v>
      </c>
      <c r="D250" t="s">
        <v>15</v>
      </c>
      <c r="E250" t="s">
        <v>75</v>
      </c>
      <c r="F250">
        <v>3</v>
      </c>
      <c r="G250">
        <v>29200</v>
      </c>
      <c r="H250">
        <v>72.400000000000006</v>
      </c>
      <c r="I250">
        <v>1300</v>
      </c>
      <c r="J250">
        <v>490</v>
      </c>
      <c r="K250">
        <v>800</v>
      </c>
      <c r="L250">
        <v>0.79</v>
      </c>
    </row>
    <row r="251" spans="1:12" x14ac:dyDescent="0.25">
      <c r="A251" t="s">
        <v>17</v>
      </c>
      <c r="B251" t="s">
        <v>277</v>
      </c>
      <c r="C251" t="s">
        <v>531</v>
      </c>
      <c r="D251" t="s">
        <v>15</v>
      </c>
      <c r="E251" t="s">
        <v>75</v>
      </c>
      <c r="F251">
        <v>3</v>
      </c>
      <c r="G251">
        <v>28900</v>
      </c>
      <c r="H251">
        <v>71.599999999999994</v>
      </c>
      <c r="I251">
        <v>1250</v>
      </c>
      <c r="J251">
        <v>490</v>
      </c>
      <c r="K251">
        <v>800</v>
      </c>
      <c r="L251">
        <v>0.79</v>
      </c>
    </row>
    <row r="252" spans="1:12" x14ac:dyDescent="0.25">
      <c r="A252" t="s">
        <v>17</v>
      </c>
      <c r="B252" t="s">
        <v>532</v>
      </c>
      <c r="C252" t="s">
        <v>533</v>
      </c>
      <c r="D252" t="s">
        <v>15</v>
      </c>
      <c r="E252" t="s">
        <v>75</v>
      </c>
      <c r="F252">
        <v>3</v>
      </c>
      <c r="G252">
        <v>28600</v>
      </c>
      <c r="H252">
        <v>70.2</v>
      </c>
      <c r="I252">
        <v>1100</v>
      </c>
      <c r="J252">
        <v>490</v>
      </c>
      <c r="K252">
        <v>800</v>
      </c>
      <c r="L252">
        <v>0.79</v>
      </c>
    </row>
    <row r="253" spans="1:12" x14ac:dyDescent="0.25">
      <c r="A253" t="s">
        <v>17</v>
      </c>
      <c r="B253" t="s">
        <v>303</v>
      </c>
      <c r="C253" t="s">
        <v>304</v>
      </c>
      <c r="D253" t="s">
        <v>15</v>
      </c>
      <c r="E253" t="s">
        <v>75</v>
      </c>
      <c r="F253">
        <v>3</v>
      </c>
      <c r="G253">
        <v>28300</v>
      </c>
      <c r="H253">
        <v>69.8</v>
      </c>
      <c r="I253">
        <v>1050</v>
      </c>
      <c r="J253">
        <v>490</v>
      </c>
      <c r="K253">
        <v>800</v>
      </c>
      <c r="L253">
        <v>0.79</v>
      </c>
    </row>
    <row r="254" spans="1:12" x14ac:dyDescent="0.25">
      <c r="A254" t="s">
        <v>17</v>
      </c>
      <c r="B254" t="s">
        <v>231</v>
      </c>
      <c r="C254" t="s">
        <v>308</v>
      </c>
      <c r="D254" t="s">
        <v>15</v>
      </c>
      <c r="E254" t="s">
        <v>75</v>
      </c>
      <c r="F254">
        <v>3</v>
      </c>
      <c r="G254">
        <v>28000</v>
      </c>
      <c r="H254">
        <v>70.099999999999994</v>
      </c>
      <c r="I254">
        <v>1100</v>
      </c>
      <c r="J254">
        <v>490</v>
      </c>
      <c r="K254">
        <v>800</v>
      </c>
      <c r="L254">
        <v>0.79</v>
      </c>
    </row>
    <row r="255" spans="1:12" x14ac:dyDescent="0.25">
      <c r="A255" t="s">
        <v>17</v>
      </c>
      <c r="B255" t="s">
        <v>534</v>
      </c>
      <c r="C255" t="s">
        <v>535</v>
      </c>
      <c r="D255" t="s">
        <v>15</v>
      </c>
      <c r="E255" t="s">
        <v>75</v>
      </c>
      <c r="F255">
        <v>4</v>
      </c>
      <c r="G255">
        <v>27700</v>
      </c>
      <c r="H255">
        <v>69.5</v>
      </c>
      <c r="I255">
        <v>1000</v>
      </c>
      <c r="J255">
        <v>490</v>
      </c>
      <c r="K255">
        <v>800</v>
      </c>
      <c r="L255">
        <v>0.79</v>
      </c>
    </row>
    <row r="256" spans="1:12" x14ac:dyDescent="0.25">
      <c r="A256" t="s">
        <v>17</v>
      </c>
      <c r="B256" t="s">
        <v>536</v>
      </c>
      <c r="C256" t="s">
        <v>537</v>
      </c>
      <c r="D256" t="s">
        <v>15</v>
      </c>
      <c r="E256" t="s">
        <v>75</v>
      </c>
      <c r="F256">
        <v>3</v>
      </c>
      <c r="G256">
        <v>27400</v>
      </c>
      <c r="H256">
        <v>68.900000000000006</v>
      </c>
      <c r="I256">
        <v>950</v>
      </c>
      <c r="J256">
        <v>490</v>
      </c>
      <c r="K256">
        <v>800</v>
      </c>
      <c r="L256">
        <v>0.79</v>
      </c>
    </row>
    <row r="257" spans="1:12" x14ac:dyDescent="0.25">
      <c r="A257" t="s">
        <v>17</v>
      </c>
      <c r="B257" t="s">
        <v>538</v>
      </c>
      <c r="C257" t="s">
        <v>539</v>
      </c>
      <c r="D257" t="s">
        <v>15</v>
      </c>
      <c r="E257" t="s">
        <v>75</v>
      </c>
      <c r="F257">
        <v>3</v>
      </c>
      <c r="G257">
        <v>27100</v>
      </c>
      <c r="H257">
        <v>71.2</v>
      </c>
      <c r="I257">
        <v>1150</v>
      </c>
      <c r="J257">
        <v>490</v>
      </c>
      <c r="K257">
        <v>800</v>
      </c>
      <c r="L257">
        <v>0.79</v>
      </c>
    </row>
    <row r="258" spans="1:12" x14ac:dyDescent="0.25">
      <c r="A258" t="s">
        <v>17</v>
      </c>
      <c r="B258" t="s">
        <v>540</v>
      </c>
      <c r="C258" t="s">
        <v>541</v>
      </c>
      <c r="D258" t="s">
        <v>15</v>
      </c>
      <c r="E258" t="s">
        <v>75</v>
      </c>
      <c r="F258">
        <v>3</v>
      </c>
      <c r="G258">
        <v>26800</v>
      </c>
      <c r="H258">
        <v>72.5</v>
      </c>
      <c r="I258">
        <v>1200</v>
      </c>
      <c r="J258">
        <v>490</v>
      </c>
      <c r="K258">
        <v>800</v>
      </c>
      <c r="L258">
        <v>0.79</v>
      </c>
    </row>
    <row r="259" spans="1:12" x14ac:dyDescent="0.25">
      <c r="A259" t="s">
        <v>17</v>
      </c>
      <c r="B259" t="s">
        <v>542</v>
      </c>
      <c r="C259" t="s">
        <v>543</v>
      </c>
      <c r="D259" t="s">
        <v>15</v>
      </c>
      <c r="E259" t="s">
        <v>75</v>
      </c>
      <c r="F259">
        <v>3</v>
      </c>
      <c r="G259">
        <v>26500</v>
      </c>
      <c r="H259">
        <v>69.8</v>
      </c>
      <c r="I259">
        <v>1000</v>
      </c>
      <c r="J259">
        <v>490</v>
      </c>
      <c r="K259">
        <v>800</v>
      </c>
      <c r="L259">
        <v>0.79</v>
      </c>
    </row>
    <row r="260" spans="1:12" x14ac:dyDescent="0.25">
      <c r="A260" t="s">
        <v>17</v>
      </c>
      <c r="B260" t="s">
        <v>544</v>
      </c>
      <c r="C260" t="s">
        <v>545</v>
      </c>
      <c r="D260" t="s">
        <v>15</v>
      </c>
      <c r="E260" t="s">
        <v>75</v>
      </c>
      <c r="F260">
        <v>3</v>
      </c>
      <c r="G260">
        <v>26200</v>
      </c>
      <c r="H260">
        <v>73.400000000000006</v>
      </c>
      <c r="I260">
        <v>1250</v>
      </c>
      <c r="J260">
        <v>490</v>
      </c>
      <c r="K260">
        <v>800</v>
      </c>
      <c r="L260">
        <v>0.79</v>
      </c>
    </row>
    <row r="261" spans="1:12" x14ac:dyDescent="0.25">
      <c r="A261" t="s">
        <v>17</v>
      </c>
      <c r="B261" t="s">
        <v>546</v>
      </c>
      <c r="C261" t="s">
        <v>547</v>
      </c>
      <c r="D261" t="s">
        <v>15</v>
      </c>
      <c r="E261" t="s">
        <v>75</v>
      </c>
      <c r="F261">
        <v>3</v>
      </c>
      <c r="G261">
        <v>25900</v>
      </c>
      <c r="H261">
        <v>71.8</v>
      </c>
      <c r="I261">
        <v>1150</v>
      </c>
      <c r="J261">
        <v>490</v>
      </c>
      <c r="K261">
        <v>800</v>
      </c>
      <c r="L261">
        <v>0.79</v>
      </c>
    </row>
    <row r="262" spans="1:12" x14ac:dyDescent="0.25">
      <c r="A262" t="s">
        <v>17</v>
      </c>
      <c r="B262" t="s">
        <v>548</v>
      </c>
      <c r="C262" t="s">
        <v>549</v>
      </c>
      <c r="D262" t="s">
        <v>15</v>
      </c>
      <c r="E262" t="s">
        <v>75</v>
      </c>
      <c r="F262">
        <v>3</v>
      </c>
      <c r="G262">
        <v>25600</v>
      </c>
      <c r="H262">
        <v>72.099999999999994</v>
      </c>
      <c r="I262">
        <v>1200</v>
      </c>
      <c r="J262">
        <v>490</v>
      </c>
      <c r="K262">
        <v>800</v>
      </c>
      <c r="L262">
        <v>0.79</v>
      </c>
    </row>
    <row r="263" spans="1:12" x14ac:dyDescent="0.25">
      <c r="A263" t="s">
        <v>17</v>
      </c>
      <c r="B263" t="s">
        <v>550</v>
      </c>
      <c r="C263" t="s">
        <v>551</v>
      </c>
      <c r="D263" t="s">
        <v>15</v>
      </c>
      <c r="E263" t="s">
        <v>75</v>
      </c>
      <c r="F263">
        <v>3</v>
      </c>
      <c r="G263">
        <v>25300</v>
      </c>
      <c r="H263">
        <v>70.5</v>
      </c>
      <c r="I263">
        <v>1100</v>
      </c>
      <c r="J263">
        <v>490</v>
      </c>
      <c r="K263">
        <v>800</v>
      </c>
      <c r="L263">
        <v>0.79</v>
      </c>
    </row>
    <row r="264" spans="1:12" x14ac:dyDescent="0.25">
      <c r="A264" t="s">
        <v>17</v>
      </c>
      <c r="B264" t="s">
        <v>552</v>
      </c>
      <c r="C264" t="s">
        <v>553</v>
      </c>
      <c r="D264" t="s">
        <v>15</v>
      </c>
      <c r="E264" t="s">
        <v>75</v>
      </c>
      <c r="F264">
        <v>4</v>
      </c>
      <c r="G264">
        <v>25000</v>
      </c>
      <c r="H264">
        <v>68.900000000000006</v>
      </c>
      <c r="I264">
        <v>950</v>
      </c>
      <c r="J264">
        <v>490</v>
      </c>
      <c r="K264">
        <v>800</v>
      </c>
      <c r="L264">
        <v>0.79</v>
      </c>
    </row>
    <row r="265" spans="1:12" x14ac:dyDescent="0.25">
      <c r="A265" t="s">
        <v>17</v>
      </c>
      <c r="B265" t="s">
        <v>554</v>
      </c>
      <c r="C265" t="s">
        <v>555</v>
      </c>
      <c r="D265" t="s">
        <v>15</v>
      </c>
      <c r="E265" t="s">
        <v>75</v>
      </c>
      <c r="F265">
        <v>4</v>
      </c>
      <c r="G265">
        <v>24700</v>
      </c>
      <c r="H265">
        <v>69.2</v>
      </c>
      <c r="I265">
        <v>1000</v>
      </c>
      <c r="J265">
        <v>490</v>
      </c>
      <c r="K265">
        <v>800</v>
      </c>
      <c r="L265">
        <v>0.79</v>
      </c>
    </row>
    <row r="266" spans="1:12" x14ac:dyDescent="0.25">
      <c r="A266" t="s">
        <v>17</v>
      </c>
      <c r="B266" t="s">
        <v>556</v>
      </c>
      <c r="C266" t="s">
        <v>557</v>
      </c>
      <c r="D266" t="s">
        <v>15</v>
      </c>
      <c r="E266" t="s">
        <v>75</v>
      </c>
      <c r="F266">
        <v>4</v>
      </c>
      <c r="G266">
        <v>24400</v>
      </c>
      <c r="H266">
        <v>69.5</v>
      </c>
      <c r="I266">
        <v>1050</v>
      </c>
      <c r="J266">
        <v>490</v>
      </c>
      <c r="K266">
        <v>800</v>
      </c>
      <c r="L266">
        <v>0.79</v>
      </c>
    </row>
    <row r="267" spans="1:12" x14ac:dyDescent="0.25">
      <c r="A267" t="s">
        <v>17</v>
      </c>
      <c r="B267" t="s">
        <v>558</v>
      </c>
      <c r="C267" t="s">
        <v>559</v>
      </c>
      <c r="D267" t="s">
        <v>15</v>
      </c>
      <c r="E267" t="s">
        <v>75</v>
      </c>
      <c r="F267">
        <v>3</v>
      </c>
      <c r="G267">
        <v>24100</v>
      </c>
      <c r="H267">
        <v>68.5</v>
      </c>
      <c r="I267">
        <v>900</v>
      </c>
      <c r="J267">
        <v>490</v>
      </c>
      <c r="K267">
        <v>800</v>
      </c>
      <c r="L267">
        <v>0.79</v>
      </c>
    </row>
    <row r="268" spans="1:12" x14ac:dyDescent="0.25">
      <c r="A268" t="s">
        <v>17</v>
      </c>
      <c r="B268" t="s">
        <v>560</v>
      </c>
      <c r="C268" t="s">
        <v>561</v>
      </c>
      <c r="D268" t="s">
        <v>15</v>
      </c>
      <c r="E268" t="s">
        <v>75</v>
      </c>
      <c r="F268">
        <v>3</v>
      </c>
      <c r="G268">
        <v>23800</v>
      </c>
      <c r="H268">
        <v>83.2</v>
      </c>
      <c r="I268">
        <v>1800</v>
      </c>
      <c r="J268">
        <v>490</v>
      </c>
      <c r="K268">
        <v>800</v>
      </c>
      <c r="L268">
        <v>0.79</v>
      </c>
    </row>
    <row r="269" spans="1:12" x14ac:dyDescent="0.25">
      <c r="A269" t="s">
        <v>17</v>
      </c>
      <c r="B269" t="s">
        <v>562</v>
      </c>
      <c r="C269" t="s">
        <v>563</v>
      </c>
      <c r="D269" t="s">
        <v>15</v>
      </c>
      <c r="E269" t="s">
        <v>75</v>
      </c>
      <c r="F269">
        <v>3</v>
      </c>
      <c r="G269">
        <v>23500</v>
      </c>
      <c r="H269">
        <v>83.2</v>
      </c>
      <c r="I269">
        <v>1900</v>
      </c>
      <c r="J269">
        <v>490</v>
      </c>
      <c r="K269">
        <v>800</v>
      </c>
      <c r="L269">
        <v>0.79</v>
      </c>
    </row>
    <row r="270" spans="1:12" x14ac:dyDescent="0.25">
      <c r="A270" t="s">
        <v>17</v>
      </c>
      <c r="B270" t="s">
        <v>564</v>
      </c>
      <c r="C270" t="s">
        <v>565</v>
      </c>
      <c r="D270" t="s">
        <v>15</v>
      </c>
      <c r="E270" t="s">
        <v>75</v>
      </c>
      <c r="F270">
        <v>3</v>
      </c>
      <c r="G270">
        <v>23200</v>
      </c>
      <c r="H270">
        <v>75.5</v>
      </c>
      <c r="I270">
        <v>1400</v>
      </c>
      <c r="J270">
        <v>490</v>
      </c>
      <c r="K270">
        <v>800</v>
      </c>
      <c r="L270">
        <v>0.79</v>
      </c>
    </row>
    <row r="271" spans="1:12" x14ac:dyDescent="0.25">
      <c r="A271" t="s">
        <v>17</v>
      </c>
      <c r="B271" t="s">
        <v>566</v>
      </c>
      <c r="C271" t="s">
        <v>567</v>
      </c>
      <c r="D271" t="s">
        <v>15</v>
      </c>
      <c r="E271" t="s">
        <v>75</v>
      </c>
      <c r="F271">
        <v>3</v>
      </c>
      <c r="G271">
        <v>22900</v>
      </c>
      <c r="H271">
        <v>69.8</v>
      </c>
      <c r="I271">
        <v>1000</v>
      </c>
      <c r="J271">
        <v>490</v>
      </c>
      <c r="K271">
        <v>800</v>
      </c>
      <c r="L271">
        <v>0.79</v>
      </c>
    </row>
    <row r="272" spans="1:12" x14ac:dyDescent="0.25">
      <c r="A272" t="s">
        <v>17</v>
      </c>
      <c r="B272" t="s">
        <v>568</v>
      </c>
      <c r="C272" t="s">
        <v>569</v>
      </c>
      <c r="D272" t="s">
        <v>15</v>
      </c>
      <c r="E272" t="s">
        <v>75</v>
      </c>
      <c r="F272">
        <v>3</v>
      </c>
      <c r="G272">
        <v>22600</v>
      </c>
      <c r="H272">
        <v>68.5</v>
      </c>
      <c r="I272">
        <v>950</v>
      </c>
      <c r="J272">
        <v>490</v>
      </c>
      <c r="K272">
        <v>800</v>
      </c>
      <c r="L272">
        <v>0.79</v>
      </c>
    </row>
    <row r="273" spans="1:12" x14ac:dyDescent="0.25">
      <c r="A273" t="s">
        <v>17</v>
      </c>
      <c r="B273" t="s">
        <v>570</v>
      </c>
      <c r="C273" t="s">
        <v>571</v>
      </c>
      <c r="D273" t="s">
        <v>15</v>
      </c>
      <c r="E273" t="s">
        <v>75</v>
      </c>
      <c r="F273">
        <v>3</v>
      </c>
      <c r="G273">
        <v>22300</v>
      </c>
      <c r="H273">
        <v>71.8</v>
      </c>
      <c r="I273">
        <v>1200</v>
      </c>
      <c r="J273">
        <v>490</v>
      </c>
      <c r="K273">
        <v>800</v>
      </c>
      <c r="L273">
        <v>0.79</v>
      </c>
    </row>
    <row r="274" spans="1:12" x14ac:dyDescent="0.25">
      <c r="A274" t="s">
        <v>17</v>
      </c>
      <c r="B274" t="s">
        <v>572</v>
      </c>
      <c r="C274" t="s">
        <v>573</v>
      </c>
      <c r="D274" t="s">
        <v>15</v>
      </c>
      <c r="E274" t="s">
        <v>75</v>
      </c>
      <c r="F274">
        <v>3</v>
      </c>
      <c r="G274">
        <v>22000</v>
      </c>
      <c r="H274">
        <v>67.900000000000006</v>
      </c>
      <c r="I274">
        <v>850</v>
      </c>
      <c r="J274">
        <v>490</v>
      </c>
      <c r="K274">
        <v>800</v>
      </c>
      <c r="L274">
        <v>0.79</v>
      </c>
    </row>
    <row r="275" spans="1:12" x14ac:dyDescent="0.25">
      <c r="A275" t="s">
        <v>17</v>
      </c>
      <c r="B275" t="s">
        <v>574</v>
      </c>
      <c r="C275" t="s">
        <v>575</v>
      </c>
      <c r="D275" t="s">
        <v>15</v>
      </c>
      <c r="E275" t="s">
        <v>75</v>
      </c>
      <c r="F275">
        <v>3</v>
      </c>
      <c r="G275">
        <v>21700</v>
      </c>
      <c r="H275">
        <v>67.5</v>
      </c>
      <c r="I275">
        <v>800</v>
      </c>
      <c r="J275">
        <v>490</v>
      </c>
      <c r="K275">
        <v>800</v>
      </c>
      <c r="L275">
        <v>0.79</v>
      </c>
    </row>
    <row r="276" spans="1:12" x14ac:dyDescent="0.25">
      <c r="A276" t="s">
        <v>17</v>
      </c>
      <c r="B276" t="s">
        <v>576</v>
      </c>
      <c r="C276" t="s">
        <v>577</v>
      </c>
      <c r="D276" t="s">
        <v>15</v>
      </c>
      <c r="E276" t="s">
        <v>75</v>
      </c>
      <c r="F276">
        <v>3</v>
      </c>
      <c r="G276">
        <v>21400</v>
      </c>
      <c r="H276">
        <v>69.2</v>
      </c>
      <c r="I276">
        <v>950</v>
      </c>
      <c r="J276">
        <v>490</v>
      </c>
      <c r="K276">
        <v>800</v>
      </c>
      <c r="L276">
        <v>0.79</v>
      </c>
    </row>
    <row r="277" spans="1:12" x14ac:dyDescent="0.25">
      <c r="A277" t="s">
        <v>17</v>
      </c>
      <c r="B277" t="s">
        <v>578</v>
      </c>
      <c r="C277" t="s">
        <v>579</v>
      </c>
      <c r="D277" t="s">
        <v>15</v>
      </c>
      <c r="E277" t="s">
        <v>75</v>
      </c>
      <c r="F277">
        <v>3</v>
      </c>
      <c r="G277">
        <v>21100</v>
      </c>
      <c r="H277">
        <v>70.5</v>
      </c>
      <c r="I277">
        <v>1000</v>
      </c>
      <c r="J277">
        <v>490</v>
      </c>
      <c r="K277">
        <v>800</v>
      </c>
      <c r="L277">
        <v>0.79</v>
      </c>
    </row>
    <row r="278" spans="1:12" x14ac:dyDescent="0.25">
      <c r="A278" t="s">
        <v>17</v>
      </c>
      <c r="B278" t="s">
        <v>580</v>
      </c>
      <c r="C278" t="s">
        <v>581</v>
      </c>
      <c r="D278" t="s">
        <v>15</v>
      </c>
      <c r="E278" t="s">
        <v>75</v>
      </c>
      <c r="F278">
        <v>3</v>
      </c>
      <c r="G278">
        <v>20800</v>
      </c>
      <c r="H278">
        <v>67.2</v>
      </c>
      <c r="I278">
        <v>800</v>
      </c>
      <c r="J278">
        <v>490</v>
      </c>
      <c r="K278">
        <v>800</v>
      </c>
      <c r="L278">
        <v>0.79</v>
      </c>
    </row>
    <row r="279" spans="1:12" x14ac:dyDescent="0.25">
      <c r="A279" t="s">
        <v>17</v>
      </c>
      <c r="B279" t="s">
        <v>582</v>
      </c>
      <c r="C279" t="s">
        <v>583</v>
      </c>
      <c r="D279" t="s">
        <v>15</v>
      </c>
      <c r="E279" t="s">
        <v>75</v>
      </c>
      <c r="F279">
        <v>3</v>
      </c>
      <c r="G279">
        <v>20500</v>
      </c>
      <c r="H279">
        <v>68.5</v>
      </c>
      <c r="I279">
        <v>900</v>
      </c>
      <c r="J279">
        <v>490</v>
      </c>
      <c r="K279">
        <v>800</v>
      </c>
      <c r="L279">
        <v>0.79</v>
      </c>
    </row>
    <row r="280" spans="1:12" x14ac:dyDescent="0.25">
      <c r="A280" t="s">
        <v>17</v>
      </c>
      <c r="B280" t="s">
        <v>584</v>
      </c>
      <c r="C280" t="s">
        <v>585</v>
      </c>
      <c r="D280" t="s">
        <v>15</v>
      </c>
      <c r="E280" t="s">
        <v>75</v>
      </c>
      <c r="F280">
        <v>3</v>
      </c>
      <c r="G280">
        <v>20200</v>
      </c>
      <c r="H280">
        <v>69.8</v>
      </c>
      <c r="I280">
        <v>950</v>
      </c>
      <c r="J280">
        <v>490</v>
      </c>
      <c r="K280">
        <v>800</v>
      </c>
      <c r="L280">
        <v>0.79</v>
      </c>
    </row>
    <row r="281" spans="1:12" x14ac:dyDescent="0.25">
      <c r="A281" t="s">
        <v>17</v>
      </c>
      <c r="B281" t="s">
        <v>586</v>
      </c>
      <c r="C281" t="s">
        <v>587</v>
      </c>
      <c r="D281" t="s">
        <v>15</v>
      </c>
      <c r="E281" t="s">
        <v>75</v>
      </c>
      <c r="F281">
        <v>3</v>
      </c>
      <c r="G281">
        <v>19900</v>
      </c>
      <c r="H281">
        <v>77.8</v>
      </c>
      <c r="I281">
        <v>1500</v>
      </c>
      <c r="J281">
        <v>490</v>
      </c>
      <c r="K281">
        <v>800</v>
      </c>
      <c r="L281">
        <v>0.79</v>
      </c>
    </row>
    <row r="282" spans="1:12" x14ac:dyDescent="0.25">
      <c r="A282" t="s">
        <v>17</v>
      </c>
      <c r="B282" t="s">
        <v>588</v>
      </c>
      <c r="C282" t="s">
        <v>589</v>
      </c>
      <c r="D282" t="s">
        <v>15</v>
      </c>
      <c r="E282" t="s">
        <v>75</v>
      </c>
      <c r="F282">
        <v>3</v>
      </c>
      <c r="G282">
        <v>19600</v>
      </c>
      <c r="H282">
        <v>68.900000000000006</v>
      </c>
      <c r="I282">
        <v>900</v>
      </c>
      <c r="J282">
        <v>490</v>
      </c>
      <c r="K282">
        <v>800</v>
      </c>
      <c r="L282">
        <v>0.79</v>
      </c>
    </row>
    <row r="283" spans="1:12" x14ac:dyDescent="0.25">
      <c r="A283" t="s">
        <v>17</v>
      </c>
      <c r="B283" t="s">
        <v>590</v>
      </c>
      <c r="C283" t="s">
        <v>591</v>
      </c>
      <c r="D283" t="s">
        <v>15</v>
      </c>
      <c r="E283" t="s">
        <v>75</v>
      </c>
      <c r="F283">
        <v>3</v>
      </c>
      <c r="G283">
        <v>19300</v>
      </c>
      <c r="H283">
        <v>83.2</v>
      </c>
      <c r="I283">
        <v>1800</v>
      </c>
      <c r="J283">
        <v>490</v>
      </c>
      <c r="K283">
        <v>800</v>
      </c>
      <c r="L283">
        <v>0.79</v>
      </c>
    </row>
    <row r="284" spans="1:12" x14ac:dyDescent="0.25">
      <c r="A284" t="s">
        <v>17</v>
      </c>
      <c r="B284" t="s">
        <v>592</v>
      </c>
      <c r="C284" t="s">
        <v>593</v>
      </c>
      <c r="D284" t="s">
        <v>15</v>
      </c>
      <c r="E284" t="s">
        <v>75</v>
      </c>
      <c r="F284">
        <v>3</v>
      </c>
      <c r="G284">
        <v>19000</v>
      </c>
      <c r="H284">
        <v>83.2</v>
      </c>
      <c r="I284">
        <v>1700</v>
      </c>
      <c r="J284">
        <v>490</v>
      </c>
      <c r="K284">
        <v>800</v>
      </c>
      <c r="L284">
        <v>0.79</v>
      </c>
    </row>
    <row r="285" spans="1:12" x14ac:dyDescent="0.25">
      <c r="A285" t="s">
        <v>17</v>
      </c>
      <c r="B285" t="s">
        <v>594</v>
      </c>
      <c r="C285" t="s">
        <v>595</v>
      </c>
      <c r="D285" t="s">
        <v>15</v>
      </c>
      <c r="E285" t="s">
        <v>75</v>
      </c>
      <c r="F285">
        <v>3</v>
      </c>
      <c r="G285">
        <v>18700</v>
      </c>
      <c r="H285">
        <v>83.2</v>
      </c>
      <c r="I285">
        <v>1600</v>
      </c>
      <c r="J285">
        <v>490</v>
      </c>
      <c r="K285">
        <v>800</v>
      </c>
      <c r="L285">
        <v>0.79</v>
      </c>
    </row>
    <row r="286" spans="1:12" x14ac:dyDescent="0.25">
      <c r="A286" t="s">
        <v>21</v>
      </c>
      <c r="B286" t="s">
        <v>22</v>
      </c>
      <c r="C286" t="s">
        <v>23</v>
      </c>
      <c r="D286" t="s">
        <v>15</v>
      </c>
      <c r="E286" t="s">
        <v>75</v>
      </c>
      <c r="F286">
        <v>4</v>
      </c>
      <c r="G286">
        <v>45200</v>
      </c>
      <c r="H286">
        <v>73.5</v>
      </c>
      <c r="I286">
        <v>1800</v>
      </c>
      <c r="J286">
        <v>235</v>
      </c>
      <c r="K286">
        <v>600</v>
      </c>
      <c r="L286">
        <v>1.35</v>
      </c>
    </row>
    <row r="287" spans="1:12" x14ac:dyDescent="0.25">
      <c r="A287" t="s">
        <v>21</v>
      </c>
      <c r="B287" t="s">
        <v>22</v>
      </c>
      <c r="C287" t="s">
        <v>23</v>
      </c>
      <c r="D287" t="s">
        <v>15</v>
      </c>
      <c r="E287" t="s">
        <v>16</v>
      </c>
      <c r="F287">
        <v>2</v>
      </c>
      <c r="G287">
        <v>28500</v>
      </c>
      <c r="H287">
        <v>73.5</v>
      </c>
      <c r="I287">
        <v>1800</v>
      </c>
      <c r="J287">
        <v>235</v>
      </c>
      <c r="K287">
        <v>600</v>
      </c>
      <c r="L287">
        <v>1.35</v>
      </c>
    </row>
    <row r="288" spans="1:12" x14ac:dyDescent="0.25">
      <c r="A288" t="s">
        <v>21</v>
      </c>
      <c r="B288" t="s">
        <v>175</v>
      </c>
      <c r="C288" t="s">
        <v>176</v>
      </c>
      <c r="D288" t="s">
        <v>15</v>
      </c>
      <c r="E288" t="s">
        <v>75</v>
      </c>
      <c r="F288">
        <v>4</v>
      </c>
      <c r="G288">
        <v>43800</v>
      </c>
      <c r="H288">
        <v>71.2</v>
      </c>
      <c r="I288">
        <v>1900</v>
      </c>
      <c r="J288">
        <v>235</v>
      </c>
      <c r="K288">
        <v>600</v>
      </c>
      <c r="L288">
        <v>1.35</v>
      </c>
    </row>
    <row r="289" spans="1:12" x14ac:dyDescent="0.25">
      <c r="A289" t="s">
        <v>21</v>
      </c>
      <c r="B289" t="s">
        <v>175</v>
      </c>
      <c r="C289" t="s">
        <v>176</v>
      </c>
      <c r="D289" t="s">
        <v>15</v>
      </c>
      <c r="E289" t="s">
        <v>16</v>
      </c>
      <c r="F289">
        <v>2</v>
      </c>
      <c r="G289">
        <v>27900</v>
      </c>
      <c r="H289">
        <v>71.2</v>
      </c>
      <c r="I289">
        <v>1900</v>
      </c>
      <c r="J289">
        <v>235</v>
      </c>
      <c r="K289">
        <v>600</v>
      </c>
      <c r="L289">
        <v>1.35</v>
      </c>
    </row>
    <row r="290" spans="1:12" x14ac:dyDescent="0.25">
      <c r="A290" t="s">
        <v>21</v>
      </c>
      <c r="B290" t="s">
        <v>596</v>
      </c>
      <c r="C290" t="s">
        <v>597</v>
      </c>
      <c r="D290" t="s">
        <v>15</v>
      </c>
      <c r="E290" t="s">
        <v>75</v>
      </c>
      <c r="F290">
        <v>4</v>
      </c>
      <c r="G290">
        <v>41500</v>
      </c>
      <c r="H290">
        <v>65.8</v>
      </c>
      <c r="I290">
        <v>1500</v>
      </c>
      <c r="J290">
        <v>235</v>
      </c>
      <c r="K290">
        <v>600</v>
      </c>
      <c r="L290">
        <v>1.35</v>
      </c>
    </row>
    <row r="291" spans="1:12" x14ac:dyDescent="0.25">
      <c r="A291" t="s">
        <v>21</v>
      </c>
      <c r="B291" t="s">
        <v>596</v>
      </c>
      <c r="C291" t="s">
        <v>597</v>
      </c>
      <c r="D291" t="s">
        <v>15</v>
      </c>
      <c r="E291" t="s">
        <v>16</v>
      </c>
      <c r="F291">
        <v>2</v>
      </c>
      <c r="G291">
        <v>26800</v>
      </c>
      <c r="H291">
        <v>65.8</v>
      </c>
      <c r="I291">
        <v>1500</v>
      </c>
      <c r="J291">
        <v>235</v>
      </c>
      <c r="K291">
        <v>600</v>
      </c>
      <c r="L291">
        <v>1.35</v>
      </c>
    </row>
    <row r="292" spans="1:12" x14ac:dyDescent="0.25">
      <c r="A292" t="s">
        <v>21</v>
      </c>
      <c r="B292" t="s">
        <v>138</v>
      </c>
      <c r="C292" t="s">
        <v>139</v>
      </c>
      <c r="D292" t="s">
        <v>15</v>
      </c>
      <c r="E292" t="s">
        <v>75</v>
      </c>
      <c r="F292">
        <v>4</v>
      </c>
      <c r="G292">
        <v>40900</v>
      </c>
      <c r="H292">
        <v>62.4</v>
      </c>
      <c r="I292">
        <v>1300</v>
      </c>
      <c r="J292">
        <v>235</v>
      </c>
      <c r="K292">
        <v>600</v>
      </c>
      <c r="L292">
        <v>1.35</v>
      </c>
    </row>
    <row r="293" spans="1:12" x14ac:dyDescent="0.25">
      <c r="A293" t="s">
        <v>21</v>
      </c>
      <c r="B293" t="s">
        <v>138</v>
      </c>
      <c r="C293" t="s">
        <v>139</v>
      </c>
      <c r="D293" t="s">
        <v>15</v>
      </c>
      <c r="E293" t="s">
        <v>16</v>
      </c>
      <c r="F293">
        <v>2</v>
      </c>
      <c r="G293">
        <v>26200</v>
      </c>
      <c r="H293">
        <v>62.4</v>
      </c>
      <c r="I293">
        <v>1300</v>
      </c>
      <c r="J293">
        <v>235</v>
      </c>
      <c r="K293">
        <v>600</v>
      </c>
      <c r="L293">
        <v>1.35</v>
      </c>
    </row>
    <row r="294" spans="1:12" x14ac:dyDescent="0.25">
      <c r="A294" t="s">
        <v>21</v>
      </c>
      <c r="B294" t="s">
        <v>596</v>
      </c>
      <c r="C294" t="s">
        <v>598</v>
      </c>
      <c r="D294" t="s">
        <v>15</v>
      </c>
      <c r="E294" t="s">
        <v>75</v>
      </c>
      <c r="F294">
        <v>4</v>
      </c>
      <c r="G294">
        <v>39500</v>
      </c>
      <c r="H294">
        <v>65.8</v>
      </c>
      <c r="I294">
        <v>1400</v>
      </c>
      <c r="J294">
        <v>235</v>
      </c>
      <c r="K294">
        <v>600</v>
      </c>
      <c r="L294">
        <v>1.35</v>
      </c>
    </row>
    <row r="295" spans="1:12" x14ac:dyDescent="0.25">
      <c r="A295" t="s">
        <v>21</v>
      </c>
      <c r="B295" t="s">
        <v>596</v>
      </c>
      <c r="C295" t="s">
        <v>598</v>
      </c>
      <c r="D295" t="s">
        <v>15</v>
      </c>
      <c r="E295" t="s">
        <v>16</v>
      </c>
      <c r="F295">
        <v>2</v>
      </c>
      <c r="G295">
        <v>25800</v>
      </c>
      <c r="H295">
        <v>65.8</v>
      </c>
      <c r="I295">
        <v>1400</v>
      </c>
      <c r="J295">
        <v>235</v>
      </c>
      <c r="K295">
        <v>600</v>
      </c>
      <c r="L295">
        <v>1.35</v>
      </c>
    </row>
    <row r="296" spans="1:12" x14ac:dyDescent="0.25">
      <c r="A296" t="s">
        <v>21</v>
      </c>
      <c r="B296" t="s">
        <v>151</v>
      </c>
      <c r="C296" t="s">
        <v>152</v>
      </c>
      <c r="D296" t="s">
        <v>15</v>
      </c>
      <c r="E296" t="s">
        <v>75</v>
      </c>
      <c r="F296">
        <v>4</v>
      </c>
      <c r="G296">
        <v>38200</v>
      </c>
      <c r="H296">
        <v>61.9</v>
      </c>
      <c r="I296">
        <v>1200</v>
      </c>
      <c r="J296">
        <v>235</v>
      </c>
      <c r="K296">
        <v>600</v>
      </c>
      <c r="L296">
        <v>1.35</v>
      </c>
    </row>
    <row r="297" spans="1:12" x14ac:dyDescent="0.25">
      <c r="A297" t="s">
        <v>21</v>
      </c>
      <c r="B297" t="s">
        <v>151</v>
      </c>
      <c r="C297" t="s">
        <v>152</v>
      </c>
      <c r="D297" t="s">
        <v>15</v>
      </c>
      <c r="E297" t="s">
        <v>16</v>
      </c>
      <c r="F297">
        <v>2</v>
      </c>
      <c r="G297">
        <v>24900</v>
      </c>
      <c r="H297">
        <v>61.9</v>
      </c>
      <c r="I297">
        <v>1200</v>
      </c>
      <c r="J297">
        <v>235</v>
      </c>
      <c r="K297">
        <v>600</v>
      </c>
      <c r="L297">
        <v>1.35</v>
      </c>
    </row>
    <row r="298" spans="1:12" x14ac:dyDescent="0.25">
      <c r="A298" t="s">
        <v>21</v>
      </c>
      <c r="B298" t="s">
        <v>100</v>
      </c>
      <c r="C298" t="s">
        <v>101</v>
      </c>
      <c r="D298" t="s">
        <v>15</v>
      </c>
      <c r="E298" t="s">
        <v>75</v>
      </c>
      <c r="F298">
        <v>4</v>
      </c>
      <c r="G298">
        <v>37800</v>
      </c>
      <c r="H298">
        <v>63.5</v>
      </c>
      <c r="I298">
        <v>1400</v>
      </c>
      <c r="J298">
        <v>235</v>
      </c>
      <c r="K298">
        <v>600</v>
      </c>
      <c r="L298">
        <v>1.35</v>
      </c>
    </row>
    <row r="299" spans="1:12" x14ac:dyDescent="0.25">
      <c r="A299" t="s">
        <v>21</v>
      </c>
      <c r="B299" t="s">
        <v>100</v>
      </c>
      <c r="C299" t="s">
        <v>101</v>
      </c>
      <c r="D299" t="s">
        <v>15</v>
      </c>
      <c r="E299" t="s">
        <v>16</v>
      </c>
      <c r="F299">
        <v>2</v>
      </c>
      <c r="G299">
        <v>24500</v>
      </c>
      <c r="H299">
        <v>63.5</v>
      </c>
      <c r="I299">
        <v>1400</v>
      </c>
      <c r="J299">
        <v>235</v>
      </c>
      <c r="K299">
        <v>600</v>
      </c>
      <c r="L299">
        <v>1.35</v>
      </c>
    </row>
    <row r="300" spans="1:12" x14ac:dyDescent="0.25">
      <c r="A300" t="s">
        <v>21</v>
      </c>
      <c r="B300" t="s">
        <v>333</v>
      </c>
      <c r="C300" t="s">
        <v>334</v>
      </c>
      <c r="D300" t="s">
        <v>15</v>
      </c>
      <c r="E300" t="s">
        <v>75</v>
      </c>
      <c r="F300">
        <v>4</v>
      </c>
      <c r="G300">
        <v>37200</v>
      </c>
      <c r="H300">
        <v>62.8</v>
      </c>
      <c r="I300">
        <v>1300</v>
      </c>
      <c r="J300">
        <v>235</v>
      </c>
      <c r="K300">
        <v>600</v>
      </c>
      <c r="L300">
        <v>1.35</v>
      </c>
    </row>
    <row r="301" spans="1:12" x14ac:dyDescent="0.25">
      <c r="A301" t="s">
        <v>21</v>
      </c>
      <c r="B301" t="s">
        <v>333</v>
      </c>
      <c r="C301" t="s">
        <v>334</v>
      </c>
      <c r="D301" t="s">
        <v>15</v>
      </c>
      <c r="E301" t="s">
        <v>16</v>
      </c>
      <c r="F301">
        <v>2</v>
      </c>
      <c r="G301">
        <v>24100</v>
      </c>
      <c r="H301">
        <v>62.8</v>
      </c>
      <c r="I301">
        <v>1300</v>
      </c>
      <c r="J301">
        <v>235</v>
      </c>
      <c r="K301">
        <v>600</v>
      </c>
      <c r="L301">
        <v>1.35</v>
      </c>
    </row>
    <row r="302" spans="1:12" x14ac:dyDescent="0.25">
      <c r="A302" t="s">
        <v>21</v>
      </c>
      <c r="B302" t="s">
        <v>309</v>
      </c>
      <c r="C302" t="s">
        <v>310</v>
      </c>
      <c r="D302" t="s">
        <v>15</v>
      </c>
      <c r="E302" t="s">
        <v>75</v>
      </c>
      <c r="F302">
        <v>4</v>
      </c>
      <c r="G302">
        <v>36500</v>
      </c>
      <c r="H302">
        <v>64.2</v>
      </c>
      <c r="I302">
        <v>1250</v>
      </c>
      <c r="J302">
        <v>235</v>
      </c>
      <c r="K302">
        <v>600</v>
      </c>
      <c r="L302">
        <v>1.35</v>
      </c>
    </row>
    <row r="303" spans="1:12" x14ac:dyDescent="0.25">
      <c r="A303" t="s">
        <v>21</v>
      </c>
      <c r="B303" t="s">
        <v>309</v>
      </c>
      <c r="C303" t="s">
        <v>310</v>
      </c>
      <c r="D303" t="s">
        <v>15</v>
      </c>
      <c r="E303" t="s">
        <v>16</v>
      </c>
      <c r="F303">
        <v>2</v>
      </c>
      <c r="G303">
        <v>23800</v>
      </c>
      <c r="H303">
        <v>64.2</v>
      </c>
      <c r="I303">
        <v>1250</v>
      </c>
      <c r="J303">
        <v>235</v>
      </c>
      <c r="K303">
        <v>600</v>
      </c>
      <c r="L303">
        <v>1.35</v>
      </c>
    </row>
    <row r="304" spans="1:12" x14ac:dyDescent="0.25">
      <c r="A304" t="s">
        <v>21</v>
      </c>
      <c r="B304" t="s">
        <v>18</v>
      </c>
      <c r="C304" t="s">
        <v>312</v>
      </c>
      <c r="D304" t="s">
        <v>15</v>
      </c>
      <c r="E304" t="s">
        <v>75</v>
      </c>
      <c r="F304">
        <v>4</v>
      </c>
      <c r="G304">
        <v>35900</v>
      </c>
      <c r="H304">
        <v>61.5</v>
      </c>
      <c r="I304">
        <v>1200</v>
      </c>
      <c r="J304">
        <v>235</v>
      </c>
      <c r="K304">
        <v>600</v>
      </c>
      <c r="L304">
        <v>1.35</v>
      </c>
    </row>
    <row r="305" spans="1:12" x14ac:dyDescent="0.25">
      <c r="A305" t="s">
        <v>21</v>
      </c>
      <c r="B305" t="s">
        <v>18</v>
      </c>
      <c r="C305" t="s">
        <v>312</v>
      </c>
      <c r="D305" t="s">
        <v>15</v>
      </c>
      <c r="E305" t="s">
        <v>16</v>
      </c>
      <c r="F305">
        <v>2</v>
      </c>
      <c r="G305">
        <v>23500</v>
      </c>
      <c r="H305">
        <v>61.5</v>
      </c>
      <c r="I305">
        <v>1200</v>
      </c>
      <c r="J305">
        <v>235</v>
      </c>
      <c r="K305">
        <v>600</v>
      </c>
      <c r="L305">
        <v>1.35</v>
      </c>
    </row>
    <row r="306" spans="1:12" x14ac:dyDescent="0.25">
      <c r="A306" t="s">
        <v>21</v>
      </c>
      <c r="B306" t="s">
        <v>594</v>
      </c>
      <c r="C306" t="s">
        <v>599</v>
      </c>
      <c r="D306" t="s">
        <v>15</v>
      </c>
      <c r="E306" t="s">
        <v>75</v>
      </c>
      <c r="F306">
        <v>4</v>
      </c>
      <c r="G306">
        <v>35400</v>
      </c>
      <c r="H306">
        <v>62.1</v>
      </c>
      <c r="I306">
        <v>1300</v>
      </c>
      <c r="J306">
        <v>235</v>
      </c>
      <c r="K306">
        <v>600</v>
      </c>
      <c r="L306">
        <v>1.35</v>
      </c>
    </row>
    <row r="307" spans="1:12" x14ac:dyDescent="0.25">
      <c r="A307" t="s">
        <v>21</v>
      </c>
      <c r="B307" t="s">
        <v>594</v>
      </c>
      <c r="C307" t="s">
        <v>599</v>
      </c>
      <c r="D307" t="s">
        <v>15</v>
      </c>
      <c r="E307" t="s">
        <v>16</v>
      </c>
      <c r="F307">
        <v>2</v>
      </c>
      <c r="G307">
        <v>23200</v>
      </c>
      <c r="H307">
        <v>62.1</v>
      </c>
      <c r="I307">
        <v>1300</v>
      </c>
      <c r="J307">
        <v>235</v>
      </c>
      <c r="K307">
        <v>600</v>
      </c>
      <c r="L307">
        <v>1.35</v>
      </c>
    </row>
    <row r="308" spans="1:12" x14ac:dyDescent="0.25">
      <c r="A308" t="s">
        <v>21</v>
      </c>
      <c r="B308" t="s">
        <v>315</v>
      </c>
      <c r="C308" t="s">
        <v>316</v>
      </c>
      <c r="D308" t="s">
        <v>15</v>
      </c>
      <c r="E308" t="s">
        <v>75</v>
      </c>
      <c r="F308">
        <v>4</v>
      </c>
      <c r="G308">
        <v>34800</v>
      </c>
      <c r="H308">
        <v>64.8</v>
      </c>
      <c r="I308">
        <v>1400</v>
      </c>
      <c r="J308">
        <v>235</v>
      </c>
      <c r="K308">
        <v>600</v>
      </c>
      <c r="L308">
        <v>1.35</v>
      </c>
    </row>
    <row r="309" spans="1:12" x14ac:dyDescent="0.25">
      <c r="A309" t="s">
        <v>21</v>
      </c>
      <c r="B309" t="s">
        <v>315</v>
      </c>
      <c r="C309" t="s">
        <v>316</v>
      </c>
      <c r="D309" t="s">
        <v>15</v>
      </c>
      <c r="E309" t="s">
        <v>16</v>
      </c>
      <c r="F309">
        <v>2</v>
      </c>
      <c r="G309">
        <v>22900</v>
      </c>
      <c r="H309">
        <v>64.8</v>
      </c>
      <c r="I309">
        <v>1400</v>
      </c>
      <c r="J309">
        <v>235</v>
      </c>
      <c r="K309">
        <v>600</v>
      </c>
      <c r="L309">
        <v>1.35</v>
      </c>
    </row>
    <row r="310" spans="1:12" x14ac:dyDescent="0.25">
      <c r="A310" t="s">
        <v>21</v>
      </c>
      <c r="B310" t="s">
        <v>313</v>
      </c>
      <c r="C310" t="s">
        <v>314</v>
      </c>
      <c r="D310" t="s">
        <v>15</v>
      </c>
      <c r="E310" t="s">
        <v>75</v>
      </c>
      <c r="F310">
        <v>4</v>
      </c>
      <c r="G310">
        <v>34200</v>
      </c>
      <c r="H310">
        <v>61.2</v>
      </c>
      <c r="I310">
        <v>1200</v>
      </c>
      <c r="J310">
        <v>235</v>
      </c>
      <c r="K310">
        <v>600</v>
      </c>
      <c r="L310">
        <v>1.35</v>
      </c>
    </row>
    <row r="311" spans="1:12" x14ac:dyDescent="0.25">
      <c r="A311" t="s">
        <v>21</v>
      </c>
      <c r="B311" t="s">
        <v>313</v>
      </c>
      <c r="C311" t="s">
        <v>314</v>
      </c>
      <c r="D311" t="s">
        <v>15</v>
      </c>
      <c r="E311" t="s">
        <v>16</v>
      </c>
      <c r="F311">
        <v>2</v>
      </c>
      <c r="G311">
        <v>22600</v>
      </c>
      <c r="H311">
        <v>61.2</v>
      </c>
      <c r="I311">
        <v>1200</v>
      </c>
      <c r="J311">
        <v>235</v>
      </c>
      <c r="K311">
        <v>600</v>
      </c>
      <c r="L311">
        <v>1.35</v>
      </c>
    </row>
    <row r="312" spans="1:12" x14ac:dyDescent="0.25">
      <c r="A312" t="s">
        <v>21</v>
      </c>
      <c r="B312" t="s">
        <v>319</v>
      </c>
      <c r="C312" t="s">
        <v>320</v>
      </c>
      <c r="D312" t="s">
        <v>15</v>
      </c>
      <c r="E312" t="s">
        <v>75</v>
      </c>
      <c r="F312">
        <v>4</v>
      </c>
      <c r="G312">
        <v>33600</v>
      </c>
      <c r="H312">
        <v>59.8</v>
      </c>
      <c r="I312">
        <v>1100</v>
      </c>
      <c r="J312">
        <v>235</v>
      </c>
      <c r="K312">
        <v>600</v>
      </c>
      <c r="L312">
        <v>1.35</v>
      </c>
    </row>
    <row r="313" spans="1:12" x14ac:dyDescent="0.25">
      <c r="A313" t="s">
        <v>21</v>
      </c>
      <c r="B313" t="s">
        <v>319</v>
      </c>
      <c r="C313" t="s">
        <v>320</v>
      </c>
      <c r="D313" t="s">
        <v>15</v>
      </c>
      <c r="E313" t="s">
        <v>16</v>
      </c>
      <c r="F313">
        <v>2</v>
      </c>
      <c r="G313">
        <v>22300</v>
      </c>
      <c r="H313">
        <v>59.8</v>
      </c>
      <c r="I313">
        <v>1100</v>
      </c>
      <c r="J313">
        <v>235</v>
      </c>
      <c r="K313">
        <v>600</v>
      </c>
      <c r="L313">
        <v>1.35</v>
      </c>
    </row>
    <row r="314" spans="1:12" x14ac:dyDescent="0.25">
      <c r="A314" t="s">
        <v>21</v>
      </c>
      <c r="B314" t="s">
        <v>317</v>
      </c>
      <c r="C314" t="s">
        <v>318</v>
      </c>
      <c r="D314" t="s">
        <v>15</v>
      </c>
      <c r="E314" t="s">
        <v>75</v>
      </c>
      <c r="F314">
        <v>4</v>
      </c>
      <c r="G314">
        <v>33000</v>
      </c>
      <c r="H314">
        <v>58.5</v>
      </c>
      <c r="I314">
        <v>1000</v>
      </c>
      <c r="J314">
        <v>235</v>
      </c>
      <c r="K314">
        <v>600</v>
      </c>
      <c r="L314">
        <v>1.35</v>
      </c>
    </row>
    <row r="315" spans="1:12" x14ac:dyDescent="0.25">
      <c r="A315" t="s">
        <v>21</v>
      </c>
      <c r="B315" t="s">
        <v>317</v>
      </c>
      <c r="C315" t="s">
        <v>318</v>
      </c>
      <c r="D315" t="s">
        <v>15</v>
      </c>
      <c r="E315" t="s">
        <v>16</v>
      </c>
      <c r="F315">
        <v>2</v>
      </c>
      <c r="G315">
        <v>22000</v>
      </c>
      <c r="H315">
        <v>58.5</v>
      </c>
      <c r="I315">
        <v>1000</v>
      </c>
      <c r="J315">
        <v>235</v>
      </c>
      <c r="K315">
        <v>600</v>
      </c>
      <c r="L315">
        <v>1.35</v>
      </c>
    </row>
    <row r="316" spans="1:12" x14ac:dyDescent="0.25">
      <c r="A316" t="s">
        <v>21</v>
      </c>
      <c r="B316" t="s">
        <v>325</v>
      </c>
      <c r="C316" t="s">
        <v>326</v>
      </c>
      <c r="D316" t="s">
        <v>15</v>
      </c>
      <c r="E316" t="s">
        <v>75</v>
      </c>
      <c r="F316">
        <v>4</v>
      </c>
      <c r="G316">
        <v>32400</v>
      </c>
      <c r="H316">
        <v>58.2</v>
      </c>
      <c r="I316">
        <v>950</v>
      </c>
      <c r="J316">
        <v>235</v>
      </c>
      <c r="K316">
        <v>600</v>
      </c>
      <c r="L316">
        <v>1.35</v>
      </c>
    </row>
    <row r="317" spans="1:12" x14ac:dyDescent="0.25">
      <c r="A317" t="s">
        <v>21</v>
      </c>
      <c r="B317" t="s">
        <v>325</v>
      </c>
      <c r="C317" t="s">
        <v>326</v>
      </c>
      <c r="D317" t="s">
        <v>15</v>
      </c>
      <c r="E317" t="s">
        <v>16</v>
      </c>
      <c r="F317">
        <v>2</v>
      </c>
      <c r="G317">
        <v>21700</v>
      </c>
      <c r="H317">
        <v>58.2</v>
      </c>
      <c r="I317">
        <v>950</v>
      </c>
      <c r="J317">
        <v>235</v>
      </c>
      <c r="K317">
        <v>600</v>
      </c>
      <c r="L317">
        <v>1.35</v>
      </c>
    </row>
    <row r="318" spans="1:12" x14ac:dyDescent="0.25">
      <c r="A318" t="s">
        <v>21</v>
      </c>
      <c r="B318" t="s">
        <v>323</v>
      </c>
      <c r="C318" t="s">
        <v>324</v>
      </c>
      <c r="D318" t="s">
        <v>15</v>
      </c>
      <c r="E318" t="s">
        <v>75</v>
      </c>
      <c r="F318">
        <v>4</v>
      </c>
      <c r="G318">
        <v>31800</v>
      </c>
      <c r="H318">
        <v>57.9</v>
      </c>
      <c r="I318">
        <v>900</v>
      </c>
      <c r="J318">
        <v>235</v>
      </c>
      <c r="K318">
        <v>600</v>
      </c>
      <c r="L318">
        <v>1.35</v>
      </c>
    </row>
    <row r="319" spans="1:12" x14ac:dyDescent="0.25">
      <c r="A319" t="s">
        <v>21</v>
      </c>
      <c r="B319" t="s">
        <v>323</v>
      </c>
      <c r="C319" t="s">
        <v>324</v>
      </c>
      <c r="D319" t="s">
        <v>15</v>
      </c>
      <c r="E319" t="s">
        <v>16</v>
      </c>
      <c r="F319">
        <v>2</v>
      </c>
      <c r="G319">
        <v>21400</v>
      </c>
      <c r="H319">
        <v>57.9</v>
      </c>
      <c r="I319">
        <v>900</v>
      </c>
      <c r="J319">
        <v>235</v>
      </c>
      <c r="K319">
        <v>600</v>
      </c>
      <c r="L319">
        <v>1.35</v>
      </c>
    </row>
    <row r="320" spans="1:12" x14ac:dyDescent="0.25">
      <c r="A320" t="s">
        <v>21</v>
      </c>
      <c r="B320" t="s">
        <v>321</v>
      </c>
      <c r="C320" t="s">
        <v>322</v>
      </c>
      <c r="D320" t="s">
        <v>15</v>
      </c>
      <c r="E320" t="s">
        <v>75</v>
      </c>
      <c r="F320">
        <v>4</v>
      </c>
      <c r="G320">
        <v>31200</v>
      </c>
      <c r="H320">
        <v>57.5</v>
      </c>
      <c r="I320">
        <v>900</v>
      </c>
      <c r="J320">
        <v>235</v>
      </c>
      <c r="K320">
        <v>600</v>
      </c>
      <c r="L320">
        <v>1.35</v>
      </c>
    </row>
    <row r="321" spans="1:12" x14ac:dyDescent="0.25">
      <c r="A321" t="s">
        <v>21</v>
      </c>
      <c r="B321" t="s">
        <v>321</v>
      </c>
      <c r="C321" t="s">
        <v>322</v>
      </c>
      <c r="D321" t="s">
        <v>15</v>
      </c>
      <c r="E321" t="s">
        <v>16</v>
      </c>
      <c r="F321">
        <v>2</v>
      </c>
      <c r="G321">
        <v>21100</v>
      </c>
      <c r="H321">
        <v>57.5</v>
      </c>
      <c r="I321">
        <v>900</v>
      </c>
      <c r="J321">
        <v>235</v>
      </c>
      <c r="K321">
        <v>600</v>
      </c>
      <c r="L321">
        <v>1.35</v>
      </c>
    </row>
    <row r="322" spans="1:12" x14ac:dyDescent="0.25">
      <c r="A322" t="s">
        <v>21</v>
      </c>
      <c r="B322" t="s">
        <v>327</v>
      </c>
      <c r="C322" t="s">
        <v>600</v>
      </c>
      <c r="D322" t="s">
        <v>15</v>
      </c>
      <c r="E322" t="s">
        <v>75</v>
      </c>
      <c r="F322">
        <v>4</v>
      </c>
      <c r="G322">
        <v>30600</v>
      </c>
      <c r="H322">
        <v>56.8</v>
      </c>
      <c r="I322">
        <v>850</v>
      </c>
      <c r="J322">
        <v>235</v>
      </c>
      <c r="K322">
        <v>600</v>
      </c>
      <c r="L322">
        <v>1.35</v>
      </c>
    </row>
    <row r="323" spans="1:12" x14ac:dyDescent="0.25">
      <c r="A323" t="s">
        <v>21</v>
      </c>
      <c r="B323" t="s">
        <v>327</v>
      </c>
      <c r="C323" t="s">
        <v>600</v>
      </c>
      <c r="D323" t="s">
        <v>15</v>
      </c>
      <c r="E323" t="s">
        <v>16</v>
      </c>
      <c r="F323">
        <v>2</v>
      </c>
      <c r="G323">
        <v>20800</v>
      </c>
      <c r="H323">
        <v>56.8</v>
      </c>
      <c r="I323">
        <v>850</v>
      </c>
      <c r="J323">
        <v>235</v>
      </c>
      <c r="K323">
        <v>600</v>
      </c>
      <c r="L323">
        <v>1.35</v>
      </c>
    </row>
    <row r="324" spans="1:12" x14ac:dyDescent="0.25">
      <c r="A324" t="s">
        <v>21</v>
      </c>
      <c r="B324" t="s">
        <v>601</v>
      </c>
      <c r="C324" t="s">
        <v>602</v>
      </c>
      <c r="D324" t="s">
        <v>15</v>
      </c>
      <c r="E324" t="s">
        <v>75</v>
      </c>
      <c r="F324">
        <v>4</v>
      </c>
      <c r="G324">
        <v>30000</v>
      </c>
      <c r="H324">
        <v>58.9</v>
      </c>
      <c r="I324">
        <v>950</v>
      </c>
      <c r="J324">
        <v>235</v>
      </c>
      <c r="K324">
        <v>600</v>
      </c>
      <c r="L324">
        <v>1.35</v>
      </c>
    </row>
    <row r="325" spans="1:12" x14ac:dyDescent="0.25">
      <c r="A325" t="s">
        <v>21</v>
      </c>
      <c r="B325" t="s">
        <v>601</v>
      </c>
      <c r="C325" t="s">
        <v>602</v>
      </c>
      <c r="D325" t="s">
        <v>15</v>
      </c>
      <c r="E325" t="s">
        <v>16</v>
      </c>
      <c r="F325">
        <v>2</v>
      </c>
      <c r="G325">
        <v>20500</v>
      </c>
      <c r="H325">
        <v>58.9</v>
      </c>
      <c r="I325">
        <v>950</v>
      </c>
      <c r="J325">
        <v>235</v>
      </c>
      <c r="K325">
        <v>600</v>
      </c>
      <c r="L325">
        <v>1.35</v>
      </c>
    </row>
    <row r="326" spans="1:12" x14ac:dyDescent="0.25">
      <c r="A326" t="s">
        <v>21</v>
      </c>
      <c r="B326" t="s">
        <v>603</v>
      </c>
      <c r="C326" t="s">
        <v>604</v>
      </c>
      <c r="D326" t="s">
        <v>15</v>
      </c>
      <c r="E326" t="s">
        <v>75</v>
      </c>
      <c r="F326">
        <v>4</v>
      </c>
      <c r="G326">
        <v>29400</v>
      </c>
      <c r="H326">
        <v>57.2</v>
      </c>
      <c r="I326">
        <v>900</v>
      </c>
      <c r="J326">
        <v>235</v>
      </c>
      <c r="K326">
        <v>600</v>
      </c>
      <c r="L326">
        <v>1.35</v>
      </c>
    </row>
    <row r="327" spans="1:12" x14ac:dyDescent="0.25">
      <c r="A327" t="s">
        <v>21</v>
      </c>
      <c r="B327" t="s">
        <v>603</v>
      </c>
      <c r="C327" t="s">
        <v>604</v>
      </c>
      <c r="D327" t="s">
        <v>15</v>
      </c>
      <c r="E327" t="s">
        <v>16</v>
      </c>
      <c r="F327">
        <v>2</v>
      </c>
      <c r="G327">
        <v>20200</v>
      </c>
      <c r="H327">
        <v>57.2</v>
      </c>
      <c r="I327">
        <v>900</v>
      </c>
      <c r="J327">
        <v>235</v>
      </c>
      <c r="K327">
        <v>600</v>
      </c>
      <c r="L327">
        <v>1.35</v>
      </c>
    </row>
    <row r="328" spans="1:12" x14ac:dyDescent="0.25">
      <c r="A328" t="s">
        <v>21</v>
      </c>
      <c r="B328" t="s">
        <v>605</v>
      </c>
      <c r="C328" t="s">
        <v>606</v>
      </c>
      <c r="D328" t="s">
        <v>15</v>
      </c>
      <c r="E328" t="s">
        <v>75</v>
      </c>
      <c r="F328">
        <v>4</v>
      </c>
      <c r="G328">
        <v>28800</v>
      </c>
      <c r="H328">
        <v>56.5</v>
      </c>
      <c r="I328">
        <v>850</v>
      </c>
      <c r="J328">
        <v>235</v>
      </c>
      <c r="K328">
        <v>600</v>
      </c>
      <c r="L328">
        <v>1.35</v>
      </c>
    </row>
    <row r="329" spans="1:12" x14ac:dyDescent="0.25">
      <c r="A329" t="s">
        <v>21</v>
      </c>
      <c r="B329" t="s">
        <v>605</v>
      </c>
      <c r="C329" t="s">
        <v>606</v>
      </c>
      <c r="D329" t="s">
        <v>15</v>
      </c>
      <c r="E329" t="s">
        <v>16</v>
      </c>
      <c r="F329">
        <v>2</v>
      </c>
      <c r="G329">
        <v>19900</v>
      </c>
      <c r="H329">
        <v>56.5</v>
      </c>
      <c r="I329">
        <v>850</v>
      </c>
      <c r="J329">
        <v>235</v>
      </c>
      <c r="K329">
        <v>600</v>
      </c>
      <c r="L329">
        <v>1.35</v>
      </c>
    </row>
    <row r="330" spans="1:12" x14ac:dyDescent="0.25">
      <c r="A330" t="s">
        <v>21</v>
      </c>
      <c r="B330" t="s">
        <v>607</v>
      </c>
      <c r="C330" t="s">
        <v>608</v>
      </c>
      <c r="D330" t="s">
        <v>15</v>
      </c>
      <c r="E330" t="s">
        <v>75</v>
      </c>
      <c r="F330">
        <v>4</v>
      </c>
      <c r="G330">
        <v>28200</v>
      </c>
      <c r="H330">
        <v>56.2</v>
      </c>
      <c r="I330">
        <v>800</v>
      </c>
      <c r="J330">
        <v>235</v>
      </c>
      <c r="K330">
        <v>600</v>
      </c>
      <c r="L330">
        <v>1.35</v>
      </c>
    </row>
    <row r="331" spans="1:12" x14ac:dyDescent="0.25">
      <c r="A331" t="s">
        <v>21</v>
      </c>
      <c r="B331" t="s">
        <v>607</v>
      </c>
      <c r="C331" t="s">
        <v>608</v>
      </c>
      <c r="D331" t="s">
        <v>15</v>
      </c>
      <c r="E331" t="s">
        <v>16</v>
      </c>
      <c r="F331">
        <v>2</v>
      </c>
      <c r="G331">
        <v>19600</v>
      </c>
      <c r="H331">
        <v>56.2</v>
      </c>
      <c r="I331">
        <v>800</v>
      </c>
      <c r="J331">
        <v>235</v>
      </c>
      <c r="K331">
        <v>600</v>
      </c>
      <c r="L331">
        <v>1.35</v>
      </c>
    </row>
    <row r="332" spans="1:12" x14ac:dyDescent="0.25">
      <c r="A332" t="s">
        <v>21</v>
      </c>
      <c r="B332" t="s">
        <v>609</v>
      </c>
      <c r="C332" t="s">
        <v>610</v>
      </c>
      <c r="D332" t="s">
        <v>15</v>
      </c>
      <c r="E332" t="s">
        <v>75</v>
      </c>
      <c r="F332">
        <v>4</v>
      </c>
      <c r="G332">
        <v>27600</v>
      </c>
      <c r="H332">
        <v>55.8</v>
      </c>
      <c r="I332">
        <v>800</v>
      </c>
      <c r="J332">
        <v>235</v>
      </c>
      <c r="K332">
        <v>600</v>
      </c>
      <c r="L332">
        <v>1.35</v>
      </c>
    </row>
    <row r="333" spans="1:12" x14ac:dyDescent="0.25">
      <c r="A333" t="s">
        <v>21</v>
      </c>
      <c r="B333" t="s">
        <v>609</v>
      </c>
      <c r="C333" t="s">
        <v>610</v>
      </c>
      <c r="D333" t="s">
        <v>15</v>
      </c>
      <c r="E333" t="s">
        <v>16</v>
      </c>
      <c r="F333">
        <v>2</v>
      </c>
      <c r="G333">
        <v>19300</v>
      </c>
      <c r="H333">
        <v>55.8</v>
      </c>
      <c r="I333">
        <v>800</v>
      </c>
      <c r="J333">
        <v>235</v>
      </c>
      <c r="K333">
        <v>600</v>
      </c>
      <c r="L333">
        <v>1.35</v>
      </c>
    </row>
    <row r="334" spans="1:12" x14ac:dyDescent="0.25">
      <c r="A334" t="s">
        <v>21</v>
      </c>
      <c r="B334" t="s">
        <v>611</v>
      </c>
      <c r="C334" t="s">
        <v>612</v>
      </c>
      <c r="D334" t="s">
        <v>15</v>
      </c>
      <c r="E334" t="s">
        <v>75</v>
      </c>
      <c r="F334">
        <v>4</v>
      </c>
      <c r="G334">
        <v>27000</v>
      </c>
      <c r="H334">
        <v>55.5</v>
      </c>
      <c r="I334">
        <v>750</v>
      </c>
      <c r="J334">
        <v>235</v>
      </c>
      <c r="K334">
        <v>600</v>
      </c>
      <c r="L334">
        <v>1.35</v>
      </c>
    </row>
    <row r="335" spans="1:12" x14ac:dyDescent="0.25">
      <c r="A335" t="s">
        <v>21</v>
      </c>
      <c r="B335" t="s">
        <v>611</v>
      </c>
      <c r="C335" t="s">
        <v>612</v>
      </c>
      <c r="D335" t="s">
        <v>15</v>
      </c>
      <c r="E335" t="s">
        <v>16</v>
      </c>
      <c r="F335">
        <v>2</v>
      </c>
      <c r="G335">
        <v>19000</v>
      </c>
      <c r="H335">
        <v>55.5</v>
      </c>
      <c r="I335">
        <v>750</v>
      </c>
      <c r="J335">
        <v>235</v>
      </c>
      <c r="K335">
        <v>600</v>
      </c>
      <c r="L335">
        <v>1.35</v>
      </c>
    </row>
    <row r="336" spans="1:12" x14ac:dyDescent="0.25">
      <c r="A336" t="s">
        <v>25</v>
      </c>
      <c r="B336" t="s">
        <v>26</v>
      </c>
      <c r="C336" t="s">
        <v>27</v>
      </c>
      <c r="D336" t="s">
        <v>15</v>
      </c>
      <c r="E336" t="s">
        <v>75</v>
      </c>
      <c r="F336">
        <v>3</v>
      </c>
      <c r="G336">
        <v>42500</v>
      </c>
      <c r="H336">
        <v>72.8</v>
      </c>
      <c r="I336">
        <v>1800</v>
      </c>
      <c r="J336">
        <v>450</v>
      </c>
      <c r="K336">
        <v>650</v>
      </c>
      <c r="L336">
        <v>1.52</v>
      </c>
    </row>
    <row r="337" spans="1:12" x14ac:dyDescent="0.25">
      <c r="A337" t="s">
        <v>25</v>
      </c>
      <c r="B337" t="s">
        <v>26</v>
      </c>
      <c r="C337" t="s">
        <v>27</v>
      </c>
      <c r="D337" t="s">
        <v>15</v>
      </c>
      <c r="E337" t="s">
        <v>16</v>
      </c>
      <c r="F337">
        <v>2</v>
      </c>
      <c r="G337">
        <v>45800</v>
      </c>
      <c r="H337">
        <v>72.8</v>
      </c>
      <c r="I337">
        <v>1800</v>
      </c>
      <c r="J337">
        <v>450</v>
      </c>
      <c r="K337">
        <v>650</v>
      </c>
      <c r="L337">
        <v>1.52</v>
      </c>
    </row>
    <row r="338" spans="1:12" x14ac:dyDescent="0.25">
      <c r="A338" t="s">
        <v>25</v>
      </c>
      <c r="B338" t="s">
        <v>26</v>
      </c>
      <c r="C338" t="s">
        <v>27</v>
      </c>
      <c r="D338" t="s">
        <v>15</v>
      </c>
      <c r="E338" t="s">
        <v>1369</v>
      </c>
      <c r="F338">
        <v>4</v>
      </c>
      <c r="G338">
        <v>35000</v>
      </c>
      <c r="H338">
        <v>72.8</v>
      </c>
      <c r="I338">
        <v>1800</v>
      </c>
      <c r="J338">
        <v>450</v>
      </c>
      <c r="K338">
        <v>650</v>
      </c>
      <c r="L338">
        <v>1.52</v>
      </c>
    </row>
    <row r="339" spans="1:12" x14ac:dyDescent="0.25">
      <c r="A339" t="s">
        <v>25</v>
      </c>
      <c r="B339" t="s">
        <v>178</v>
      </c>
      <c r="C339" t="s">
        <v>179</v>
      </c>
      <c r="D339" t="s">
        <v>15</v>
      </c>
      <c r="E339" t="s">
        <v>75</v>
      </c>
      <c r="F339">
        <v>3</v>
      </c>
      <c r="G339">
        <v>41800</v>
      </c>
      <c r="H339">
        <v>74.5</v>
      </c>
      <c r="I339">
        <v>2000</v>
      </c>
      <c r="J339">
        <v>450</v>
      </c>
      <c r="K339">
        <v>650</v>
      </c>
      <c r="L339">
        <v>1.52</v>
      </c>
    </row>
    <row r="340" spans="1:12" x14ac:dyDescent="0.25">
      <c r="A340" t="s">
        <v>25</v>
      </c>
      <c r="B340" t="s">
        <v>178</v>
      </c>
      <c r="C340" t="s">
        <v>179</v>
      </c>
      <c r="D340" t="s">
        <v>15</v>
      </c>
      <c r="E340" t="s">
        <v>16</v>
      </c>
      <c r="F340">
        <v>2</v>
      </c>
      <c r="G340">
        <v>44900</v>
      </c>
      <c r="H340">
        <v>74.5</v>
      </c>
      <c r="I340">
        <v>2000</v>
      </c>
      <c r="J340">
        <v>450</v>
      </c>
      <c r="K340">
        <v>650</v>
      </c>
      <c r="L340">
        <v>1.52</v>
      </c>
    </row>
    <row r="341" spans="1:12" x14ac:dyDescent="0.25">
      <c r="A341" t="s">
        <v>25</v>
      </c>
      <c r="B341" t="s">
        <v>178</v>
      </c>
      <c r="C341" t="s">
        <v>179</v>
      </c>
      <c r="D341" t="s">
        <v>15</v>
      </c>
      <c r="E341" t="s">
        <v>1369</v>
      </c>
      <c r="F341">
        <v>4</v>
      </c>
      <c r="G341">
        <v>34500</v>
      </c>
      <c r="H341">
        <v>74.5</v>
      </c>
      <c r="I341">
        <v>2000</v>
      </c>
      <c r="J341">
        <v>450</v>
      </c>
      <c r="K341">
        <v>650</v>
      </c>
      <c r="L341">
        <v>1.52</v>
      </c>
    </row>
    <row r="342" spans="1:12" x14ac:dyDescent="0.25">
      <c r="A342" t="s">
        <v>25</v>
      </c>
      <c r="B342" t="s">
        <v>141</v>
      </c>
      <c r="C342" t="s">
        <v>142</v>
      </c>
      <c r="D342" t="s">
        <v>15</v>
      </c>
      <c r="E342" t="s">
        <v>75</v>
      </c>
      <c r="F342">
        <v>3</v>
      </c>
      <c r="G342">
        <v>41200</v>
      </c>
      <c r="H342">
        <v>68.900000000000006</v>
      </c>
      <c r="I342">
        <v>1600</v>
      </c>
      <c r="J342">
        <v>450</v>
      </c>
      <c r="K342">
        <v>650</v>
      </c>
      <c r="L342">
        <v>1.52</v>
      </c>
    </row>
    <row r="343" spans="1:12" x14ac:dyDescent="0.25">
      <c r="A343" t="s">
        <v>25</v>
      </c>
      <c r="B343" t="s">
        <v>141</v>
      </c>
      <c r="C343" t="s">
        <v>142</v>
      </c>
      <c r="D343" t="s">
        <v>15</v>
      </c>
      <c r="E343" t="s">
        <v>16</v>
      </c>
      <c r="F343">
        <v>2</v>
      </c>
      <c r="G343">
        <v>44200</v>
      </c>
      <c r="H343">
        <v>68.900000000000006</v>
      </c>
      <c r="I343">
        <v>1600</v>
      </c>
      <c r="J343">
        <v>450</v>
      </c>
      <c r="K343">
        <v>650</v>
      </c>
      <c r="L343">
        <v>1.52</v>
      </c>
    </row>
    <row r="344" spans="1:12" x14ac:dyDescent="0.25">
      <c r="A344" t="s">
        <v>25</v>
      </c>
      <c r="B344" t="s">
        <v>141</v>
      </c>
      <c r="C344" t="s">
        <v>142</v>
      </c>
      <c r="D344" t="s">
        <v>15</v>
      </c>
      <c r="E344" t="s">
        <v>1369</v>
      </c>
      <c r="F344">
        <v>4</v>
      </c>
      <c r="G344">
        <v>34000</v>
      </c>
      <c r="H344">
        <v>68.900000000000006</v>
      </c>
      <c r="I344">
        <v>1600</v>
      </c>
      <c r="J344">
        <v>450</v>
      </c>
      <c r="K344">
        <v>650</v>
      </c>
      <c r="L344">
        <v>1.52</v>
      </c>
    </row>
    <row r="345" spans="1:12" x14ac:dyDescent="0.25">
      <c r="A345" t="s">
        <v>25</v>
      </c>
      <c r="B345" t="s">
        <v>613</v>
      </c>
      <c r="C345" t="s">
        <v>614</v>
      </c>
      <c r="D345" t="s">
        <v>15</v>
      </c>
      <c r="E345" t="s">
        <v>75</v>
      </c>
      <c r="F345">
        <v>3</v>
      </c>
      <c r="G345">
        <v>40500</v>
      </c>
      <c r="H345">
        <v>69.2</v>
      </c>
      <c r="I345">
        <v>1500</v>
      </c>
      <c r="J345">
        <v>450</v>
      </c>
      <c r="K345">
        <v>650</v>
      </c>
      <c r="L345">
        <v>1.52</v>
      </c>
    </row>
    <row r="346" spans="1:12" x14ac:dyDescent="0.25">
      <c r="A346" t="s">
        <v>25</v>
      </c>
      <c r="B346" t="s">
        <v>613</v>
      </c>
      <c r="C346" t="s">
        <v>614</v>
      </c>
      <c r="D346" t="s">
        <v>15</v>
      </c>
      <c r="E346" t="s">
        <v>16</v>
      </c>
      <c r="F346">
        <v>2</v>
      </c>
      <c r="G346">
        <v>43500</v>
      </c>
      <c r="H346">
        <v>69.2</v>
      </c>
      <c r="I346">
        <v>1500</v>
      </c>
      <c r="J346">
        <v>450</v>
      </c>
      <c r="K346">
        <v>650</v>
      </c>
      <c r="L346">
        <v>1.52</v>
      </c>
    </row>
    <row r="347" spans="1:12" x14ac:dyDescent="0.25">
      <c r="A347" t="s">
        <v>25</v>
      </c>
      <c r="B347" t="s">
        <v>613</v>
      </c>
      <c r="C347" t="s">
        <v>614</v>
      </c>
      <c r="D347" t="s">
        <v>15</v>
      </c>
      <c r="E347" t="s">
        <v>1369</v>
      </c>
      <c r="F347">
        <v>4</v>
      </c>
      <c r="G347">
        <v>33500</v>
      </c>
      <c r="H347">
        <v>69.2</v>
      </c>
      <c r="I347">
        <v>1500</v>
      </c>
      <c r="J347">
        <v>450</v>
      </c>
      <c r="K347">
        <v>650</v>
      </c>
      <c r="L347">
        <v>1.52</v>
      </c>
    </row>
    <row r="348" spans="1:12" x14ac:dyDescent="0.25">
      <c r="A348" t="s">
        <v>25</v>
      </c>
      <c r="B348" t="s">
        <v>178</v>
      </c>
      <c r="C348" t="s">
        <v>615</v>
      </c>
      <c r="D348" t="s">
        <v>15</v>
      </c>
      <c r="E348" t="s">
        <v>75</v>
      </c>
      <c r="F348">
        <v>3</v>
      </c>
      <c r="G348">
        <v>40200</v>
      </c>
      <c r="H348">
        <v>74.5</v>
      </c>
      <c r="I348">
        <v>1900</v>
      </c>
      <c r="J348">
        <v>450</v>
      </c>
      <c r="K348">
        <v>650</v>
      </c>
      <c r="L348">
        <v>1.52</v>
      </c>
    </row>
    <row r="349" spans="1:12" x14ac:dyDescent="0.25">
      <c r="A349" t="s">
        <v>25</v>
      </c>
      <c r="B349" t="s">
        <v>178</v>
      </c>
      <c r="C349" t="s">
        <v>615</v>
      </c>
      <c r="D349" t="s">
        <v>15</v>
      </c>
      <c r="E349" t="s">
        <v>16</v>
      </c>
      <c r="F349">
        <v>2</v>
      </c>
      <c r="G349">
        <v>43200</v>
      </c>
      <c r="H349">
        <v>74.5</v>
      </c>
      <c r="I349">
        <v>1900</v>
      </c>
      <c r="J349">
        <v>450</v>
      </c>
      <c r="K349">
        <v>650</v>
      </c>
      <c r="L349">
        <v>1.52</v>
      </c>
    </row>
    <row r="350" spans="1:12" x14ac:dyDescent="0.25">
      <c r="A350" t="s">
        <v>25</v>
      </c>
      <c r="B350" t="s">
        <v>178</v>
      </c>
      <c r="C350" t="s">
        <v>615</v>
      </c>
      <c r="D350" t="s">
        <v>15</v>
      </c>
      <c r="E350" t="s">
        <v>1369</v>
      </c>
      <c r="F350">
        <v>4</v>
      </c>
      <c r="G350">
        <v>33200</v>
      </c>
      <c r="H350">
        <v>74.5</v>
      </c>
      <c r="I350">
        <v>1900</v>
      </c>
      <c r="J350">
        <v>450</v>
      </c>
      <c r="K350">
        <v>650</v>
      </c>
      <c r="L350">
        <v>1.52</v>
      </c>
    </row>
    <row r="351" spans="1:12" x14ac:dyDescent="0.25">
      <c r="A351" t="s">
        <v>25</v>
      </c>
      <c r="B351" t="s">
        <v>26</v>
      </c>
      <c r="C351" t="s">
        <v>616</v>
      </c>
      <c r="D351" t="s">
        <v>15</v>
      </c>
      <c r="E351" t="s">
        <v>75</v>
      </c>
      <c r="F351">
        <v>3</v>
      </c>
      <c r="G351">
        <v>39800</v>
      </c>
      <c r="H351">
        <v>72.8</v>
      </c>
      <c r="I351">
        <v>1700</v>
      </c>
      <c r="J351">
        <v>450</v>
      </c>
      <c r="K351">
        <v>650</v>
      </c>
      <c r="L351">
        <v>1.52</v>
      </c>
    </row>
    <row r="352" spans="1:12" x14ac:dyDescent="0.25">
      <c r="A352" t="s">
        <v>25</v>
      </c>
      <c r="B352" t="s">
        <v>26</v>
      </c>
      <c r="C352" t="s">
        <v>616</v>
      </c>
      <c r="D352" t="s">
        <v>15</v>
      </c>
      <c r="E352" t="s">
        <v>16</v>
      </c>
      <c r="F352">
        <v>2</v>
      </c>
      <c r="G352">
        <v>42800</v>
      </c>
      <c r="H352">
        <v>72.8</v>
      </c>
      <c r="I352">
        <v>1700</v>
      </c>
      <c r="J352">
        <v>450</v>
      </c>
      <c r="K352">
        <v>650</v>
      </c>
      <c r="L352">
        <v>1.52</v>
      </c>
    </row>
    <row r="353" spans="1:12" x14ac:dyDescent="0.25">
      <c r="A353" t="s">
        <v>25</v>
      </c>
      <c r="B353" t="s">
        <v>26</v>
      </c>
      <c r="C353" t="s">
        <v>616</v>
      </c>
      <c r="D353" t="s">
        <v>15</v>
      </c>
      <c r="E353" t="s">
        <v>1369</v>
      </c>
      <c r="F353">
        <v>4</v>
      </c>
      <c r="G353">
        <v>32800</v>
      </c>
      <c r="H353">
        <v>72.8</v>
      </c>
      <c r="I353">
        <v>1700</v>
      </c>
      <c r="J353">
        <v>450</v>
      </c>
      <c r="K353">
        <v>650</v>
      </c>
      <c r="L353">
        <v>1.52</v>
      </c>
    </row>
    <row r="354" spans="1:12" x14ac:dyDescent="0.25">
      <c r="A354" t="s">
        <v>25</v>
      </c>
      <c r="B354" t="s">
        <v>223</v>
      </c>
      <c r="C354" t="s">
        <v>224</v>
      </c>
      <c r="D354" t="s">
        <v>15</v>
      </c>
      <c r="E354" t="s">
        <v>75</v>
      </c>
      <c r="F354">
        <v>3</v>
      </c>
      <c r="G354">
        <v>39200</v>
      </c>
      <c r="H354">
        <v>67.5</v>
      </c>
      <c r="I354">
        <v>1400</v>
      </c>
      <c r="J354">
        <v>450</v>
      </c>
      <c r="K354">
        <v>650</v>
      </c>
      <c r="L354">
        <v>1.52</v>
      </c>
    </row>
    <row r="355" spans="1:12" x14ac:dyDescent="0.25">
      <c r="A355" t="s">
        <v>25</v>
      </c>
      <c r="B355" t="s">
        <v>223</v>
      </c>
      <c r="C355" t="s">
        <v>224</v>
      </c>
      <c r="D355" t="s">
        <v>15</v>
      </c>
      <c r="E355" t="s">
        <v>16</v>
      </c>
      <c r="F355">
        <v>2</v>
      </c>
      <c r="G355">
        <v>42200</v>
      </c>
      <c r="H355">
        <v>67.5</v>
      </c>
      <c r="I355">
        <v>1400</v>
      </c>
      <c r="J355">
        <v>450</v>
      </c>
      <c r="K355">
        <v>650</v>
      </c>
      <c r="L355">
        <v>1.52</v>
      </c>
    </row>
    <row r="356" spans="1:12" x14ac:dyDescent="0.25">
      <c r="A356" t="s">
        <v>25</v>
      </c>
      <c r="B356" t="s">
        <v>223</v>
      </c>
      <c r="C356" t="s">
        <v>224</v>
      </c>
      <c r="D356" t="s">
        <v>15</v>
      </c>
      <c r="E356" t="s">
        <v>1369</v>
      </c>
      <c r="F356">
        <v>4</v>
      </c>
      <c r="G356">
        <v>32200</v>
      </c>
      <c r="H356">
        <v>67.5</v>
      </c>
      <c r="I356">
        <v>1400</v>
      </c>
      <c r="J356">
        <v>450</v>
      </c>
      <c r="K356">
        <v>650</v>
      </c>
      <c r="L356">
        <v>1.52</v>
      </c>
    </row>
    <row r="357" spans="1:12" x14ac:dyDescent="0.25">
      <c r="A357" t="s">
        <v>25</v>
      </c>
      <c r="B357" t="s">
        <v>225</v>
      </c>
      <c r="C357" t="s">
        <v>226</v>
      </c>
      <c r="D357" t="s">
        <v>15</v>
      </c>
      <c r="E357" t="s">
        <v>75</v>
      </c>
      <c r="F357">
        <v>3</v>
      </c>
      <c r="G357">
        <v>38800</v>
      </c>
      <c r="H357">
        <v>68.2</v>
      </c>
      <c r="I357">
        <v>1500</v>
      </c>
      <c r="J357">
        <v>450</v>
      </c>
      <c r="K357">
        <v>650</v>
      </c>
      <c r="L357">
        <v>1.52</v>
      </c>
    </row>
    <row r="358" spans="1:12" x14ac:dyDescent="0.25">
      <c r="A358" t="s">
        <v>25</v>
      </c>
      <c r="B358" t="s">
        <v>225</v>
      </c>
      <c r="C358" t="s">
        <v>226</v>
      </c>
      <c r="D358" t="s">
        <v>15</v>
      </c>
      <c r="E358" t="s">
        <v>16</v>
      </c>
      <c r="F358">
        <v>2</v>
      </c>
      <c r="G358">
        <v>41800</v>
      </c>
      <c r="H358">
        <v>68.2</v>
      </c>
      <c r="I358">
        <v>1500</v>
      </c>
      <c r="J358">
        <v>450</v>
      </c>
      <c r="K358">
        <v>650</v>
      </c>
      <c r="L358">
        <v>1.52</v>
      </c>
    </row>
    <row r="359" spans="1:12" x14ac:dyDescent="0.25">
      <c r="A359" t="s">
        <v>25</v>
      </c>
      <c r="B359" t="s">
        <v>225</v>
      </c>
      <c r="C359" t="s">
        <v>226</v>
      </c>
      <c r="D359" t="s">
        <v>15</v>
      </c>
      <c r="E359" t="s">
        <v>1369</v>
      </c>
      <c r="F359">
        <v>4</v>
      </c>
      <c r="G359">
        <v>31800</v>
      </c>
      <c r="H359">
        <v>68.2</v>
      </c>
      <c r="I359">
        <v>1500</v>
      </c>
      <c r="J359">
        <v>450</v>
      </c>
      <c r="K359">
        <v>650</v>
      </c>
      <c r="L359">
        <v>1.52</v>
      </c>
    </row>
    <row r="360" spans="1:12" x14ac:dyDescent="0.25">
      <c r="A360" t="s">
        <v>25</v>
      </c>
      <c r="B360" t="s">
        <v>613</v>
      </c>
      <c r="C360" t="s">
        <v>617</v>
      </c>
      <c r="D360" t="s">
        <v>15</v>
      </c>
      <c r="E360" t="s">
        <v>75</v>
      </c>
      <c r="F360">
        <v>3</v>
      </c>
      <c r="G360">
        <v>38200</v>
      </c>
      <c r="H360">
        <v>69.2</v>
      </c>
      <c r="I360">
        <v>1400</v>
      </c>
      <c r="J360">
        <v>450</v>
      </c>
      <c r="K360">
        <v>650</v>
      </c>
      <c r="L360">
        <v>1.52</v>
      </c>
    </row>
    <row r="361" spans="1:12" x14ac:dyDescent="0.25">
      <c r="A361" t="s">
        <v>25</v>
      </c>
      <c r="B361" t="s">
        <v>613</v>
      </c>
      <c r="C361" t="s">
        <v>617</v>
      </c>
      <c r="D361" t="s">
        <v>15</v>
      </c>
      <c r="E361" t="s">
        <v>16</v>
      </c>
      <c r="F361">
        <v>2</v>
      </c>
      <c r="G361">
        <v>41200</v>
      </c>
      <c r="H361">
        <v>69.2</v>
      </c>
      <c r="I361">
        <v>1400</v>
      </c>
      <c r="J361">
        <v>450</v>
      </c>
      <c r="K361">
        <v>650</v>
      </c>
      <c r="L361">
        <v>1.52</v>
      </c>
    </row>
    <row r="362" spans="1:12" x14ac:dyDescent="0.25">
      <c r="A362" t="s">
        <v>25</v>
      </c>
      <c r="B362" t="s">
        <v>613</v>
      </c>
      <c r="C362" t="s">
        <v>617</v>
      </c>
      <c r="D362" t="s">
        <v>15</v>
      </c>
      <c r="E362" t="s">
        <v>1369</v>
      </c>
      <c r="F362">
        <v>4</v>
      </c>
      <c r="G362">
        <v>31200</v>
      </c>
      <c r="H362">
        <v>69.2</v>
      </c>
      <c r="I362">
        <v>1400</v>
      </c>
      <c r="J362">
        <v>450</v>
      </c>
      <c r="K362">
        <v>650</v>
      </c>
      <c r="L362">
        <v>1.52</v>
      </c>
    </row>
    <row r="363" spans="1:12" x14ac:dyDescent="0.25">
      <c r="A363" t="s">
        <v>25</v>
      </c>
      <c r="B363" t="s">
        <v>178</v>
      </c>
      <c r="C363" t="s">
        <v>618</v>
      </c>
      <c r="D363" t="s">
        <v>15</v>
      </c>
      <c r="E363" t="s">
        <v>75</v>
      </c>
      <c r="F363">
        <v>3</v>
      </c>
      <c r="G363">
        <v>37800</v>
      </c>
      <c r="H363">
        <v>74.5</v>
      </c>
      <c r="I363">
        <v>1800</v>
      </c>
      <c r="J363">
        <v>450</v>
      </c>
      <c r="K363">
        <v>650</v>
      </c>
      <c r="L363">
        <v>1.52</v>
      </c>
    </row>
    <row r="364" spans="1:12" x14ac:dyDescent="0.25">
      <c r="A364" t="s">
        <v>25</v>
      </c>
      <c r="B364" t="s">
        <v>178</v>
      </c>
      <c r="C364" t="s">
        <v>618</v>
      </c>
      <c r="D364" t="s">
        <v>15</v>
      </c>
      <c r="E364" t="s">
        <v>16</v>
      </c>
      <c r="F364">
        <v>2</v>
      </c>
      <c r="G364">
        <v>40800</v>
      </c>
      <c r="H364">
        <v>74.5</v>
      </c>
      <c r="I364">
        <v>1800</v>
      </c>
      <c r="J364">
        <v>450</v>
      </c>
      <c r="K364">
        <v>650</v>
      </c>
      <c r="L364">
        <v>1.52</v>
      </c>
    </row>
    <row r="365" spans="1:12" x14ac:dyDescent="0.25">
      <c r="A365" t="s">
        <v>25</v>
      </c>
      <c r="B365" t="s">
        <v>178</v>
      </c>
      <c r="C365" t="s">
        <v>618</v>
      </c>
      <c r="D365" t="s">
        <v>15</v>
      </c>
      <c r="E365" t="s">
        <v>1369</v>
      </c>
      <c r="F365">
        <v>4</v>
      </c>
      <c r="G365">
        <v>30800</v>
      </c>
      <c r="H365">
        <v>74.5</v>
      </c>
      <c r="I365">
        <v>1800</v>
      </c>
      <c r="J365">
        <v>450</v>
      </c>
      <c r="K365">
        <v>650</v>
      </c>
      <c r="L365">
        <v>1.52</v>
      </c>
    </row>
    <row r="366" spans="1:12" x14ac:dyDescent="0.25">
      <c r="A366" t="s">
        <v>25</v>
      </c>
      <c r="B366" t="s">
        <v>26</v>
      </c>
      <c r="C366" t="s">
        <v>619</v>
      </c>
      <c r="D366" t="s">
        <v>15</v>
      </c>
      <c r="E366" t="s">
        <v>75</v>
      </c>
      <c r="F366">
        <v>3</v>
      </c>
      <c r="G366">
        <v>37200</v>
      </c>
      <c r="H366">
        <v>72.8</v>
      </c>
      <c r="I366">
        <v>1600</v>
      </c>
      <c r="J366">
        <v>450</v>
      </c>
      <c r="K366">
        <v>650</v>
      </c>
      <c r="L366">
        <v>1.52</v>
      </c>
    </row>
    <row r="367" spans="1:12" x14ac:dyDescent="0.25">
      <c r="A367" t="s">
        <v>25</v>
      </c>
      <c r="B367" t="s">
        <v>26</v>
      </c>
      <c r="C367" t="s">
        <v>619</v>
      </c>
      <c r="D367" t="s">
        <v>15</v>
      </c>
      <c r="E367" t="s">
        <v>16</v>
      </c>
      <c r="F367">
        <v>2</v>
      </c>
      <c r="G367">
        <v>40200</v>
      </c>
      <c r="H367">
        <v>72.8</v>
      </c>
      <c r="I367">
        <v>1600</v>
      </c>
      <c r="J367">
        <v>450</v>
      </c>
      <c r="K367">
        <v>650</v>
      </c>
      <c r="L367">
        <v>1.52</v>
      </c>
    </row>
    <row r="368" spans="1:12" x14ac:dyDescent="0.25">
      <c r="A368" t="s">
        <v>25</v>
      </c>
      <c r="B368" t="s">
        <v>26</v>
      </c>
      <c r="C368" t="s">
        <v>619</v>
      </c>
      <c r="D368" t="s">
        <v>15</v>
      </c>
      <c r="E368" t="s">
        <v>1369</v>
      </c>
      <c r="F368">
        <v>4</v>
      </c>
      <c r="G368">
        <v>30200</v>
      </c>
      <c r="H368">
        <v>72.8</v>
      </c>
      <c r="I368">
        <v>1600</v>
      </c>
      <c r="J368">
        <v>450</v>
      </c>
      <c r="K368">
        <v>650</v>
      </c>
      <c r="L368">
        <v>1.52</v>
      </c>
    </row>
    <row r="369" spans="1:12" x14ac:dyDescent="0.25">
      <c r="A369" t="s">
        <v>25</v>
      </c>
      <c r="B369" t="s">
        <v>233</v>
      </c>
      <c r="C369" t="s">
        <v>234</v>
      </c>
      <c r="D369" t="s">
        <v>15</v>
      </c>
      <c r="E369" t="s">
        <v>75</v>
      </c>
      <c r="F369">
        <v>3</v>
      </c>
      <c r="G369">
        <v>36800</v>
      </c>
      <c r="H369">
        <v>65.8</v>
      </c>
      <c r="I369">
        <v>1300</v>
      </c>
      <c r="J369">
        <v>450</v>
      </c>
      <c r="K369">
        <v>650</v>
      </c>
      <c r="L369">
        <v>1.52</v>
      </c>
    </row>
    <row r="370" spans="1:12" x14ac:dyDescent="0.25">
      <c r="A370" t="s">
        <v>25</v>
      </c>
      <c r="B370" t="s">
        <v>233</v>
      </c>
      <c r="C370" t="s">
        <v>234</v>
      </c>
      <c r="D370" t="s">
        <v>15</v>
      </c>
      <c r="E370" t="s">
        <v>16</v>
      </c>
      <c r="F370">
        <v>2</v>
      </c>
      <c r="G370">
        <v>39800</v>
      </c>
      <c r="H370">
        <v>65.8</v>
      </c>
      <c r="I370">
        <v>1300</v>
      </c>
      <c r="J370">
        <v>450</v>
      </c>
      <c r="K370">
        <v>650</v>
      </c>
      <c r="L370">
        <v>1.52</v>
      </c>
    </row>
    <row r="371" spans="1:12" x14ac:dyDescent="0.25">
      <c r="A371" t="s">
        <v>25</v>
      </c>
      <c r="B371" t="s">
        <v>233</v>
      </c>
      <c r="C371" t="s">
        <v>234</v>
      </c>
      <c r="D371" t="s">
        <v>15</v>
      </c>
      <c r="E371" t="s">
        <v>1369</v>
      </c>
      <c r="F371">
        <v>4</v>
      </c>
      <c r="G371">
        <v>29800</v>
      </c>
      <c r="H371">
        <v>65.8</v>
      </c>
      <c r="I371">
        <v>1300</v>
      </c>
      <c r="J371">
        <v>450</v>
      </c>
      <c r="K371">
        <v>650</v>
      </c>
      <c r="L371">
        <v>1.52</v>
      </c>
    </row>
    <row r="372" spans="1:12" x14ac:dyDescent="0.25">
      <c r="A372" t="s">
        <v>25</v>
      </c>
      <c r="B372" t="s">
        <v>231</v>
      </c>
      <c r="C372" t="s">
        <v>232</v>
      </c>
      <c r="D372" t="s">
        <v>15</v>
      </c>
      <c r="E372" t="s">
        <v>75</v>
      </c>
      <c r="F372">
        <v>3</v>
      </c>
      <c r="G372">
        <v>36200</v>
      </c>
      <c r="H372">
        <v>66.2</v>
      </c>
      <c r="I372">
        <v>1300</v>
      </c>
      <c r="J372">
        <v>450</v>
      </c>
      <c r="K372">
        <v>650</v>
      </c>
      <c r="L372">
        <v>1.52</v>
      </c>
    </row>
    <row r="373" spans="1:12" x14ac:dyDescent="0.25">
      <c r="A373" t="s">
        <v>25</v>
      </c>
      <c r="B373" t="s">
        <v>231</v>
      </c>
      <c r="C373" t="s">
        <v>232</v>
      </c>
      <c r="D373" t="s">
        <v>15</v>
      </c>
      <c r="E373" t="s">
        <v>16</v>
      </c>
      <c r="F373">
        <v>2</v>
      </c>
      <c r="G373">
        <v>39200</v>
      </c>
      <c r="H373">
        <v>66.2</v>
      </c>
      <c r="I373">
        <v>1300</v>
      </c>
      <c r="J373">
        <v>450</v>
      </c>
      <c r="K373">
        <v>650</v>
      </c>
      <c r="L373">
        <v>1.52</v>
      </c>
    </row>
    <row r="374" spans="1:12" x14ac:dyDescent="0.25">
      <c r="A374" t="s">
        <v>25</v>
      </c>
      <c r="B374" t="s">
        <v>231</v>
      </c>
      <c r="C374" t="s">
        <v>232</v>
      </c>
      <c r="D374" t="s">
        <v>15</v>
      </c>
      <c r="E374" t="s">
        <v>1369</v>
      </c>
      <c r="F374">
        <v>4</v>
      </c>
      <c r="G374">
        <v>29200</v>
      </c>
      <c r="H374">
        <v>66.2</v>
      </c>
      <c r="I374">
        <v>1300</v>
      </c>
      <c r="J374">
        <v>450</v>
      </c>
      <c r="K374">
        <v>650</v>
      </c>
      <c r="L374">
        <v>1.52</v>
      </c>
    </row>
    <row r="375" spans="1:12" x14ac:dyDescent="0.25">
      <c r="A375" t="s">
        <v>25</v>
      </c>
      <c r="B375" t="s">
        <v>229</v>
      </c>
      <c r="C375" t="s">
        <v>230</v>
      </c>
      <c r="D375" t="s">
        <v>15</v>
      </c>
      <c r="E375" t="s">
        <v>75</v>
      </c>
      <c r="F375">
        <v>3</v>
      </c>
      <c r="G375">
        <v>35800</v>
      </c>
      <c r="H375">
        <v>64.5</v>
      </c>
      <c r="I375">
        <v>1200</v>
      </c>
      <c r="J375">
        <v>450</v>
      </c>
      <c r="K375">
        <v>650</v>
      </c>
      <c r="L375">
        <v>1.52</v>
      </c>
    </row>
    <row r="376" spans="1:12" x14ac:dyDescent="0.25">
      <c r="A376" t="s">
        <v>25</v>
      </c>
      <c r="B376" t="s">
        <v>229</v>
      </c>
      <c r="C376" t="s">
        <v>230</v>
      </c>
      <c r="D376" t="s">
        <v>15</v>
      </c>
      <c r="E376" t="s">
        <v>16</v>
      </c>
      <c r="F376">
        <v>2</v>
      </c>
      <c r="G376">
        <v>38800</v>
      </c>
      <c r="H376">
        <v>64.5</v>
      </c>
      <c r="I376">
        <v>1200</v>
      </c>
      <c r="J376">
        <v>450</v>
      </c>
      <c r="K376">
        <v>650</v>
      </c>
      <c r="L376">
        <v>1.52</v>
      </c>
    </row>
    <row r="377" spans="1:12" x14ac:dyDescent="0.25">
      <c r="A377" t="s">
        <v>25</v>
      </c>
      <c r="B377" t="s">
        <v>229</v>
      </c>
      <c r="C377" t="s">
        <v>230</v>
      </c>
      <c r="D377" t="s">
        <v>15</v>
      </c>
      <c r="E377" t="s">
        <v>1369</v>
      </c>
      <c r="F377">
        <v>4</v>
      </c>
      <c r="G377">
        <v>28800</v>
      </c>
      <c r="H377">
        <v>64.5</v>
      </c>
      <c r="I377">
        <v>1200</v>
      </c>
      <c r="J377">
        <v>450</v>
      </c>
      <c r="K377">
        <v>650</v>
      </c>
      <c r="L377">
        <v>1.52</v>
      </c>
    </row>
    <row r="378" spans="1:12" x14ac:dyDescent="0.25">
      <c r="A378" t="s">
        <v>25</v>
      </c>
      <c r="B378" t="s">
        <v>227</v>
      </c>
      <c r="C378" t="s">
        <v>228</v>
      </c>
      <c r="D378" t="s">
        <v>15</v>
      </c>
      <c r="E378" t="s">
        <v>75</v>
      </c>
      <c r="F378">
        <v>3</v>
      </c>
      <c r="G378">
        <v>35200</v>
      </c>
      <c r="H378">
        <v>68.5</v>
      </c>
      <c r="I378">
        <v>1400</v>
      </c>
      <c r="J378">
        <v>450</v>
      </c>
      <c r="K378">
        <v>650</v>
      </c>
      <c r="L378">
        <v>1.52</v>
      </c>
    </row>
    <row r="379" spans="1:12" x14ac:dyDescent="0.25">
      <c r="A379" t="s">
        <v>25</v>
      </c>
      <c r="B379" t="s">
        <v>227</v>
      </c>
      <c r="C379" t="s">
        <v>228</v>
      </c>
      <c r="D379" t="s">
        <v>15</v>
      </c>
      <c r="E379" t="s">
        <v>16</v>
      </c>
      <c r="F379">
        <v>2</v>
      </c>
      <c r="G379">
        <v>38200</v>
      </c>
      <c r="H379">
        <v>68.5</v>
      </c>
      <c r="I379">
        <v>1400</v>
      </c>
      <c r="J379">
        <v>450</v>
      </c>
      <c r="K379">
        <v>650</v>
      </c>
      <c r="L379">
        <v>1.52</v>
      </c>
    </row>
    <row r="380" spans="1:12" x14ac:dyDescent="0.25">
      <c r="A380" t="s">
        <v>25</v>
      </c>
      <c r="B380" t="s">
        <v>227</v>
      </c>
      <c r="C380" t="s">
        <v>228</v>
      </c>
      <c r="D380" t="s">
        <v>15</v>
      </c>
      <c r="E380" t="s">
        <v>1369</v>
      </c>
      <c r="F380">
        <v>4</v>
      </c>
      <c r="G380">
        <v>28200</v>
      </c>
      <c r="H380">
        <v>68.5</v>
      </c>
      <c r="I380">
        <v>1400</v>
      </c>
      <c r="J380">
        <v>450</v>
      </c>
      <c r="K380">
        <v>650</v>
      </c>
      <c r="L380">
        <v>1.52</v>
      </c>
    </row>
    <row r="381" spans="1:12" x14ac:dyDescent="0.25">
      <c r="A381" t="s">
        <v>25</v>
      </c>
      <c r="B381" t="s">
        <v>141</v>
      </c>
      <c r="C381" t="s">
        <v>620</v>
      </c>
      <c r="D381" t="s">
        <v>15</v>
      </c>
      <c r="E381" t="s">
        <v>75</v>
      </c>
      <c r="F381">
        <v>3</v>
      </c>
      <c r="G381">
        <v>34800</v>
      </c>
      <c r="H381">
        <v>68.900000000000006</v>
      </c>
      <c r="I381">
        <v>1500</v>
      </c>
      <c r="J381">
        <v>450</v>
      </c>
      <c r="K381">
        <v>650</v>
      </c>
      <c r="L381">
        <v>1.52</v>
      </c>
    </row>
    <row r="382" spans="1:12" x14ac:dyDescent="0.25">
      <c r="A382" t="s">
        <v>25</v>
      </c>
      <c r="B382" t="s">
        <v>141</v>
      </c>
      <c r="C382" t="s">
        <v>620</v>
      </c>
      <c r="D382" t="s">
        <v>15</v>
      </c>
      <c r="E382" t="s">
        <v>16</v>
      </c>
      <c r="F382">
        <v>2</v>
      </c>
      <c r="G382">
        <v>37800</v>
      </c>
      <c r="H382">
        <v>68.900000000000006</v>
      </c>
      <c r="I382">
        <v>1500</v>
      </c>
      <c r="J382">
        <v>450</v>
      </c>
      <c r="K382">
        <v>650</v>
      </c>
      <c r="L382">
        <v>1.52</v>
      </c>
    </row>
    <row r="383" spans="1:12" x14ac:dyDescent="0.25">
      <c r="A383" t="s">
        <v>25</v>
      </c>
      <c r="B383" t="s">
        <v>141</v>
      </c>
      <c r="C383" t="s">
        <v>620</v>
      </c>
      <c r="D383" t="s">
        <v>15</v>
      </c>
      <c r="E383" t="s">
        <v>1369</v>
      </c>
      <c r="F383">
        <v>4</v>
      </c>
      <c r="G383">
        <v>27800</v>
      </c>
      <c r="H383">
        <v>68.900000000000006</v>
      </c>
      <c r="I383">
        <v>1500</v>
      </c>
      <c r="J383">
        <v>450</v>
      </c>
      <c r="K383">
        <v>650</v>
      </c>
      <c r="L383">
        <v>1.52</v>
      </c>
    </row>
    <row r="384" spans="1:12" x14ac:dyDescent="0.25">
      <c r="A384" t="s">
        <v>25</v>
      </c>
      <c r="B384" t="s">
        <v>237</v>
      </c>
      <c r="C384" t="s">
        <v>238</v>
      </c>
      <c r="D384" t="s">
        <v>15</v>
      </c>
      <c r="E384" t="s">
        <v>75</v>
      </c>
      <c r="F384">
        <v>3</v>
      </c>
      <c r="G384">
        <v>34200</v>
      </c>
      <c r="H384">
        <v>65.2</v>
      </c>
      <c r="I384">
        <v>1200</v>
      </c>
      <c r="J384">
        <v>450</v>
      </c>
      <c r="K384">
        <v>650</v>
      </c>
      <c r="L384">
        <v>1.52</v>
      </c>
    </row>
    <row r="385" spans="1:12" x14ac:dyDescent="0.25">
      <c r="A385" t="s">
        <v>25</v>
      </c>
      <c r="B385" t="s">
        <v>237</v>
      </c>
      <c r="C385" t="s">
        <v>238</v>
      </c>
      <c r="D385" t="s">
        <v>15</v>
      </c>
      <c r="E385" t="s">
        <v>16</v>
      </c>
      <c r="F385">
        <v>2</v>
      </c>
      <c r="G385">
        <v>37200</v>
      </c>
      <c r="H385">
        <v>65.2</v>
      </c>
      <c r="I385">
        <v>1200</v>
      </c>
      <c r="J385">
        <v>450</v>
      </c>
      <c r="K385">
        <v>650</v>
      </c>
      <c r="L385">
        <v>1.52</v>
      </c>
    </row>
    <row r="386" spans="1:12" x14ac:dyDescent="0.25">
      <c r="A386" t="s">
        <v>25</v>
      </c>
      <c r="B386" t="s">
        <v>237</v>
      </c>
      <c r="C386" t="s">
        <v>238</v>
      </c>
      <c r="D386" t="s">
        <v>15</v>
      </c>
      <c r="E386" t="s">
        <v>1369</v>
      </c>
      <c r="F386">
        <v>4</v>
      </c>
      <c r="G386">
        <v>27200</v>
      </c>
      <c r="H386">
        <v>65.2</v>
      </c>
      <c r="I386">
        <v>1200</v>
      </c>
      <c r="J386">
        <v>450</v>
      </c>
      <c r="K386">
        <v>650</v>
      </c>
      <c r="L386">
        <v>1.52</v>
      </c>
    </row>
    <row r="387" spans="1:12" x14ac:dyDescent="0.25">
      <c r="A387" t="s">
        <v>25</v>
      </c>
      <c r="B387" t="s">
        <v>242</v>
      </c>
      <c r="C387" t="s">
        <v>243</v>
      </c>
      <c r="D387" t="s">
        <v>15</v>
      </c>
      <c r="E387" t="s">
        <v>75</v>
      </c>
      <c r="F387">
        <v>3</v>
      </c>
      <c r="G387">
        <v>33800</v>
      </c>
      <c r="H387">
        <v>63.8</v>
      </c>
      <c r="I387">
        <v>1100</v>
      </c>
      <c r="J387">
        <v>450</v>
      </c>
      <c r="K387">
        <v>650</v>
      </c>
      <c r="L387">
        <v>1.52</v>
      </c>
    </row>
    <row r="388" spans="1:12" x14ac:dyDescent="0.25">
      <c r="A388" t="s">
        <v>25</v>
      </c>
      <c r="B388" t="s">
        <v>242</v>
      </c>
      <c r="C388" t="s">
        <v>243</v>
      </c>
      <c r="D388" t="s">
        <v>15</v>
      </c>
      <c r="E388" t="s">
        <v>16</v>
      </c>
      <c r="F388">
        <v>2</v>
      </c>
      <c r="G388">
        <v>36800</v>
      </c>
      <c r="H388">
        <v>63.8</v>
      </c>
      <c r="I388">
        <v>1100</v>
      </c>
      <c r="J388">
        <v>450</v>
      </c>
      <c r="K388">
        <v>650</v>
      </c>
      <c r="L388">
        <v>1.52</v>
      </c>
    </row>
    <row r="389" spans="1:12" x14ac:dyDescent="0.25">
      <c r="A389" t="s">
        <v>25</v>
      </c>
      <c r="B389" t="s">
        <v>242</v>
      </c>
      <c r="C389" t="s">
        <v>243</v>
      </c>
      <c r="D389" t="s">
        <v>15</v>
      </c>
      <c r="E389" t="s">
        <v>1369</v>
      </c>
      <c r="F389">
        <v>4</v>
      </c>
      <c r="G389">
        <v>26800</v>
      </c>
      <c r="H389">
        <v>63.8</v>
      </c>
      <c r="I389">
        <v>1100</v>
      </c>
      <c r="J389">
        <v>450</v>
      </c>
      <c r="K389">
        <v>650</v>
      </c>
      <c r="L389">
        <v>1.52</v>
      </c>
    </row>
    <row r="390" spans="1:12" x14ac:dyDescent="0.25">
      <c r="A390" t="s">
        <v>25</v>
      </c>
      <c r="B390" t="s">
        <v>621</v>
      </c>
      <c r="C390" t="s">
        <v>622</v>
      </c>
      <c r="D390" t="s">
        <v>15</v>
      </c>
      <c r="E390" t="s">
        <v>75</v>
      </c>
      <c r="F390">
        <v>3</v>
      </c>
      <c r="G390">
        <v>33200</v>
      </c>
      <c r="H390">
        <v>64.2</v>
      </c>
      <c r="I390">
        <v>1100</v>
      </c>
      <c r="J390">
        <v>450</v>
      </c>
      <c r="K390">
        <v>650</v>
      </c>
      <c r="L390">
        <v>1.52</v>
      </c>
    </row>
    <row r="391" spans="1:12" x14ac:dyDescent="0.25">
      <c r="A391" t="s">
        <v>25</v>
      </c>
      <c r="B391" t="s">
        <v>621</v>
      </c>
      <c r="C391" t="s">
        <v>622</v>
      </c>
      <c r="D391" t="s">
        <v>15</v>
      </c>
      <c r="E391" t="s">
        <v>16</v>
      </c>
      <c r="F391">
        <v>2</v>
      </c>
      <c r="G391">
        <v>36200</v>
      </c>
      <c r="H391">
        <v>64.2</v>
      </c>
      <c r="I391">
        <v>1100</v>
      </c>
      <c r="J391">
        <v>450</v>
      </c>
      <c r="K391">
        <v>650</v>
      </c>
      <c r="L391">
        <v>1.52</v>
      </c>
    </row>
    <row r="392" spans="1:12" x14ac:dyDescent="0.25">
      <c r="A392" t="s">
        <v>25</v>
      </c>
      <c r="B392" t="s">
        <v>621</v>
      </c>
      <c r="C392" t="s">
        <v>622</v>
      </c>
      <c r="D392" t="s">
        <v>15</v>
      </c>
      <c r="E392" t="s">
        <v>1369</v>
      </c>
      <c r="F392">
        <v>4</v>
      </c>
      <c r="G392">
        <v>26200</v>
      </c>
      <c r="H392">
        <v>64.2</v>
      </c>
      <c r="I392">
        <v>1100</v>
      </c>
      <c r="J392">
        <v>450</v>
      </c>
      <c r="K392">
        <v>650</v>
      </c>
      <c r="L392">
        <v>1.52</v>
      </c>
    </row>
    <row r="393" spans="1:12" x14ac:dyDescent="0.25">
      <c r="A393" t="s">
        <v>25</v>
      </c>
      <c r="B393" t="s">
        <v>623</v>
      </c>
      <c r="C393" t="s">
        <v>624</v>
      </c>
      <c r="D393" t="s">
        <v>15</v>
      </c>
      <c r="E393" t="s">
        <v>75</v>
      </c>
      <c r="F393">
        <v>3</v>
      </c>
      <c r="G393">
        <v>32800</v>
      </c>
      <c r="H393">
        <v>63.5</v>
      </c>
      <c r="I393">
        <v>1000</v>
      </c>
      <c r="J393">
        <v>450</v>
      </c>
      <c r="K393">
        <v>650</v>
      </c>
      <c r="L393">
        <v>1.52</v>
      </c>
    </row>
    <row r="394" spans="1:12" x14ac:dyDescent="0.25">
      <c r="A394" t="s">
        <v>25</v>
      </c>
      <c r="B394" t="s">
        <v>623</v>
      </c>
      <c r="C394" t="s">
        <v>624</v>
      </c>
      <c r="D394" t="s">
        <v>15</v>
      </c>
      <c r="E394" t="s">
        <v>16</v>
      </c>
      <c r="F394">
        <v>2</v>
      </c>
      <c r="G394">
        <v>35800</v>
      </c>
      <c r="H394">
        <v>63.5</v>
      </c>
      <c r="I394">
        <v>1000</v>
      </c>
      <c r="J394">
        <v>450</v>
      </c>
      <c r="K394">
        <v>650</v>
      </c>
      <c r="L394">
        <v>1.52</v>
      </c>
    </row>
    <row r="395" spans="1:12" x14ac:dyDescent="0.25">
      <c r="A395" t="s">
        <v>25</v>
      </c>
      <c r="B395" t="s">
        <v>623</v>
      </c>
      <c r="C395" t="s">
        <v>624</v>
      </c>
      <c r="D395" t="s">
        <v>15</v>
      </c>
      <c r="E395" t="s">
        <v>1369</v>
      </c>
      <c r="F395">
        <v>4</v>
      </c>
      <c r="G395">
        <v>25800</v>
      </c>
      <c r="H395">
        <v>63.5</v>
      </c>
      <c r="I395">
        <v>1000</v>
      </c>
      <c r="J395">
        <v>450</v>
      </c>
      <c r="K395">
        <v>650</v>
      </c>
      <c r="L395">
        <v>1.52</v>
      </c>
    </row>
    <row r="396" spans="1:12" x14ac:dyDescent="0.25">
      <c r="A396" t="s">
        <v>25</v>
      </c>
      <c r="B396" t="s">
        <v>625</v>
      </c>
      <c r="C396" t="s">
        <v>626</v>
      </c>
      <c r="D396" t="s">
        <v>15</v>
      </c>
      <c r="E396" t="s">
        <v>75</v>
      </c>
      <c r="F396">
        <v>3</v>
      </c>
      <c r="G396">
        <v>32200</v>
      </c>
      <c r="H396">
        <v>63.2</v>
      </c>
      <c r="I396">
        <v>1000</v>
      </c>
      <c r="J396">
        <v>450</v>
      </c>
      <c r="K396">
        <v>650</v>
      </c>
      <c r="L396">
        <v>1.52</v>
      </c>
    </row>
    <row r="397" spans="1:12" x14ac:dyDescent="0.25">
      <c r="A397" t="s">
        <v>25</v>
      </c>
      <c r="B397" t="s">
        <v>625</v>
      </c>
      <c r="C397" t="s">
        <v>626</v>
      </c>
      <c r="D397" t="s">
        <v>15</v>
      </c>
      <c r="E397" t="s">
        <v>16</v>
      </c>
      <c r="F397">
        <v>2</v>
      </c>
      <c r="G397">
        <v>35200</v>
      </c>
      <c r="H397">
        <v>63.2</v>
      </c>
      <c r="I397">
        <v>1000</v>
      </c>
      <c r="J397">
        <v>450</v>
      </c>
      <c r="K397">
        <v>650</v>
      </c>
      <c r="L397">
        <v>1.52</v>
      </c>
    </row>
    <row r="398" spans="1:12" x14ac:dyDescent="0.25">
      <c r="A398" t="s">
        <v>25</v>
      </c>
      <c r="B398" t="s">
        <v>625</v>
      </c>
      <c r="C398" t="s">
        <v>626</v>
      </c>
      <c r="D398" t="s">
        <v>15</v>
      </c>
      <c r="E398" t="s">
        <v>1369</v>
      </c>
      <c r="F398">
        <v>4</v>
      </c>
      <c r="G398">
        <v>25200</v>
      </c>
      <c r="H398">
        <v>63.2</v>
      </c>
      <c r="I398">
        <v>1000</v>
      </c>
      <c r="J398">
        <v>450</v>
      </c>
      <c r="K398">
        <v>650</v>
      </c>
      <c r="L398">
        <v>1.52</v>
      </c>
    </row>
    <row r="399" spans="1:12" x14ac:dyDescent="0.25">
      <c r="A399" t="s">
        <v>12</v>
      </c>
      <c r="B399" t="s">
        <v>122</v>
      </c>
      <c r="C399" t="s">
        <v>123</v>
      </c>
      <c r="D399" t="s">
        <v>15</v>
      </c>
      <c r="E399" t="s">
        <v>16</v>
      </c>
      <c r="F399">
        <v>2</v>
      </c>
      <c r="G399">
        <v>58000</v>
      </c>
      <c r="H399">
        <v>82.1</v>
      </c>
      <c r="I399">
        <v>2100</v>
      </c>
      <c r="J399">
        <v>160</v>
      </c>
      <c r="K399">
        <v>1500</v>
      </c>
      <c r="L399">
        <v>1</v>
      </c>
    </row>
    <row r="400" spans="1:12" x14ac:dyDescent="0.25">
      <c r="A400" t="s">
        <v>17</v>
      </c>
      <c r="B400" t="s">
        <v>18</v>
      </c>
      <c r="C400" t="s">
        <v>19</v>
      </c>
      <c r="D400" t="s">
        <v>20</v>
      </c>
      <c r="E400" t="s">
        <v>16</v>
      </c>
      <c r="F400">
        <v>1</v>
      </c>
      <c r="G400">
        <v>42000</v>
      </c>
      <c r="H400">
        <v>75.3</v>
      </c>
      <c r="I400">
        <v>1800</v>
      </c>
      <c r="J400">
        <v>485</v>
      </c>
      <c r="K400">
        <v>800</v>
      </c>
      <c r="L400">
        <v>0.79</v>
      </c>
    </row>
    <row r="401" spans="1:12" x14ac:dyDescent="0.25">
      <c r="A401" t="s">
        <v>29</v>
      </c>
      <c r="B401" t="s">
        <v>30</v>
      </c>
      <c r="C401" t="s">
        <v>627</v>
      </c>
      <c r="D401" t="s">
        <v>32</v>
      </c>
      <c r="E401" t="s">
        <v>16</v>
      </c>
      <c r="F401">
        <v>2</v>
      </c>
      <c r="G401">
        <v>0</v>
      </c>
      <c r="H401">
        <v>71.5</v>
      </c>
      <c r="I401">
        <v>1200</v>
      </c>
      <c r="J401">
        <v>110</v>
      </c>
      <c r="K401">
        <v>900</v>
      </c>
      <c r="L401">
        <v>0.92</v>
      </c>
    </row>
    <row r="402" spans="1:12" x14ac:dyDescent="0.25">
      <c r="A402" t="s">
        <v>21</v>
      </c>
      <c r="B402" t="s">
        <v>22</v>
      </c>
      <c r="C402" t="s">
        <v>23</v>
      </c>
      <c r="D402" t="s">
        <v>24</v>
      </c>
      <c r="E402" t="s">
        <v>16</v>
      </c>
      <c r="F402">
        <v>2</v>
      </c>
      <c r="G402">
        <v>45000</v>
      </c>
      <c r="H402">
        <v>73.8</v>
      </c>
      <c r="I402">
        <v>1700</v>
      </c>
      <c r="J402">
        <v>235</v>
      </c>
      <c r="K402">
        <v>750</v>
      </c>
      <c r="L402">
        <v>1.35</v>
      </c>
    </row>
    <row r="403" spans="1:12" x14ac:dyDescent="0.25">
      <c r="A403" t="s">
        <v>25</v>
      </c>
      <c r="B403" t="s">
        <v>26</v>
      </c>
      <c r="C403" t="s">
        <v>27</v>
      </c>
      <c r="D403" t="s">
        <v>40</v>
      </c>
      <c r="E403" t="s">
        <v>1369</v>
      </c>
      <c r="F403">
        <v>4</v>
      </c>
      <c r="G403">
        <v>29000</v>
      </c>
      <c r="H403">
        <v>72.400000000000006</v>
      </c>
      <c r="I403">
        <v>1500</v>
      </c>
      <c r="J403">
        <v>450</v>
      </c>
      <c r="K403">
        <v>650</v>
      </c>
      <c r="L403">
        <v>1.52</v>
      </c>
    </row>
    <row r="404" spans="1:12" x14ac:dyDescent="0.25">
      <c r="A404" t="s">
        <v>12</v>
      </c>
      <c r="B404" t="s">
        <v>120</v>
      </c>
      <c r="C404" t="s">
        <v>121</v>
      </c>
      <c r="D404" t="s">
        <v>51</v>
      </c>
      <c r="E404" t="s">
        <v>1369</v>
      </c>
      <c r="F404">
        <v>5</v>
      </c>
      <c r="G404">
        <v>52000</v>
      </c>
      <c r="H404">
        <v>84.3</v>
      </c>
      <c r="I404">
        <v>2300</v>
      </c>
      <c r="J404">
        <v>160</v>
      </c>
      <c r="K404">
        <v>1500</v>
      </c>
      <c r="L404">
        <v>1</v>
      </c>
    </row>
    <row r="405" spans="1:12" x14ac:dyDescent="0.25">
      <c r="A405" t="s">
        <v>17</v>
      </c>
      <c r="B405" t="s">
        <v>529</v>
      </c>
      <c r="C405" t="s">
        <v>530</v>
      </c>
      <c r="D405" t="s">
        <v>628</v>
      </c>
      <c r="E405" t="s">
        <v>16</v>
      </c>
      <c r="F405">
        <v>2</v>
      </c>
      <c r="G405">
        <v>38000</v>
      </c>
      <c r="H405">
        <v>67.8</v>
      </c>
      <c r="I405">
        <v>1100</v>
      </c>
      <c r="J405">
        <v>485</v>
      </c>
      <c r="K405">
        <v>800</v>
      </c>
      <c r="L405">
        <v>0.79</v>
      </c>
    </row>
    <row r="406" spans="1:12" x14ac:dyDescent="0.25">
      <c r="A406" t="s">
        <v>29</v>
      </c>
      <c r="B406" t="s">
        <v>180</v>
      </c>
      <c r="C406" t="s">
        <v>629</v>
      </c>
      <c r="D406" t="s">
        <v>15</v>
      </c>
      <c r="E406" t="s">
        <v>75</v>
      </c>
      <c r="F406">
        <v>3</v>
      </c>
      <c r="G406">
        <v>0</v>
      </c>
      <c r="H406">
        <v>68.900000000000006</v>
      </c>
      <c r="I406">
        <v>950</v>
      </c>
      <c r="J406">
        <v>110</v>
      </c>
      <c r="K406">
        <v>900</v>
      </c>
      <c r="L406">
        <v>0.92</v>
      </c>
    </row>
    <row r="407" spans="1:12" x14ac:dyDescent="0.25">
      <c r="A407" t="s">
        <v>21</v>
      </c>
      <c r="B407" t="s">
        <v>175</v>
      </c>
      <c r="C407" t="s">
        <v>176</v>
      </c>
      <c r="D407" t="s">
        <v>198</v>
      </c>
      <c r="E407" t="s">
        <v>16</v>
      </c>
      <c r="F407">
        <v>2</v>
      </c>
      <c r="G407">
        <v>42000</v>
      </c>
      <c r="H407">
        <v>71.2</v>
      </c>
      <c r="I407">
        <v>1600</v>
      </c>
      <c r="J407">
        <v>235</v>
      </c>
      <c r="K407">
        <v>750</v>
      </c>
      <c r="L407">
        <v>1.35</v>
      </c>
    </row>
    <row r="408" spans="1:12" x14ac:dyDescent="0.25">
      <c r="A408" t="s">
        <v>25</v>
      </c>
      <c r="B408" t="s">
        <v>178</v>
      </c>
      <c r="C408" t="s">
        <v>179</v>
      </c>
      <c r="D408" t="s">
        <v>630</v>
      </c>
      <c r="E408" t="s">
        <v>1369</v>
      </c>
      <c r="F408">
        <v>4</v>
      </c>
      <c r="G408">
        <v>31000</v>
      </c>
      <c r="H408">
        <v>75.599999999999994</v>
      </c>
      <c r="I408">
        <v>1700</v>
      </c>
      <c r="J408">
        <v>450</v>
      </c>
      <c r="K408">
        <v>650</v>
      </c>
      <c r="L408">
        <v>1.52</v>
      </c>
    </row>
    <row r="409" spans="1:12" x14ac:dyDescent="0.25">
      <c r="A409" t="s">
        <v>12</v>
      </c>
      <c r="B409" t="s">
        <v>170</v>
      </c>
      <c r="C409" t="s">
        <v>171</v>
      </c>
      <c r="D409" t="s">
        <v>99</v>
      </c>
      <c r="E409" t="s">
        <v>16</v>
      </c>
      <c r="F409">
        <v>2</v>
      </c>
      <c r="G409">
        <v>54000</v>
      </c>
      <c r="H409">
        <v>83.2</v>
      </c>
      <c r="I409">
        <v>2000</v>
      </c>
      <c r="J409">
        <v>160</v>
      </c>
      <c r="K409">
        <v>1500</v>
      </c>
      <c r="L409">
        <v>1</v>
      </c>
    </row>
    <row r="410" spans="1:12" x14ac:dyDescent="0.25">
      <c r="A410" t="s">
        <v>17</v>
      </c>
      <c r="B410" t="s">
        <v>172</v>
      </c>
      <c r="C410" t="s">
        <v>173</v>
      </c>
      <c r="D410" t="s">
        <v>28</v>
      </c>
      <c r="E410" t="s">
        <v>75</v>
      </c>
      <c r="F410">
        <v>3</v>
      </c>
      <c r="G410">
        <v>35000</v>
      </c>
      <c r="H410">
        <v>65.400000000000006</v>
      </c>
      <c r="I410">
        <v>900</v>
      </c>
      <c r="J410">
        <v>485</v>
      </c>
      <c r="K410">
        <v>800</v>
      </c>
      <c r="L410">
        <v>0.79</v>
      </c>
    </row>
    <row r="411" spans="1:12" x14ac:dyDescent="0.25">
      <c r="A411" t="s">
        <v>29</v>
      </c>
      <c r="B411" t="s">
        <v>249</v>
      </c>
      <c r="C411" t="s">
        <v>631</v>
      </c>
      <c r="D411" t="s">
        <v>51</v>
      </c>
      <c r="E411" t="s">
        <v>16</v>
      </c>
      <c r="F411">
        <v>2</v>
      </c>
      <c r="G411">
        <v>0</v>
      </c>
      <c r="H411">
        <v>69.8</v>
      </c>
      <c r="I411">
        <v>1100</v>
      </c>
      <c r="J411">
        <v>110</v>
      </c>
      <c r="K411">
        <v>900</v>
      </c>
      <c r="L411">
        <v>0.92</v>
      </c>
    </row>
    <row r="412" spans="1:12" x14ac:dyDescent="0.25">
      <c r="A412" t="s">
        <v>21</v>
      </c>
      <c r="B412" t="s">
        <v>596</v>
      </c>
      <c r="C412" t="s">
        <v>597</v>
      </c>
      <c r="D412" t="s">
        <v>15</v>
      </c>
      <c r="E412" t="s">
        <v>1369</v>
      </c>
      <c r="F412">
        <v>4</v>
      </c>
      <c r="G412">
        <v>38000</v>
      </c>
      <c r="H412">
        <v>68.900000000000006</v>
      </c>
      <c r="I412">
        <v>1400</v>
      </c>
      <c r="J412">
        <v>235</v>
      </c>
      <c r="K412">
        <v>750</v>
      </c>
      <c r="L412">
        <v>1.35</v>
      </c>
    </row>
    <row r="413" spans="1:12" x14ac:dyDescent="0.25">
      <c r="A413" t="s">
        <v>25</v>
      </c>
      <c r="B413" t="s">
        <v>613</v>
      </c>
      <c r="C413" t="s">
        <v>614</v>
      </c>
      <c r="D413" t="s">
        <v>20</v>
      </c>
      <c r="E413" t="s">
        <v>16</v>
      </c>
      <c r="F413">
        <v>2</v>
      </c>
      <c r="G413">
        <v>32000</v>
      </c>
      <c r="H413">
        <v>68.7</v>
      </c>
      <c r="I413">
        <v>1200</v>
      </c>
      <c r="J413">
        <v>450</v>
      </c>
      <c r="K413">
        <v>650</v>
      </c>
      <c r="L413">
        <v>1.52</v>
      </c>
    </row>
    <row r="414" spans="1:12" x14ac:dyDescent="0.25">
      <c r="A414" t="s">
        <v>12</v>
      </c>
      <c r="B414" t="s">
        <v>357</v>
      </c>
      <c r="C414" t="s">
        <v>358</v>
      </c>
      <c r="D414" t="s">
        <v>174</v>
      </c>
      <c r="E414" t="s">
        <v>16</v>
      </c>
      <c r="F414">
        <v>2</v>
      </c>
      <c r="G414">
        <v>62000</v>
      </c>
      <c r="H414">
        <v>100</v>
      </c>
      <c r="I414">
        <v>2500</v>
      </c>
      <c r="J414">
        <v>160</v>
      </c>
      <c r="K414">
        <v>1500</v>
      </c>
      <c r="L414">
        <v>1</v>
      </c>
    </row>
    <row r="415" spans="1:12" x14ac:dyDescent="0.25">
      <c r="A415" t="s">
        <v>17</v>
      </c>
      <c r="B415" t="s">
        <v>125</v>
      </c>
      <c r="C415" t="s">
        <v>126</v>
      </c>
      <c r="D415" t="s">
        <v>15</v>
      </c>
      <c r="E415" t="s">
        <v>1369</v>
      </c>
      <c r="F415">
        <v>4</v>
      </c>
      <c r="G415">
        <v>40000</v>
      </c>
      <c r="H415">
        <v>71.5</v>
      </c>
      <c r="I415">
        <v>1400</v>
      </c>
      <c r="J415">
        <v>485</v>
      </c>
      <c r="K415">
        <v>800</v>
      </c>
      <c r="L415">
        <v>0.79</v>
      </c>
    </row>
    <row r="416" spans="1:12" x14ac:dyDescent="0.25">
      <c r="A416" t="s">
        <v>29</v>
      </c>
      <c r="B416" t="s">
        <v>245</v>
      </c>
      <c r="C416" t="s">
        <v>246</v>
      </c>
      <c r="D416" t="s">
        <v>32</v>
      </c>
      <c r="E416" t="s">
        <v>75</v>
      </c>
      <c r="F416">
        <v>3</v>
      </c>
      <c r="G416">
        <v>0</v>
      </c>
      <c r="H416">
        <v>65.400000000000006</v>
      </c>
      <c r="I416">
        <v>800</v>
      </c>
      <c r="J416">
        <v>110</v>
      </c>
      <c r="K416">
        <v>900</v>
      </c>
      <c r="L416">
        <v>0.92</v>
      </c>
    </row>
    <row r="417" spans="1:12" x14ac:dyDescent="0.25">
      <c r="A417" t="s">
        <v>21</v>
      </c>
      <c r="B417" t="s">
        <v>100</v>
      </c>
      <c r="C417" t="s">
        <v>101</v>
      </c>
      <c r="D417" t="s">
        <v>40</v>
      </c>
      <c r="E417" t="s">
        <v>16</v>
      </c>
      <c r="F417">
        <v>2</v>
      </c>
      <c r="G417">
        <v>40000</v>
      </c>
      <c r="H417">
        <v>67.8</v>
      </c>
      <c r="I417">
        <v>1300</v>
      </c>
      <c r="J417">
        <v>235</v>
      </c>
      <c r="K417">
        <v>750</v>
      </c>
      <c r="L417">
        <v>1.35</v>
      </c>
    </row>
    <row r="418" spans="1:12" x14ac:dyDescent="0.25">
      <c r="A418" t="s">
        <v>25</v>
      </c>
      <c r="B418" t="s">
        <v>225</v>
      </c>
      <c r="C418" t="s">
        <v>226</v>
      </c>
      <c r="D418" t="s">
        <v>51</v>
      </c>
      <c r="E418" t="s">
        <v>16</v>
      </c>
      <c r="F418">
        <v>2</v>
      </c>
      <c r="G418">
        <v>30000</v>
      </c>
      <c r="H418">
        <v>67.2</v>
      </c>
      <c r="I418">
        <v>1100</v>
      </c>
      <c r="J418">
        <v>450</v>
      </c>
      <c r="K418">
        <v>650</v>
      </c>
      <c r="L418">
        <v>1.52</v>
      </c>
    </row>
    <row r="419" spans="1:12" x14ac:dyDescent="0.25">
      <c r="A419" t="s">
        <v>12</v>
      </c>
      <c r="B419" t="s">
        <v>91</v>
      </c>
      <c r="C419" t="s">
        <v>92</v>
      </c>
      <c r="D419" t="s">
        <v>28</v>
      </c>
      <c r="E419" t="s">
        <v>1369</v>
      </c>
      <c r="F419">
        <v>5</v>
      </c>
      <c r="G419">
        <v>48000</v>
      </c>
      <c r="H419">
        <v>71.2</v>
      </c>
      <c r="I419">
        <v>1700</v>
      </c>
      <c r="J419">
        <v>160</v>
      </c>
      <c r="K419">
        <v>1500</v>
      </c>
      <c r="L419">
        <v>1</v>
      </c>
    </row>
    <row r="420" spans="1:12" x14ac:dyDescent="0.25">
      <c r="A420" t="s">
        <v>17</v>
      </c>
      <c r="B420" t="s">
        <v>97</v>
      </c>
      <c r="C420" t="s">
        <v>98</v>
      </c>
      <c r="D420" t="s">
        <v>20</v>
      </c>
      <c r="E420" t="s">
        <v>16</v>
      </c>
      <c r="F420">
        <v>2</v>
      </c>
      <c r="G420">
        <v>36000</v>
      </c>
      <c r="H420">
        <v>68.900000000000006</v>
      </c>
      <c r="I420">
        <v>1200</v>
      </c>
      <c r="J420">
        <v>485</v>
      </c>
      <c r="K420">
        <v>800</v>
      </c>
      <c r="L420">
        <v>0.79</v>
      </c>
    </row>
    <row r="421" spans="1:12" x14ac:dyDescent="0.25">
      <c r="A421" t="s">
        <v>29</v>
      </c>
      <c r="B421" t="s">
        <v>632</v>
      </c>
      <c r="C421" t="s">
        <v>633</v>
      </c>
      <c r="D421" t="s">
        <v>15</v>
      </c>
      <c r="E421" t="s">
        <v>16</v>
      </c>
      <c r="F421">
        <v>2</v>
      </c>
      <c r="G421">
        <v>0</v>
      </c>
      <c r="H421">
        <v>72.3</v>
      </c>
      <c r="I421">
        <v>1300</v>
      </c>
      <c r="J421">
        <v>110</v>
      </c>
      <c r="K421">
        <v>900</v>
      </c>
      <c r="L421">
        <v>0.92</v>
      </c>
    </row>
    <row r="422" spans="1:12" x14ac:dyDescent="0.25">
      <c r="A422" t="s">
        <v>21</v>
      </c>
      <c r="B422" t="s">
        <v>333</v>
      </c>
      <c r="C422" t="s">
        <v>334</v>
      </c>
      <c r="D422" t="s">
        <v>99</v>
      </c>
      <c r="E422" t="s">
        <v>75</v>
      </c>
      <c r="F422">
        <v>4</v>
      </c>
      <c r="G422">
        <v>35000</v>
      </c>
      <c r="H422">
        <v>65.400000000000006</v>
      </c>
      <c r="I422">
        <v>1200</v>
      </c>
      <c r="J422">
        <v>235</v>
      </c>
      <c r="K422">
        <v>750</v>
      </c>
      <c r="L422">
        <v>1.35</v>
      </c>
    </row>
    <row r="423" spans="1:12" x14ac:dyDescent="0.25">
      <c r="A423" t="s">
        <v>25</v>
      </c>
      <c r="B423" t="s">
        <v>223</v>
      </c>
      <c r="C423" t="s">
        <v>224</v>
      </c>
      <c r="D423" t="s">
        <v>628</v>
      </c>
      <c r="E423" t="s">
        <v>1369</v>
      </c>
      <c r="F423">
        <v>4</v>
      </c>
      <c r="G423">
        <v>28000</v>
      </c>
      <c r="H423">
        <v>64.5</v>
      </c>
      <c r="I423">
        <v>1000</v>
      </c>
      <c r="J423">
        <v>450</v>
      </c>
      <c r="K423">
        <v>650</v>
      </c>
      <c r="L423">
        <v>1.52</v>
      </c>
    </row>
    <row r="424" spans="1:12" x14ac:dyDescent="0.25">
      <c r="A424" t="s">
        <v>12</v>
      </c>
      <c r="B424" t="s">
        <v>510</v>
      </c>
      <c r="C424" t="s">
        <v>511</v>
      </c>
      <c r="D424" t="s">
        <v>15</v>
      </c>
      <c r="E424" t="s">
        <v>16</v>
      </c>
      <c r="F424">
        <v>2</v>
      </c>
      <c r="G424">
        <v>52000</v>
      </c>
      <c r="H424">
        <v>79.8</v>
      </c>
      <c r="I424">
        <v>2200</v>
      </c>
      <c r="J424">
        <v>160</v>
      </c>
      <c r="K424">
        <v>1500</v>
      </c>
      <c r="L424">
        <v>1</v>
      </c>
    </row>
    <row r="425" spans="1:12" x14ac:dyDescent="0.25">
      <c r="A425" t="s">
        <v>17</v>
      </c>
      <c r="B425" t="s">
        <v>153</v>
      </c>
      <c r="C425" t="s">
        <v>154</v>
      </c>
      <c r="D425" t="s">
        <v>51</v>
      </c>
      <c r="E425" t="s">
        <v>75</v>
      </c>
      <c r="F425">
        <v>3</v>
      </c>
      <c r="G425">
        <v>34000</v>
      </c>
      <c r="H425">
        <v>64.5</v>
      </c>
      <c r="I425">
        <v>950</v>
      </c>
      <c r="J425">
        <v>485</v>
      </c>
      <c r="K425">
        <v>800</v>
      </c>
      <c r="L425">
        <v>0.79</v>
      </c>
    </row>
    <row r="426" spans="1:12" x14ac:dyDescent="0.25">
      <c r="A426" t="s">
        <v>29</v>
      </c>
      <c r="B426" t="s">
        <v>247</v>
      </c>
      <c r="C426" t="s">
        <v>248</v>
      </c>
      <c r="D426" t="s">
        <v>28</v>
      </c>
      <c r="E426" t="s">
        <v>16</v>
      </c>
      <c r="F426">
        <v>2</v>
      </c>
      <c r="G426">
        <v>0</v>
      </c>
      <c r="H426">
        <v>68.7</v>
      </c>
      <c r="I426">
        <v>1100</v>
      </c>
      <c r="J426">
        <v>110</v>
      </c>
      <c r="K426">
        <v>900</v>
      </c>
      <c r="L426">
        <v>0.92</v>
      </c>
    </row>
    <row r="427" spans="1:12" x14ac:dyDescent="0.25">
      <c r="A427" t="s">
        <v>21</v>
      </c>
      <c r="B427" t="s">
        <v>151</v>
      </c>
      <c r="C427" t="s">
        <v>152</v>
      </c>
      <c r="D427" t="s">
        <v>20</v>
      </c>
      <c r="E427" t="s">
        <v>16</v>
      </c>
      <c r="F427">
        <v>2</v>
      </c>
      <c r="G427">
        <v>37000</v>
      </c>
      <c r="H427">
        <v>64.3</v>
      </c>
      <c r="I427">
        <v>1100</v>
      </c>
      <c r="J427">
        <v>235</v>
      </c>
      <c r="K427">
        <v>750</v>
      </c>
      <c r="L427">
        <v>1.35</v>
      </c>
    </row>
    <row r="428" spans="1:12" x14ac:dyDescent="0.25">
      <c r="A428" t="s">
        <v>25</v>
      </c>
      <c r="B428" t="s">
        <v>141</v>
      </c>
      <c r="C428" t="s">
        <v>142</v>
      </c>
      <c r="D428" t="s">
        <v>15</v>
      </c>
      <c r="E428" t="s">
        <v>1369</v>
      </c>
      <c r="F428">
        <v>4</v>
      </c>
      <c r="G428">
        <v>33000</v>
      </c>
      <c r="H428">
        <v>69.8</v>
      </c>
      <c r="I428">
        <v>1300</v>
      </c>
      <c r="J428">
        <v>450</v>
      </c>
      <c r="K428">
        <v>650</v>
      </c>
      <c r="L428">
        <v>1.52</v>
      </c>
    </row>
    <row r="429" spans="1:12" x14ac:dyDescent="0.25">
      <c r="A429" t="s">
        <v>12</v>
      </c>
      <c r="B429" t="s">
        <v>94</v>
      </c>
      <c r="C429" t="s">
        <v>95</v>
      </c>
      <c r="D429" t="s">
        <v>99</v>
      </c>
      <c r="E429" t="s">
        <v>16</v>
      </c>
      <c r="F429">
        <v>2</v>
      </c>
      <c r="G429">
        <v>45000</v>
      </c>
      <c r="H429">
        <v>68.900000000000006</v>
      </c>
      <c r="I429">
        <v>1600</v>
      </c>
      <c r="J429">
        <v>160</v>
      </c>
      <c r="K429">
        <v>1500</v>
      </c>
      <c r="L429">
        <v>1</v>
      </c>
    </row>
    <row r="430" spans="1:12" x14ac:dyDescent="0.25">
      <c r="A430" t="s">
        <v>17</v>
      </c>
      <c r="B430" t="s">
        <v>290</v>
      </c>
      <c r="C430" t="s">
        <v>291</v>
      </c>
      <c r="D430" t="s">
        <v>628</v>
      </c>
      <c r="E430" t="s">
        <v>1369</v>
      </c>
      <c r="F430">
        <v>4</v>
      </c>
      <c r="G430">
        <v>35000</v>
      </c>
      <c r="H430">
        <v>63.2</v>
      </c>
      <c r="I430">
        <v>900</v>
      </c>
      <c r="J430">
        <v>485</v>
      </c>
      <c r="K430">
        <v>800</v>
      </c>
      <c r="L430">
        <v>0.79</v>
      </c>
    </row>
    <row r="431" spans="1:12" x14ac:dyDescent="0.25">
      <c r="A431" t="s">
        <v>29</v>
      </c>
      <c r="B431" t="s">
        <v>128</v>
      </c>
      <c r="C431" t="s">
        <v>129</v>
      </c>
      <c r="D431" t="s">
        <v>51</v>
      </c>
      <c r="E431" t="s">
        <v>75</v>
      </c>
      <c r="F431">
        <v>3</v>
      </c>
      <c r="G431">
        <v>0</v>
      </c>
      <c r="H431">
        <v>67.8</v>
      </c>
      <c r="I431">
        <v>1000</v>
      </c>
      <c r="J431">
        <v>110</v>
      </c>
      <c r="K431">
        <v>900</v>
      </c>
      <c r="L431">
        <v>0.92</v>
      </c>
    </row>
    <row r="432" spans="1:12" x14ac:dyDescent="0.25">
      <c r="A432" t="s">
        <v>21</v>
      </c>
      <c r="B432" t="s">
        <v>313</v>
      </c>
      <c r="C432" t="s">
        <v>314</v>
      </c>
      <c r="D432" t="s">
        <v>28</v>
      </c>
      <c r="E432" t="s">
        <v>16</v>
      </c>
      <c r="F432">
        <v>2</v>
      </c>
      <c r="G432">
        <v>36000</v>
      </c>
      <c r="H432">
        <v>63.4</v>
      </c>
      <c r="I432">
        <v>1000</v>
      </c>
      <c r="J432">
        <v>235</v>
      </c>
      <c r="K432">
        <v>750</v>
      </c>
      <c r="L432">
        <v>1.35</v>
      </c>
    </row>
    <row r="433" spans="1:12" x14ac:dyDescent="0.25">
      <c r="A433" t="s">
        <v>25</v>
      </c>
      <c r="B433" t="s">
        <v>227</v>
      </c>
      <c r="C433" t="s">
        <v>228</v>
      </c>
      <c r="D433" t="s">
        <v>20</v>
      </c>
      <c r="E433" t="s">
        <v>16</v>
      </c>
      <c r="F433">
        <v>2</v>
      </c>
      <c r="G433">
        <v>29000</v>
      </c>
      <c r="H433">
        <v>65.400000000000006</v>
      </c>
      <c r="I433">
        <v>1100</v>
      </c>
      <c r="J433">
        <v>450</v>
      </c>
      <c r="K433">
        <v>650</v>
      </c>
      <c r="L433">
        <v>1.52</v>
      </c>
    </row>
    <row r="434" spans="1:12" x14ac:dyDescent="0.25">
      <c r="A434" t="s">
        <v>12</v>
      </c>
      <c r="B434" t="s">
        <v>149</v>
      </c>
      <c r="C434" t="s">
        <v>150</v>
      </c>
      <c r="D434" t="s">
        <v>15</v>
      </c>
      <c r="E434" t="s">
        <v>1369</v>
      </c>
      <c r="F434">
        <v>5</v>
      </c>
      <c r="G434">
        <v>50000</v>
      </c>
      <c r="H434">
        <v>77.8</v>
      </c>
      <c r="I434">
        <v>2000</v>
      </c>
      <c r="J434">
        <v>160</v>
      </c>
      <c r="K434">
        <v>1500</v>
      </c>
      <c r="L434">
        <v>1</v>
      </c>
    </row>
    <row r="435" spans="1:12" x14ac:dyDescent="0.25">
      <c r="A435" t="s">
        <v>17</v>
      </c>
      <c r="B435" t="s">
        <v>294</v>
      </c>
      <c r="C435" t="s">
        <v>295</v>
      </c>
      <c r="D435" t="s">
        <v>28</v>
      </c>
      <c r="E435" t="s">
        <v>16</v>
      </c>
      <c r="F435">
        <v>2</v>
      </c>
      <c r="G435">
        <v>33000</v>
      </c>
      <c r="H435">
        <v>62.3</v>
      </c>
      <c r="I435">
        <v>850</v>
      </c>
      <c r="J435">
        <v>485</v>
      </c>
      <c r="K435">
        <v>800</v>
      </c>
      <c r="L435">
        <v>0.79</v>
      </c>
    </row>
    <row r="436" spans="1:12" x14ac:dyDescent="0.25">
      <c r="A436" t="s">
        <v>29</v>
      </c>
      <c r="B436" t="s">
        <v>634</v>
      </c>
      <c r="C436" t="s">
        <v>635</v>
      </c>
      <c r="D436" t="s">
        <v>99</v>
      </c>
      <c r="E436" t="s">
        <v>16</v>
      </c>
      <c r="F436">
        <v>2</v>
      </c>
      <c r="G436">
        <v>0</v>
      </c>
      <c r="H436">
        <v>69.8</v>
      </c>
      <c r="I436">
        <v>1200</v>
      </c>
      <c r="J436">
        <v>110</v>
      </c>
      <c r="K436">
        <v>900</v>
      </c>
      <c r="L436">
        <v>0.92</v>
      </c>
    </row>
    <row r="437" spans="1:12" x14ac:dyDescent="0.25">
      <c r="A437" t="s">
        <v>21</v>
      </c>
      <c r="B437" t="s">
        <v>317</v>
      </c>
      <c r="C437" t="s">
        <v>318</v>
      </c>
      <c r="D437" t="s">
        <v>51</v>
      </c>
      <c r="E437" t="s">
        <v>75</v>
      </c>
      <c r="F437">
        <v>3</v>
      </c>
      <c r="G437">
        <v>34000</v>
      </c>
      <c r="H437">
        <v>62.1</v>
      </c>
      <c r="I437">
        <v>900</v>
      </c>
      <c r="J437">
        <v>235</v>
      </c>
      <c r="K437">
        <v>750</v>
      </c>
      <c r="L437">
        <v>1.35</v>
      </c>
    </row>
    <row r="438" spans="1:12" x14ac:dyDescent="0.25">
      <c r="A438" t="s">
        <v>25</v>
      </c>
      <c r="B438" t="s">
        <v>231</v>
      </c>
      <c r="C438" t="s">
        <v>232</v>
      </c>
      <c r="D438" t="s">
        <v>628</v>
      </c>
      <c r="E438" t="s">
        <v>16</v>
      </c>
      <c r="F438">
        <v>2</v>
      </c>
      <c r="G438">
        <v>27000</v>
      </c>
      <c r="H438">
        <v>63.2</v>
      </c>
      <c r="I438">
        <v>950</v>
      </c>
      <c r="J438">
        <v>450</v>
      </c>
      <c r="K438">
        <v>650</v>
      </c>
      <c r="L438">
        <v>1.52</v>
      </c>
    </row>
    <row r="439" spans="1:12" x14ac:dyDescent="0.25">
      <c r="A439" t="s">
        <v>12</v>
      </c>
      <c r="B439" t="s">
        <v>329</v>
      </c>
      <c r="C439" t="s">
        <v>330</v>
      </c>
      <c r="D439" t="s">
        <v>20</v>
      </c>
      <c r="E439" t="s">
        <v>16</v>
      </c>
      <c r="F439">
        <v>2</v>
      </c>
      <c r="G439">
        <v>56000</v>
      </c>
      <c r="H439">
        <v>65.400000000000006</v>
      </c>
      <c r="I439">
        <v>1500</v>
      </c>
      <c r="J439">
        <v>160</v>
      </c>
      <c r="K439">
        <v>1500</v>
      </c>
      <c r="L439">
        <v>1</v>
      </c>
    </row>
    <row r="440" spans="1:12" x14ac:dyDescent="0.25">
      <c r="A440" t="s">
        <v>17</v>
      </c>
      <c r="B440" t="s">
        <v>301</v>
      </c>
      <c r="C440" t="s">
        <v>302</v>
      </c>
      <c r="D440" t="s">
        <v>15</v>
      </c>
      <c r="E440" t="s">
        <v>1369</v>
      </c>
      <c r="F440">
        <v>4</v>
      </c>
      <c r="G440">
        <v>34000</v>
      </c>
      <c r="H440">
        <v>61.2</v>
      </c>
      <c r="I440">
        <v>800</v>
      </c>
      <c r="J440">
        <v>485</v>
      </c>
      <c r="K440">
        <v>800</v>
      </c>
      <c r="L440">
        <v>0.79</v>
      </c>
    </row>
    <row r="441" spans="1:12" x14ac:dyDescent="0.25">
      <c r="A441" t="s">
        <v>29</v>
      </c>
      <c r="B441" t="s">
        <v>636</v>
      </c>
      <c r="C441" t="s">
        <v>637</v>
      </c>
      <c r="D441" t="s">
        <v>28</v>
      </c>
      <c r="E441" t="s">
        <v>16</v>
      </c>
      <c r="F441">
        <v>2</v>
      </c>
      <c r="G441">
        <v>0</v>
      </c>
      <c r="H441">
        <v>67.8</v>
      </c>
      <c r="I441">
        <v>1100</v>
      </c>
      <c r="J441">
        <v>110</v>
      </c>
      <c r="K441">
        <v>900</v>
      </c>
      <c r="L441">
        <v>0.92</v>
      </c>
    </row>
    <row r="442" spans="1:12" x14ac:dyDescent="0.25">
      <c r="A442" t="s">
        <v>21</v>
      </c>
      <c r="B442" t="s">
        <v>315</v>
      </c>
      <c r="C442" t="s">
        <v>316</v>
      </c>
      <c r="D442" t="s">
        <v>99</v>
      </c>
      <c r="E442" t="s">
        <v>16</v>
      </c>
      <c r="F442">
        <v>2</v>
      </c>
      <c r="G442">
        <v>35000</v>
      </c>
      <c r="H442">
        <v>64.5</v>
      </c>
      <c r="I442">
        <v>1100</v>
      </c>
      <c r="J442">
        <v>235</v>
      </c>
      <c r="K442">
        <v>750</v>
      </c>
      <c r="L442">
        <v>1.35</v>
      </c>
    </row>
    <row r="443" spans="1:12" x14ac:dyDescent="0.25">
      <c r="A443" t="s">
        <v>25</v>
      </c>
      <c r="B443" t="s">
        <v>229</v>
      </c>
      <c r="C443" t="s">
        <v>230</v>
      </c>
      <c r="D443" t="s">
        <v>51</v>
      </c>
      <c r="E443" t="s">
        <v>75</v>
      </c>
      <c r="F443">
        <v>3</v>
      </c>
      <c r="G443">
        <v>26000</v>
      </c>
      <c r="H443">
        <v>62.1</v>
      </c>
      <c r="I443">
        <v>900</v>
      </c>
      <c r="J443">
        <v>450</v>
      </c>
      <c r="K443">
        <v>650</v>
      </c>
      <c r="L443">
        <v>1.52</v>
      </c>
    </row>
    <row r="444" spans="1:12" x14ac:dyDescent="0.25">
      <c r="A444" t="s">
        <v>12</v>
      </c>
      <c r="B444" t="s">
        <v>147</v>
      </c>
      <c r="C444" t="s">
        <v>148</v>
      </c>
      <c r="D444" t="s">
        <v>628</v>
      </c>
      <c r="E444" t="s">
        <v>1369</v>
      </c>
      <c r="F444">
        <v>5</v>
      </c>
      <c r="G444">
        <v>49000</v>
      </c>
      <c r="H444">
        <v>75.599999999999994</v>
      </c>
      <c r="I444">
        <v>1900</v>
      </c>
      <c r="J444">
        <v>160</v>
      </c>
      <c r="K444">
        <v>1500</v>
      </c>
      <c r="L444">
        <v>1</v>
      </c>
    </row>
    <row r="445" spans="1:12" x14ac:dyDescent="0.25">
      <c r="A445" t="s">
        <v>17</v>
      </c>
      <c r="B445" t="s">
        <v>277</v>
      </c>
      <c r="C445" t="s">
        <v>531</v>
      </c>
      <c r="D445" t="s">
        <v>28</v>
      </c>
      <c r="E445" t="s">
        <v>16</v>
      </c>
      <c r="F445">
        <v>2</v>
      </c>
      <c r="G445">
        <v>35000</v>
      </c>
      <c r="H445">
        <v>63.4</v>
      </c>
      <c r="I445">
        <v>900</v>
      </c>
      <c r="J445">
        <v>485</v>
      </c>
      <c r="K445">
        <v>800</v>
      </c>
      <c r="L445">
        <v>0.79</v>
      </c>
    </row>
    <row r="446" spans="1:12" x14ac:dyDescent="0.25">
      <c r="A446" t="s">
        <v>29</v>
      </c>
      <c r="B446" t="s">
        <v>252</v>
      </c>
      <c r="C446" t="s">
        <v>253</v>
      </c>
      <c r="D446" t="s">
        <v>15</v>
      </c>
      <c r="E446" t="s">
        <v>75</v>
      </c>
      <c r="F446">
        <v>3</v>
      </c>
      <c r="G446">
        <v>0</v>
      </c>
      <c r="H446">
        <v>68.900000000000006</v>
      </c>
      <c r="I446">
        <v>1000</v>
      </c>
      <c r="J446">
        <v>110</v>
      </c>
      <c r="K446">
        <v>900</v>
      </c>
      <c r="L446">
        <v>0.92</v>
      </c>
    </row>
    <row r="447" spans="1:12" x14ac:dyDescent="0.25">
      <c r="A447" t="s">
        <v>21</v>
      </c>
      <c r="B447" t="s">
        <v>319</v>
      </c>
      <c r="C447" t="s">
        <v>320</v>
      </c>
      <c r="D447" t="s">
        <v>20</v>
      </c>
      <c r="E447" t="s">
        <v>16</v>
      </c>
      <c r="F447">
        <v>2</v>
      </c>
      <c r="G447">
        <v>33000</v>
      </c>
      <c r="H447">
        <v>61.2</v>
      </c>
      <c r="I447">
        <v>900</v>
      </c>
      <c r="J447">
        <v>235</v>
      </c>
      <c r="K447">
        <v>750</v>
      </c>
      <c r="L447">
        <v>1.35</v>
      </c>
    </row>
    <row r="448" spans="1:12" x14ac:dyDescent="0.25">
      <c r="A448" t="s">
        <v>25</v>
      </c>
      <c r="B448" t="s">
        <v>233</v>
      </c>
      <c r="C448" t="s">
        <v>234</v>
      </c>
      <c r="D448" t="s">
        <v>99</v>
      </c>
      <c r="E448" t="s">
        <v>1369</v>
      </c>
      <c r="F448">
        <v>4</v>
      </c>
      <c r="G448">
        <v>28000</v>
      </c>
      <c r="H448">
        <v>63.4</v>
      </c>
      <c r="I448">
        <v>950</v>
      </c>
      <c r="J448">
        <v>450</v>
      </c>
      <c r="K448">
        <v>650</v>
      </c>
      <c r="L448">
        <v>1.52</v>
      </c>
    </row>
    <row r="449" spans="1:12" x14ac:dyDescent="0.25">
      <c r="A449" t="s">
        <v>12</v>
      </c>
      <c r="B449" t="s">
        <v>638</v>
      </c>
      <c r="C449" t="s">
        <v>639</v>
      </c>
      <c r="D449" t="s">
        <v>20</v>
      </c>
      <c r="E449" t="s">
        <v>16</v>
      </c>
      <c r="F449">
        <v>2</v>
      </c>
      <c r="G449">
        <v>52000</v>
      </c>
      <c r="H449">
        <v>95.2</v>
      </c>
      <c r="I449">
        <v>2400</v>
      </c>
      <c r="J449">
        <v>160</v>
      </c>
      <c r="K449">
        <v>1500</v>
      </c>
      <c r="L449">
        <v>1</v>
      </c>
    </row>
    <row r="450" spans="1:12" x14ac:dyDescent="0.25">
      <c r="A450" t="s">
        <v>17</v>
      </c>
      <c r="B450" t="s">
        <v>18</v>
      </c>
      <c r="C450" t="s">
        <v>528</v>
      </c>
      <c r="D450" t="s">
        <v>15</v>
      </c>
      <c r="E450" t="s">
        <v>16</v>
      </c>
      <c r="F450">
        <v>1</v>
      </c>
      <c r="G450">
        <v>39000</v>
      </c>
      <c r="H450">
        <v>75.3</v>
      </c>
      <c r="I450">
        <v>1900</v>
      </c>
      <c r="J450">
        <v>485</v>
      </c>
      <c r="K450">
        <v>800</v>
      </c>
      <c r="L450">
        <v>0.79</v>
      </c>
    </row>
    <row r="451" spans="1:12" x14ac:dyDescent="0.25">
      <c r="A451" t="s">
        <v>48</v>
      </c>
      <c r="B451" t="s">
        <v>49</v>
      </c>
      <c r="C451" t="s">
        <v>50</v>
      </c>
      <c r="D451" t="s">
        <v>15</v>
      </c>
      <c r="E451" t="s">
        <v>16</v>
      </c>
      <c r="F451">
        <v>2</v>
      </c>
      <c r="G451">
        <v>1500</v>
      </c>
      <c r="H451">
        <v>122.4</v>
      </c>
      <c r="I451">
        <v>2000</v>
      </c>
      <c r="J451">
        <v>140</v>
      </c>
      <c r="K451">
        <v>1200</v>
      </c>
      <c r="L451">
        <v>0.89</v>
      </c>
    </row>
    <row r="452" spans="1:12" x14ac:dyDescent="0.25">
      <c r="A452" t="s">
        <v>44</v>
      </c>
      <c r="B452" t="s">
        <v>45</v>
      </c>
      <c r="C452" t="s">
        <v>46</v>
      </c>
      <c r="D452" t="s">
        <v>71</v>
      </c>
      <c r="E452" t="s">
        <v>16</v>
      </c>
      <c r="F452">
        <v>2</v>
      </c>
      <c r="G452">
        <v>4500</v>
      </c>
      <c r="H452">
        <v>84.3</v>
      </c>
      <c r="I452">
        <v>1800</v>
      </c>
      <c r="J452">
        <v>99</v>
      </c>
      <c r="K452">
        <v>850</v>
      </c>
      <c r="L452">
        <v>0.92</v>
      </c>
    </row>
    <row r="453" spans="1:12" x14ac:dyDescent="0.25">
      <c r="A453" t="s">
        <v>68</v>
      </c>
      <c r="B453" t="s">
        <v>69</v>
      </c>
      <c r="C453" t="s">
        <v>70</v>
      </c>
      <c r="D453" t="s">
        <v>15</v>
      </c>
      <c r="E453" t="s">
        <v>1369</v>
      </c>
      <c r="F453">
        <v>4</v>
      </c>
      <c r="G453">
        <v>18900</v>
      </c>
      <c r="H453">
        <v>83.6</v>
      </c>
      <c r="I453">
        <v>1700</v>
      </c>
      <c r="J453">
        <v>150</v>
      </c>
      <c r="K453">
        <v>750</v>
      </c>
      <c r="L453">
        <v>0.92</v>
      </c>
    </row>
    <row r="454" spans="1:12" x14ac:dyDescent="0.25">
      <c r="A454" t="s">
        <v>12</v>
      </c>
      <c r="B454" t="s">
        <v>271</v>
      </c>
      <c r="C454" t="s">
        <v>272</v>
      </c>
      <c r="D454" t="s">
        <v>20</v>
      </c>
      <c r="E454" t="s">
        <v>16</v>
      </c>
      <c r="F454">
        <v>2</v>
      </c>
      <c r="G454">
        <v>58000</v>
      </c>
      <c r="H454">
        <v>84.1</v>
      </c>
      <c r="I454">
        <v>1900</v>
      </c>
      <c r="J454">
        <v>160</v>
      </c>
      <c r="K454">
        <v>1500</v>
      </c>
      <c r="L454">
        <v>1</v>
      </c>
    </row>
    <row r="455" spans="1:12" x14ac:dyDescent="0.25">
      <c r="A455" t="s">
        <v>17</v>
      </c>
      <c r="B455" t="s">
        <v>13</v>
      </c>
      <c r="C455" t="s">
        <v>640</v>
      </c>
      <c r="D455" t="s">
        <v>71</v>
      </c>
      <c r="E455" t="s">
        <v>75</v>
      </c>
      <c r="F455">
        <v>3</v>
      </c>
      <c r="G455">
        <v>35000</v>
      </c>
      <c r="H455">
        <v>71.2</v>
      </c>
      <c r="I455">
        <v>1500</v>
      </c>
      <c r="J455">
        <v>485</v>
      </c>
      <c r="K455">
        <v>800</v>
      </c>
      <c r="L455">
        <v>0.79</v>
      </c>
    </row>
    <row r="456" spans="1:12" x14ac:dyDescent="0.25">
      <c r="A456" t="s">
        <v>48</v>
      </c>
      <c r="B456" t="s">
        <v>437</v>
      </c>
      <c r="C456" t="s">
        <v>438</v>
      </c>
      <c r="D456" t="s">
        <v>15</v>
      </c>
      <c r="E456" t="s">
        <v>1369</v>
      </c>
      <c r="F456">
        <v>4</v>
      </c>
      <c r="G456">
        <v>1500</v>
      </c>
      <c r="H456">
        <v>119.8</v>
      </c>
      <c r="I456">
        <v>1900</v>
      </c>
      <c r="J456">
        <v>140</v>
      </c>
      <c r="K456">
        <v>1200</v>
      </c>
      <c r="L456">
        <v>0.89</v>
      </c>
    </row>
    <row r="457" spans="1:12" x14ac:dyDescent="0.25">
      <c r="A457" t="s">
        <v>44</v>
      </c>
      <c r="B457" t="s">
        <v>420</v>
      </c>
      <c r="C457" t="s">
        <v>641</v>
      </c>
      <c r="D457" t="s">
        <v>20</v>
      </c>
      <c r="E457" t="s">
        <v>16</v>
      </c>
      <c r="F457">
        <v>2</v>
      </c>
      <c r="G457">
        <v>4200</v>
      </c>
      <c r="H457">
        <v>75.599999999999994</v>
      </c>
      <c r="I457">
        <v>1200</v>
      </c>
      <c r="J457">
        <v>99</v>
      </c>
      <c r="K457">
        <v>850</v>
      </c>
      <c r="L457">
        <v>0.92</v>
      </c>
    </row>
    <row r="458" spans="1:12" x14ac:dyDescent="0.25">
      <c r="A458" t="s">
        <v>68</v>
      </c>
      <c r="B458" t="s">
        <v>642</v>
      </c>
      <c r="C458" t="s">
        <v>643</v>
      </c>
      <c r="D458" t="s">
        <v>15</v>
      </c>
      <c r="E458" t="s">
        <v>16</v>
      </c>
      <c r="F458">
        <v>2</v>
      </c>
      <c r="G458">
        <v>16800</v>
      </c>
      <c r="H458">
        <v>75.400000000000006</v>
      </c>
      <c r="I458">
        <v>1300</v>
      </c>
      <c r="J458">
        <v>150</v>
      </c>
      <c r="K458">
        <v>750</v>
      </c>
      <c r="L458">
        <v>0.92</v>
      </c>
    </row>
    <row r="459" spans="1:12" x14ac:dyDescent="0.25">
      <c r="A459" t="s">
        <v>12</v>
      </c>
      <c r="B459" t="s">
        <v>122</v>
      </c>
      <c r="C459" t="s">
        <v>644</v>
      </c>
      <c r="D459" t="s">
        <v>71</v>
      </c>
      <c r="E459" t="s">
        <v>16</v>
      </c>
      <c r="F459">
        <v>2</v>
      </c>
      <c r="G459">
        <v>54000</v>
      </c>
      <c r="H459">
        <v>82.1</v>
      </c>
      <c r="I459">
        <v>2200</v>
      </c>
      <c r="J459">
        <v>160</v>
      </c>
      <c r="K459">
        <v>1500</v>
      </c>
      <c r="L459">
        <v>1</v>
      </c>
    </row>
    <row r="460" spans="1:12" x14ac:dyDescent="0.25">
      <c r="A460" t="s">
        <v>17</v>
      </c>
      <c r="B460" t="s">
        <v>529</v>
      </c>
      <c r="C460" t="s">
        <v>557</v>
      </c>
      <c r="D460" t="s">
        <v>15</v>
      </c>
      <c r="E460" t="s">
        <v>16</v>
      </c>
      <c r="F460">
        <v>1</v>
      </c>
      <c r="G460">
        <v>37000</v>
      </c>
      <c r="H460">
        <v>67.8</v>
      </c>
      <c r="I460">
        <v>1200</v>
      </c>
      <c r="J460">
        <v>485</v>
      </c>
      <c r="K460">
        <v>800</v>
      </c>
      <c r="L460">
        <v>0.79</v>
      </c>
    </row>
    <row r="461" spans="1:12" x14ac:dyDescent="0.25">
      <c r="A461" t="s">
        <v>48</v>
      </c>
      <c r="B461" t="s">
        <v>439</v>
      </c>
      <c r="C461" t="s">
        <v>440</v>
      </c>
      <c r="D461" t="s">
        <v>20</v>
      </c>
      <c r="E461" t="s">
        <v>16</v>
      </c>
      <c r="F461">
        <v>2</v>
      </c>
      <c r="G461">
        <v>1500</v>
      </c>
      <c r="H461">
        <v>116.5</v>
      </c>
      <c r="I461">
        <v>1800</v>
      </c>
      <c r="J461">
        <v>140</v>
      </c>
      <c r="K461">
        <v>1200</v>
      </c>
      <c r="L461">
        <v>0.89</v>
      </c>
    </row>
    <row r="462" spans="1:12" x14ac:dyDescent="0.25">
      <c r="A462" t="s">
        <v>44</v>
      </c>
      <c r="B462" t="s">
        <v>418</v>
      </c>
      <c r="C462" t="s">
        <v>645</v>
      </c>
      <c r="D462" t="s">
        <v>15</v>
      </c>
      <c r="E462" t="s">
        <v>75</v>
      </c>
      <c r="F462">
        <v>3</v>
      </c>
      <c r="G462">
        <v>4000</v>
      </c>
      <c r="H462">
        <v>71.2</v>
      </c>
      <c r="I462">
        <v>900</v>
      </c>
      <c r="J462">
        <v>99</v>
      </c>
      <c r="K462">
        <v>850</v>
      </c>
      <c r="L462">
        <v>0.92</v>
      </c>
    </row>
    <row r="463" spans="1:12" x14ac:dyDescent="0.25">
      <c r="A463" t="s">
        <v>68</v>
      </c>
      <c r="B463" t="s">
        <v>163</v>
      </c>
      <c r="C463" t="s">
        <v>164</v>
      </c>
      <c r="D463" t="s">
        <v>71</v>
      </c>
      <c r="E463" t="s">
        <v>16</v>
      </c>
      <c r="F463">
        <v>2</v>
      </c>
      <c r="G463">
        <v>15900</v>
      </c>
      <c r="H463">
        <v>72.3</v>
      </c>
      <c r="I463">
        <v>1100</v>
      </c>
      <c r="J463">
        <v>150</v>
      </c>
      <c r="K463">
        <v>750</v>
      </c>
      <c r="L463">
        <v>0.92</v>
      </c>
    </row>
    <row r="464" spans="1:12" x14ac:dyDescent="0.25">
      <c r="A464" t="s">
        <v>12</v>
      </c>
      <c r="B464" t="s">
        <v>149</v>
      </c>
      <c r="C464" t="s">
        <v>150</v>
      </c>
      <c r="D464" t="s">
        <v>20</v>
      </c>
      <c r="E464" t="s">
        <v>1369</v>
      </c>
      <c r="F464">
        <v>4</v>
      </c>
      <c r="G464">
        <v>51000</v>
      </c>
      <c r="H464">
        <v>77.8</v>
      </c>
      <c r="I464">
        <v>2100</v>
      </c>
      <c r="J464">
        <v>160</v>
      </c>
      <c r="K464">
        <v>1500</v>
      </c>
      <c r="L464">
        <v>1</v>
      </c>
    </row>
    <row r="465" spans="1:12" x14ac:dyDescent="0.25">
      <c r="A465" t="s">
        <v>17</v>
      </c>
      <c r="B465" t="s">
        <v>296</v>
      </c>
      <c r="C465" t="s">
        <v>297</v>
      </c>
      <c r="D465" t="s">
        <v>15</v>
      </c>
      <c r="E465" t="s">
        <v>16</v>
      </c>
      <c r="F465">
        <v>1</v>
      </c>
      <c r="G465">
        <v>36000</v>
      </c>
      <c r="H465">
        <v>65.400000000000006</v>
      </c>
      <c r="I465">
        <v>1100</v>
      </c>
      <c r="J465">
        <v>485</v>
      </c>
      <c r="K465">
        <v>800</v>
      </c>
      <c r="L465">
        <v>0.79</v>
      </c>
    </row>
    <row r="466" spans="1:12" x14ac:dyDescent="0.25">
      <c r="A466" t="s">
        <v>48</v>
      </c>
      <c r="B466" t="s">
        <v>131</v>
      </c>
      <c r="C466" t="s">
        <v>452</v>
      </c>
      <c r="D466" t="s">
        <v>20</v>
      </c>
      <c r="E466" t="s">
        <v>16</v>
      </c>
      <c r="F466">
        <v>2</v>
      </c>
      <c r="G466">
        <v>1500</v>
      </c>
      <c r="H466">
        <v>114.3</v>
      </c>
      <c r="I466">
        <v>1700</v>
      </c>
      <c r="J466">
        <v>140</v>
      </c>
      <c r="K466">
        <v>1200</v>
      </c>
      <c r="L466">
        <v>0.89</v>
      </c>
    </row>
    <row r="467" spans="1:12" x14ac:dyDescent="0.25">
      <c r="A467" t="s">
        <v>44</v>
      </c>
      <c r="B467" t="s">
        <v>426</v>
      </c>
      <c r="C467" t="s">
        <v>427</v>
      </c>
      <c r="D467" t="s">
        <v>71</v>
      </c>
      <c r="E467" t="s">
        <v>16</v>
      </c>
      <c r="F467">
        <v>2</v>
      </c>
      <c r="G467">
        <v>4300</v>
      </c>
      <c r="H467">
        <v>72.099999999999994</v>
      </c>
      <c r="I467">
        <v>1000</v>
      </c>
      <c r="J467">
        <v>99</v>
      </c>
      <c r="K467">
        <v>850</v>
      </c>
      <c r="L467">
        <v>0.92</v>
      </c>
    </row>
    <row r="468" spans="1:12" x14ac:dyDescent="0.25">
      <c r="A468" t="s">
        <v>68</v>
      </c>
      <c r="B468" t="s">
        <v>646</v>
      </c>
      <c r="C468" t="s">
        <v>647</v>
      </c>
      <c r="D468" t="s">
        <v>15</v>
      </c>
      <c r="E468" t="s">
        <v>75</v>
      </c>
      <c r="F468">
        <v>4</v>
      </c>
      <c r="G468">
        <v>15400</v>
      </c>
      <c r="H468">
        <v>71.2</v>
      </c>
      <c r="I468">
        <v>1000</v>
      </c>
      <c r="J468">
        <v>150</v>
      </c>
      <c r="K468">
        <v>750</v>
      </c>
      <c r="L468">
        <v>0.92</v>
      </c>
    </row>
    <row r="469" spans="1:12" x14ac:dyDescent="0.25">
      <c r="A469" t="s">
        <v>12</v>
      </c>
      <c r="B469" t="s">
        <v>94</v>
      </c>
      <c r="C469" t="s">
        <v>95</v>
      </c>
      <c r="D469" t="s">
        <v>15</v>
      </c>
      <c r="E469" t="s">
        <v>16</v>
      </c>
      <c r="F469">
        <v>2</v>
      </c>
      <c r="G469">
        <v>49000</v>
      </c>
      <c r="H469">
        <v>68.900000000000006</v>
      </c>
      <c r="I469">
        <v>1800</v>
      </c>
      <c r="J469">
        <v>160</v>
      </c>
      <c r="K469">
        <v>1500</v>
      </c>
      <c r="L469">
        <v>1</v>
      </c>
    </row>
    <row r="470" spans="1:12" x14ac:dyDescent="0.25">
      <c r="A470" t="s">
        <v>17</v>
      </c>
      <c r="B470" t="s">
        <v>172</v>
      </c>
      <c r="C470" t="s">
        <v>648</v>
      </c>
      <c r="D470" t="s">
        <v>20</v>
      </c>
      <c r="E470" t="s">
        <v>16</v>
      </c>
      <c r="F470">
        <v>1</v>
      </c>
      <c r="G470">
        <v>35000</v>
      </c>
      <c r="H470">
        <v>65.400000000000006</v>
      </c>
      <c r="I470">
        <v>1000</v>
      </c>
      <c r="J470">
        <v>485</v>
      </c>
      <c r="K470">
        <v>800</v>
      </c>
      <c r="L470">
        <v>0.79</v>
      </c>
    </row>
    <row r="471" spans="1:12" x14ac:dyDescent="0.25">
      <c r="A471" t="s">
        <v>48</v>
      </c>
      <c r="B471" t="s">
        <v>443</v>
      </c>
      <c r="C471" t="s">
        <v>444</v>
      </c>
      <c r="D471" t="s">
        <v>71</v>
      </c>
      <c r="E471" t="s">
        <v>16</v>
      </c>
      <c r="F471">
        <v>2</v>
      </c>
      <c r="G471">
        <v>1500</v>
      </c>
      <c r="H471">
        <v>112.1</v>
      </c>
      <c r="I471">
        <v>1600</v>
      </c>
      <c r="J471">
        <v>140</v>
      </c>
      <c r="K471">
        <v>1200</v>
      </c>
      <c r="L471">
        <v>0.89</v>
      </c>
    </row>
    <row r="472" spans="1:12" x14ac:dyDescent="0.25">
      <c r="A472" t="s">
        <v>44</v>
      </c>
      <c r="B472" t="s">
        <v>424</v>
      </c>
      <c r="C472" t="s">
        <v>649</v>
      </c>
      <c r="D472" t="s">
        <v>15</v>
      </c>
      <c r="E472" t="s">
        <v>16</v>
      </c>
      <c r="F472">
        <v>2</v>
      </c>
      <c r="G472">
        <v>4100</v>
      </c>
      <c r="H472">
        <v>76.5</v>
      </c>
      <c r="I472">
        <v>1300</v>
      </c>
      <c r="J472">
        <v>99</v>
      </c>
      <c r="K472">
        <v>850</v>
      </c>
      <c r="L472">
        <v>0.92</v>
      </c>
    </row>
    <row r="473" spans="1:12" x14ac:dyDescent="0.25">
      <c r="A473" t="s">
        <v>68</v>
      </c>
      <c r="B473" t="s">
        <v>650</v>
      </c>
      <c r="C473" t="s">
        <v>651</v>
      </c>
      <c r="D473" t="s">
        <v>20</v>
      </c>
      <c r="E473" t="s">
        <v>1369</v>
      </c>
      <c r="F473">
        <v>4</v>
      </c>
      <c r="G473">
        <v>14900</v>
      </c>
      <c r="H473">
        <v>70.099999999999994</v>
      </c>
      <c r="I473">
        <v>950</v>
      </c>
      <c r="J473">
        <v>150</v>
      </c>
      <c r="K473">
        <v>750</v>
      </c>
      <c r="L473">
        <v>0.92</v>
      </c>
    </row>
    <row r="474" spans="1:12" x14ac:dyDescent="0.25">
      <c r="A474" t="s">
        <v>12</v>
      </c>
      <c r="B474" t="s">
        <v>652</v>
      </c>
      <c r="C474" t="s">
        <v>653</v>
      </c>
      <c r="D474" t="s">
        <v>71</v>
      </c>
      <c r="E474" t="s">
        <v>16</v>
      </c>
      <c r="F474">
        <v>2</v>
      </c>
      <c r="G474">
        <v>47000</v>
      </c>
      <c r="H474">
        <v>69.8</v>
      </c>
      <c r="I474">
        <v>1700</v>
      </c>
      <c r="J474">
        <v>160</v>
      </c>
      <c r="K474">
        <v>1500</v>
      </c>
      <c r="L474">
        <v>1</v>
      </c>
    </row>
    <row r="475" spans="1:12" x14ac:dyDescent="0.25">
      <c r="A475" t="s">
        <v>17</v>
      </c>
      <c r="B475" t="s">
        <v>290</v>
      </c>
      <c r="C475" t="s">
        <v>654</v>
      </c>
      <c r="D475" t="s">
        <v>15</v>
      </c>
      <c r="E475" t="s">
        <v>75</v>
      </c>
      <c r="F475">
        <v>3</v>
      </c>
      <c r="G475">
        <v>34000</v>
      </c>
      <c r="H475">
        <v>63.2</v>
      </c>
      <c r="I475">
        <v>900</v>
      </c>
      <c r="J475">
        <v>485</v>
      </c>
      <c r="K475">
        <v>800</v>
      </c>
      <c r="L475">
        <v>0.79</v>
      </c>
    </row>
    <row r="476" spans="1:12" x14ac:dyDescent="0.25">
      <c r="A476" t="s">
        <v>48</v>
      </c>
      <c r="B476" t="s">
        <v>441</v>
      </c>
      <c r="C476" t="s">
        <v>442</v>
      </c>
      <c r="D476" t="s">
        <v>20</v>
      </c>
      <c r="E476" t="s">
        <v>16</v>
      </c>
      <c r="F476">
        <v>2</v>
      </c>
      <c r="G476">
        <v>1500</v>
      </c>
      <c r="H476">
        <v>110.4</v>
      </c>
      <c r="I476">
        <v>1500</v>
      </c>
      <c r="J476">
        <v>140</v>
      </c>
      <c r="K476">
        <v>1200</v>
      </c>
      <c r="L476">
        <v>0.89</v>
      </c>
    </row>
    <row r="477" spans="1:12" x14ac:dyDescent="0.25">
      <c r="A477" t="s">
        <v>44</v>
      </c>
      <c r="B477" t="s">
        <v>428</v>
      </c>
      <c r="C477" t="s">
        <v>655</v>
      </c>
      <c r="D477" t="s">
        <v>71</v>
      </c>
      <c r="E477" t="s">
        <v>1369</v>
      </c>
      <c r="F477">
        <v>4</v>
      </c>
      <c r="G477">
        <v>4200</v>
      </c>
      <c r="H477">
        <v>69.8</v>
      </c>
      <c r="I477">
        <v>950</v>
      </c>
      <c r="J477">
        <v>99</v>
      </c>
      <c r="K477">
        <v>850</v>
      </c>
      <c r="L477">
        <v>0.92</v>
      </c>
    </row>
    <row r="478" spans="1:12" x14ac:dyDescent="0.25">
      <c r="A478" t="s">
        <v>68</v>
      </c>
      <c r="B478" t="s">
        <v>656</v>
      </c>
      <c r="C478" t="s">
        <v>657</v>
      </c>
      <c r="D478" t="s">
        <v>15</v>
      </c>
      <c r="E478" t="s">
        <v>16</v>
      </c>
      <c r="F478">
        <v>2</v>
      </c>
      <c r="G478">
        <v>14500</v>
      </c>
      <c r="H478">
        <v>68.900000000000006</v>
      </c>
      <c r="I478">
        <v>900</v>
      </c>
      <c r="J478">
        <v>150</v>
      </c>
      <c r="K478">
        <v>750</v>
      </c>
      <c r="L478">
        <v>0.92</v>
      </c>
    </row>
    <row r="479" spans="1:12" x14ac:dyDescent="0.25">
      <c r="A479" t="s">
        <v>12</v>
      </c>
      <c r="B479" t="s">
        <v>658</v>
      </c>
      <c r="C479" t="s">
        <v>659</v>
      </c>
      <c r="D479" t="s">
        <v>20</v>
      </c>
      <c r="E479" t="s">
        <v>16</v>
      </c>
      <c r="F479">
        <v>2</v>
      </c>
      <c r="G479">
        <v>45000</v>
      </c>
      <c r="H479">
        <v>71.2</v>
      </c>
      <c r="I479">
        <v>1600</v>
      </c>
      <c r="J479">
        <v>160</v>
      </c>
      <c r="K479">
        <v>1500</v>
      </c>
      <c r="L479">
        <v>1</v>
      </c>
    </row>
    <row r="480" spans="1:12" x14ac:dyDescent="0.25">
      <c r="A480" t="s">
        <v>17</v>
      </c>
      <c r="B480" t="s">
        <v>97</v>
      </c>
      <c r="C480" t="s">
        <v>660</v>
      </c>
      <c r="D480" t="s">
        <v>15</v>
      </c>
      <c r="E480" t="s">
        <v>16</v>
      </c>
      <c r="F480">
        <v>1</v>
      </c>
      <c r="G480">
        <v>33000</v>
      </c>
      <c r="H480">
        <v>68.900000000000006</v>
      </c>
      <c r="I480">
        <v>1100</v>
      </c>
      <c r="J480">
        <v>485</v>
      </c>
      <c r="K480">
        <v>800</v>
      </c>
      <c r="L480">
        <v>0.79</v>
      </c>
    </row>
    <row r="481" spans="1:12" x14ac:dyDescent="0.25">
      <c r="A481" t="s">
        <v>48</v>
      </c>
      <c r="B481" t="s">
        <v>446</v>
      </c>
      <c r="C481" t="s">
        <v>661</v>
      </c>
      <c r="D481" t="s">
        <v>71</v>
      </c>
      <c r="E481" t="s">
        <v>16</v>
      </c>
      <c r="F481">
        <v>2</v>
      </c>
      <c r="G481">
        <v>1500</v>
      </c>
      <c r="H481">
        <v>108.9</v>
      </c>
      <c r="I481">
        <v>1400</v>
      </c>
      <c r="J481">
        <v>140</v>
      </c>
      <c r="K481">
        <v>1200</v>
      </c>
      <c r="L481">
        <v>0.89</v>
      </c>
    </row>
    <row r="482" spans="1:12" x14ac:dyDescent="0.25">
      <c r="A482" t="s">
        <v>44</v>
      </c>
      <c r="B482" t="s">
        <v>432</v>
      </c>
      <c r="C482" t="s">
        <v>433</v>
      </c>
      <c r="D482" t="s">
        <v>15</v>
      </c>
      <c r="E482" t="s">
        <v>16</v>
      </c>
      <c r="F482">
        <v>2</v>
      </c>
      <c r="G482">
        <v>4000</v>
      </c>
      <c r="H482">
        <v>70.2</v>
      </c>
      <c r="I482">
        <v>1000</v>
      </c>
      <c r="J482">
        <v>99</v>
      </c>
      <c r="K482">
        <v>850</v>
      </c>
      <c r="L482">
        <v>0.92</v>
      </c>
    </row>
    <row r="483" spans="1:12" x14ac:dyDescent="0.25">
      <c r="A483" t="s">
        <v>68</v>
      </c>
      <c r="B483" t="s">
        <v>662</v>
      </c>
      <c r="C483" t="s">
        <v>663</v>
      </c>
      <c r="D483" t="s">
        <v>20</v>
      </c>
      <c r="E483" t="s">
        <v>75</v>
      </c>
      <c r="F483">
        <v>4</v>
      </c>
      <c r="G483">
        <v>14000</v>
      </c>
      <c r="H483">
        <v>67.5</v>
      </c>
      <c r="I483">
        <v>850</v>
      </c>
      <c r="J483">
        <v>150</v>
      </c>
      <c r="K483">
        <v>750</v>
      </c>
      <c r="L483">
        <v>0.92</v>
      </c>
    </row>
    <row r="484" spans="1:12" x14ac:dyDescent="0.25">
      <c r="A484" t="s">
        <v>12</v>
      </c>
      <c r="B484" t="s">
        <v>285</v>
      </c>
      <c r="C484" t="s">
        <v>286</v>
      </c>
      <c r="D484" t="s">
        <v>15</v>
      </c>
      <c r="E484" t="s">
        <v>1369</v>
      </c>
      <c r="F484">
        <v>4</v>
      </c>
      <c r="G484">
        <v>48000</v>
      </c>
      <c r="H484">
        <v>72.3</v>
      </c>
      <c r="I484">
        <v>1700</v>
      </c>
      <c r="J484">
        <v>160</v>
      </c>
      <c r="K484">
        <v>1500</v>
      </c>
      <c r="L484">
        <v>1</v>
      </c>
    </row>
    <row r="485" spans="1:12" x14ac:dyDescent="0.25">
      <c r="A485" t="s">
        <v>17</v>
      </c>
      <c r="B485" t="s">
        <v>303</v>
      </c>
      <c r="C485" t="s">
        <v>304</v>
      </c>
      <c r="D485" t="s">
        <v>71</v>
      </c>
      <c r="E485" t="s">
        <v>16</v>
      </c>
      <c r="F485">
        <v>1</v>
      </c>
      <c r="G485">
        <v>34000</v>
      </c>
      <c r="H485">
        <v>64.5</v>
      </c>
      <c r="I485">
        <v>950</v>
      </c>
      <c r="J485">
        <v>485</v>
      </c>
      <c r="K485">
        <v>800</v>
      </c>
      <c r="L485">
        <v>0.79</v>
      </c>
    </row>
    <row r="486" spans="1:12" x14ac:dyDescent="0.25">
      <c r="A486" t="s">
        <v>48</v>
      </c>
      <c r="B486" t="s">
        <v>448</v>
      </c>
      <c r="C486" t="s">
        <v>449</v>
      </c>
      <c r="D486" t="s">
        <v>15</v>
      </c>
      <c r="E486" t="s">
        <v>16</v>
      </c>
      <c r="F486">
        <v>2</v>
      </c>
      <c r="G486">
        <v>1500</v>
      </c>
      <c r="H486">
        <v>107.8</v>
      </c>
      <c r="I486">
        <v>1300</v>
      </c>
      <c r="J486">
        <v>140</v>
      </c>
      <c r="K486">
        <v>1200</v>
      </c>
      <c r="L486">
        <v>0.89</v>
      </c>
    </row>
    <row r="487" spans="1:12" x14ac:dyDescent="0.25">
      <c r="A487" t="s">
        <v>44</v>
      </c>
      <c r="B487" t="s">
        <v>422</v>
      </c>
      <c r="C487" t="s">
        <v>423</v>
      </c>
      <c r="D487" t="s">
        <v>20</v>
      </c>
      <c r="E487" t="s">
        <v>16</v>
      </c>
      <c r="F487">
        <v>2</v>
      </c>
      <c r="G487">
        <v>4100</v>
      </c>
      <c r="H487">
        <v>71.5</v>
      </c>
      <c r="I487">
        <v>1100</v>
      </c>
      <c r="J487">
        <v>99</v>
      </c>
      <c r="K487">
        <v>850</v>
      </c>
      <c r="L487">
        <v>0.92</v>
      </c>
    </row>
    <row r="488" spans="1:12" x14ac:dyDescent="0.25">
      <c r="A488" t="s">
        <v>68</v>
      </c>
      <c r="B488" t="s">
        <v>664</v>
      </c>
      <c r="C488" t="s">
        <v>665</v>
      </c>
      <c r="D488" t="s">
        <v>71</v>
      </c>
      <c r="E488" t="s">
        <v>16</v>
      </c>
      <c r="F488">
        <v>2</v>
      </c>
      <c r="G488">
        <v>13800</v>
      </c>
      <c r="H488">
        <v>66.7</v>
      </c>
      <c r="I488">
        <v>800</v>
      </c>
      <c r="J488">
        <v>150</v>
      </c>
      <c r="K488">
        <v>750</v>
      </c>
      <c r="L488">
        <v>0.92</v>
      </c>
    </row>
    <row r="489" spans="1:12" x14ac:dyDescent="0.25">
      <c r="A489" t="s">
        <v>195</v>
      </c>
      <c r="B489" t="s">
        <v>196</v>
      </c>
      <c r="C489" t="s">
        <v>197</v>
      </c>
      <c r="D489" t="s">
        <v>15</v>
      </c>
      <c r="E489" t="s">
        <v>16</v>
      </c>
      <c r="F489">
        <v>2</v>
      </c>
      <c r="G489">
        <v>0</v>
      </c>
      <c r="H489">
        <v>83.2</v>
      </c>
      <c r="I489">
        <v>1400</v>
      </c>
      <c r="J489">
        <v>275</v>
      </c>
      <c r="K489">
        <v>700</v>
      </c>
      <c r="L489">
        <v>10.45</v>
      </c>
    </row>
    <row r="490" spans="1:12" x14ac:dyDescent="0.25">
      <c r="A490" t="s">
        <v>192</v>
      </c>
      <c r="B490" t="s">
        <v>193</v>
      </c>
      <c r="C490" t="s">
        <v>194</v>
      </c>
      <c r="D490" t="s">
        <v>20</v>
      </c>
      <c r="E490" t="s">
        <v>16</v>
      </c>
      <c r="F490">
        <v>2</v>
      </c>
      <c r="G490">
        <v>0</v>
      </c>
      <c r="H490">
        <v>79.400000000000006</v>
      </c>
      <c r="I490">
        <v>1200</v>
      </c>
      <c r="J490">
        <v>350</v>
      </c>
      <c r="K490">
        <v>650</v>
      </c>
      <c r="L490">
        <v>0.92</v>
      </c>
    </row>
    <row r="491" spans="1:12" x14ac:dyDescent="0.25">
      <c r="A491" t="s">
        <v>29</v>
      </c>
      <c r="B491" t="s">
        <v>180</v>
      </c>
      <c r="C491" t="s">
        <v>666</v>
      </c>
      <c r="D491" t="s">
        <v>32</v>
      </c>
      <c r="E491" t="s">
        <v>16</v>
      </c>
      <c r="F491">
        <v>2</v>
      </c>
      <c r="G491">
        <v>0</v>
      </c>
      <c r="H491">
        <v>68.900000000000006</v>
      </c>
      <c r="I491">
        <v>1100</v>
      </c>
      <c r="J491">
        <v>110</v>
      </c>
      <c r="K491">
        <v>900</v>
      </c>
      <c r="L491">
        <v>0.92</v>
      </c>
    </row>
    <row r="492" spans="1:12" x14ac:dyDescent="0.25">
      <c r="A492" t="s">
        <v>56</v>
      </c>
      <c r="B492" t="s">
        <v>57</v>
      </c>
      <c r="C492" t="s">
        <v>58</v>
      </c>
      <c r="D492" t="s">
        <v>51</v>
      </c>
      <c r="E492" t="s">
        <v>1369</v>
      </c>
      <c r="F492">
        <v>4</v>
      </c>
      <c r="G492">
        <v>0</v>
      </c>
      <c r="H492">
        <v>82.1</v>
      </c>
      <c r="I492">
        <v>1500</v>
      </c>
      <c r="J492">
        <v>450</v>
      </c>
      <c r="K492">
        <v>800</v>
      </c>
      <c r="L492">
        <v>7.45</v>
      </c>
    </row>
    <row r="493" spans="1:12" x14ac:dyDescent="0.25">
      <c r="A493" t="s">
        <v>195</v>
      </c>
      <c r="B493" t="s">
        <v>667</v>
      </c>
      <c r="C493" t="s">
        <v>668</v>
      </c>
      <c r="D493" t="s">
        <v>136</v>
      </c>
      <c r="E493" t="s">
        <v>16</v>
      </c>
      <c r="F493">
        <v>2</v>
      </c>
      <c r="G493">
        <v>0</v>
      </c>
      <c r="H493">
        <v>75.599999999999994</v>
      </c>
      <c r="I493">
        <v>1100</v>
      </c>
      <c r="J493">
        <v>275</v>
      </c>
      <c r="K493">
        <v>700</v>
      </c>
      <c r="L493">
        <v>10.45</v>
      </c>
    </row>
    <row r="494" spans="1:12" x14ac:dyDescent="0.25">
      <c r="A494" t="s">
        <v>192</v>
      </c>
      <c r="B494" t="s">
        <v>669</v>
      </c>
      <c r="C494" t="s">
        <v>670</v>
      </c>
      <c r="D494" t="s">
        <v>63</v>
      </c>
      <c r="E494" t="s">
        <v>75</v>
      </c>
      <c r="F494">
        <v>3</v>
      </c>
      <c r="G494">
        <v>0</v>
      </c>
      <c r="H494">
        <v>77.8</v>
      </c>
      <c r="I494">
        <v>1000</v>
      </c>
      <c r="J494">
        <v>350</v>
      </c>
      <c r="K494">
        <v>650</v>
      </c>
      <c r="L494">
        <v>0.92</v>
      </c>
    </row>
    <row r="495" spans="1:12" x14ac:dyDescent="0.25">
      <c r="A495" t="s">
        <v>29</v>
      </c>
      <c r="B495" t="s">
        <v>30</v>
      </c>
      <c r="C495" t="s">
        <v>671</v>
      </c>
      <c r="D495" t="s">
        <v>99</v>
      </c>
      <c r="E495" t="s">
        <v>1369</v>
      </c>
      <c r="F495">
        <v>4</v>
      </c>
      <c r="G495">
        <v>0</v>
      </c>
      <c r="H495">
        <v>71.5</v>
      </c>
      <c r="I495">
        <v>1300</v>
      </c>
      <c r="J495">
        <v>110</v>
      </c>
      <c r="K495">
        <v>900</v>
      </c>
      <c r="L495">
        <v>0.92</v>
      </c>
    </row>
    <row r="496" spans="1:12" x14ac:dyDescent="0.25">
      <c r="A496" t="s">
        <v>56</v>
      </c>
      <c r="B496" t="s">
        <v>459</v>
      </c>
      <c r="C496" t="s">
        <v>460</v>
      </c>
      <c r="D496" t="s">
        <v>71</v>
      </c>
      <c r="E496" t="s">
        <v>16</v>
      </c>
      <c r="F496">
        <v>2</v>
      </c>
      <c r="G496">
        <v>0</v>
      </c>
      <c r="H496">
        <v>76.5</v>
      </c>
      <c r="I496">
        <v>1200</v>
      </c>
      <c r="J496">
        <v>450</v>
      </c>
      <c r="K496">
        <v>800</v>
      </c>
      <c r="L496">
        <v>7.45</v>
      </c>
    </row>
    <row r="497" spans="1:12" x14ac:dyDescent="0.25">
      <c r="A497" t="s">
        <v>195</v>
      </c>
      <c r="B497" t="s">
        <v>672</v>
      </c>
      <c r="C497" t="s">
        <v>673</v>
      </c>
      <c r="D497" t="s">
        <v>40</v>
      </c>
      <c r="E497" t="s">
        <v>16</v>
      </c>
      <c r="F497">
        <v>2</v>
      </c>
      <c r="G497">
        <v>0</v>
      </c>
      <c r="H497">
        <v>74.3</v>
      </c>
      <c r="I497">
        <v>1200</v>
      </c>
      <c r="J497">
        <v>275</v>
      </c>
      <c r="K497">
        <v>700</v>
      </c>
      <c r="L497">
        <v>10.45</v>
      </c>
    </row>
    <row r="498" spans="1:12" x14ac:dyDescent="0.25">
      <c r="A498" t="s">
        <v>192</v>
      </c>
      <c r="B498" t="s">
        <v>674</v>
      </c>
      <c r="C498" t="s">
        <v>675</v>
      </c>
      <c r="D498" t="s">
        <v>207</v>
      </c>
      <c r="E498" t="s">
        <v>16</v>
      </c>
      <c r="F498">
        <v>2</v>
      </c>
      <c r="G498">
        <v>0</v>
      </c>
      <c r="H498">
        <v>72.099999999999994</v>
      </c>
      <c r="I498">
        <v>900</v>
      </c>
      <c r="J498">
        <v>350</v>
      </c>
      <c r="K498">
        <v>650</v>
      </c>
      <c r="L498">
        <v>0.92</v>
      </c>
    </row>
    <row r="499" spans="1:12" x14ac:dyDescent="0.25">
      <c r="A499" t="s">
        <v>29</v>
      </c>
      <c r="B499" t="s">
        <v>245</v>
      </c>
      <c r="C499" t="s">
        <v>246</v>
      </c>
      <c r="D499" t="s">
        <v>15</v>
      </c>
      <c r="E499" t="s">
        <v>75</v>
      </c>
      <c r="F499">
        <v>3</v>
      </c>
      <c r="G499">
        <v>0</v>
      </c>
      <c r="H499">
        <v>65.400000000000006</v>
      </c>
      <c r="I499">
        <v>900</v>
      </c>
      <c r="J499">
        <v>110</v>
      </c>
      <c r="K499">
        <v>900</v>
      </c>
      <c r="L499">
        <v>0.92</v>
      </c>
    </row>
    <row r="500" spans="1:12" x14ac:dyDescent="0.25">
      <c r="A500" t="s">
        <v>56</v>
      </c>
      <c r="B500" t="s">
        <v>676</v>
      </c>
      <c r="C500" t="s">
        <v>677</v>
      </c>
      <c r="D500" t="s">
        <v>630</v>
      </c>
      <c r="E500" t="s">
        <v>16</v>
      </c>
      <c r="F500">
        <v>2</v>
      </c>
      <c r="G500">
        <v>0</v>
      </c>
      <c r="H500">
        <v>73.2</v>
      </c>
      <c r="I500">
        <v>1100</v>
      </c>
      <c r="J500">
        <v>450</v>
      </c>
      <c r="K500">
        <v>800</v>
      </c>
      <c r="L500">
        <v>7.45</v>
      </c>
    </row>
    <row r="501" spans="1:12" x14ac:dyDescent="0.25">
      <c r="A501" t="s">
        <v>195</v>
      </c>
      <c r="B501" t="s">
        <v>678</v>
      </c>
      <c r="C501" t="s">
        <v>679</v>
      </c>
      <c r="D501" t="s">
        <v>680</v>
      </c>
      <c r="E501" t="s">
        <v>1369</v>
      </c>
      <c r="F501">
        <v>4</v>
      </c>
      <c r="G501">
        <v>0</v>
      </c>
      <c r="H501">
        <v>71.2</v>
      </c>
      <c r="I501">
        <v>1000</v>
      </c>
      <c r="J501">
        <v>275</v>
      </c>
      <c r="K501">
        <v>700</v>
      </c>
      <c r="L501">
        <v>10.45</v>
      </c>
    </row>
    <row r="502" spans="1:12" x14ac:dyDescent="0.25">
      <c r="A502" t="s">
        <v>192</v>
      </c>
      <c r="B502" t="s">
        <v>681</v>
      </c>
      <c r="C502" t="s">
        <v>682</v>
      </c>
      <c r="D502" t="s">
        <v>59</v>
      </c>
      <c r="E502" t="s">
        <v>16</v>
      </c>
      <c r="F502">
        <v>2</v>
      </c>
      <c r="G502">
        <v>0</v>
      </c>
      <c r="H502">
        <v>71.8</v>
      </c>
      <c r="I502">
        <v>850</v>
      </c>
      <c r="J502">
        <v>350</v>
      </c>
      <c r="K502">
        <v>650</v>
      </c>
      <c r="L502">
        <v>0.92</v>
      </c>
    </row>
    <row r="503" spans="1:12" x14ac:dyDescent="0.25">
      <c r="A503" t="s">
        <v>29</v>
      </c>
      <c r="B503" t="s">
        <v>249</v>
      </c>
      <c r="C503" t="s">
        <v>250</v>
      </c>
      <c r="D503" t="s">
        <v>124</v>
      </c>
      <c r="E503" t="s">
        <v>16</v>
      </c>
      <c r="F503">
        <v>2</v>
      </c>
      <c r="G503">
        <v>0</v>
      </c>
      <c r="H503">
        <v>69.8</v>
      </c>
      <c r="I503">
        <v>1200</v>
      </c>
      <c r="J503">
        <v>110</v>
      </c>
      <c r="K503">
        <v>900</v>
      </c>
      <c r="L503">
        <v>0.92</v>
      </c>
    </row>
    <row r="504" spans="1:12" x14ac:dyDescent="0.25">
      <c r="A504" t="s">
        <v>56</v>
      </c>
      <c r="B504" t="s">
        <v>158</v>
      </c>
      <c r="C504" t="s">
        <v>159</v>
      </c>
      <c r="D504" t="s">
        <v>683</v>
      </c>
      <c r="E504" t="s">
        <v>75</v>
      </c>
      <c r="F504">
        <v>3</v>
      </c>
      <c r="G504">
        <v>0</v>
      </c>
      <c r="H504">
        <v>71.5</v>
      </c>
      <c r="I504">
        <v>1000</v>
      </c>
      <c r="J504">
        <v>450</v>
      </c>
      <c r="K504">
        <v>800</v>
      </c>
      <c r="L504">
        <v>7.45</v>
      </c>
    </row>
    <row r="505" spans="1:12" x14ac:dyDescent="0.25">
      <c r="A505" t="s">
        <v>195</v>
      </c>
      <c r="B505" t="s">
        <v>684</v>
      </c>
      <c r="C505" t="s">
        <v>685</v>
      </c>
      <c r="D505" t="s">
        <v>686</v>
      </c>
      <c r="E505" t="s">
        <v>16</v>
      </c>
      <c r="F505">
        <v>2</v>
      </c>
      <c r="G505">
        <v>0</v>
      </c>
      <c r="H505">
        <v>72.400000000000006</v>
      </c>
      <c r="I505">
        <v>1100</v>
      </c>
      <c r="J505">
        <v>275</v>
      </c>
      <c r="K505">
        <v>700</v>
      </c>
      <c r="L505">
        <v>10.45</v>
      </c>
    </row>
    <row r="506" spans="1:12" x14ac:dyDescent="0.25">
      <c r="A506" t="s">
        <v>192</v>
      </c>
      <c r="B506" t="s">
        <v>687</v>
      </c>
      <c r="C506" t="s">
        <v>688</v>
      </c>
      <c r="D506" t="s">
        <v>15</v>
      </c>
      <c r="E506" t="s">
        <v>1369</v>
      </c>
      <c r="F506">
        <v>4</v>
      </c>
      <c r="G506">
        <v>0</v>
      </c>
      <c r="H506">
        <v>70.2</v>
      </c>
      <c r="I506">
        <v>800</v>
      </c>
      <c r="J506">
        <v>350</v>
      </c>
      <c r="K506">
        <v>650</v>
      </c>
      <c r="L506">
        <v>0.92</v>
      </c>
    </row>
    <row r="507" spans="1:12" x14ac:dyDescent="0.25">
      <c r="A507" t="s">
        <v>29</v>
      </c>
      <c r="B507" t="s">
        <v>247</v>
      </c>
      <c r="C507" t="s">
        <v>248</v>
      </c>
      <c r="D507" t="s">
        <v>90</v>
      </c>
      <c r="E507" t="s">
        <v>16</v>
      </c>
      <c r="F507">
        <v>2</v>
      </c>
      <c r="G507">
        <v>0</v>
      </c>
      <c r="H507">
        <v>68.7</v>
      </c>
      <c r="I507">
        <v>1100</v>
      </c>
      <c r="J507">
        <v>110</v>
      </c>
      <c r="K507">
        <v>900</v>
      </c>
      <c r="L507">
        <v>0.92</v>
      </c>
    </row>
    <row r="508" spans="1:12" x14ac:dyDescent="0.25">
      <c r="A508" t="s">
        <v>56</v>
      </c>
      <c r="B508" t="s">
        <v>689</v>
      </c>
      <c r="C508" t="s">
        <v>690</v>
      </c>
      <c r="D508" t="s">
        <v>198</v>
      </c>
      <c r="E508" t="s">
        <v>16</v>
      </c>
      <c r="F508">
        <v>2</v>
      </c>
      <c r="G508">
        <v>0</v>
      </c>
      <c r="H508">
        <v>70.8</v>
      </c>
      <c r="I508">
        <v>1000</v>
      </c>
      <c r="J508">
        <v>450</v>
      </c>
      <c r="K508">
        <v>800</v>
      </c>
      <c r="L508">
        <v>7.45</v>
      </c>
    </row>
    <row r="509" spans="1:12" x14ac:dyDescent="0.25">
      <c r="A509" t="s">
        <v>195</v>
      </c>
      <c r="B509" t="s">
        <v>691</v>
      </c>
      <c r="C509" t="s">
        <v>692</v>
      </c>
      <c r="D509" t="s">
        <v>630</v>
      </c>
      <c r="E509" t="s">
        <v>16</v>
      </c>
      <c r="F509">
        <v>2</v>
      </c>
      <c r="G509">
        <v>0</v>
      </c>
      <c r="H509">
        <v>70.5</v>
      </c>
      <c r="I509">
        <v>900</v>
      </c>
      <c r="J509">
        <v>275</v>
      </c>
      <c r="K509">
        <v>700</v>
      </c>
      <c r="L509">
        <v>10.45</v>
      </c>
    </row>
    <row r="510" spans="1:12" x14ac:dyDescent="0.25">
      <c r="A510" t="s">
        <v>192</v>
      </c>
      <c r="B510" t="s">
        <v>693</v>
      </c>
      <c r="C510" t="s">
        <v>694</v>
      </c>
      <c r="D510" t="s">
        <v>695</v>
      </c>
      <c r="E510" t="s">
        <v>16</v>
      </c>
      <c r="F510">
        <v>2</v>
      </c>
      <c r="G510">
        <v>0</v>
      </c>
      <c r="H510">
        <v>69.8</v>
      </c>
      <c r="I510">
        <v>800</v>
      </c>
      <c r="J510">
        <v>350</v>
      </c>
      <c r="K510">
        <v>650</v>
      </c>
      <c r="L510">
        <v>0.92</v>
      </c>
    </row>
    <row r="511" spans="1:12" x14ac:dyDescent="0.25">
      <c r="A511" t="s">
        <v>29</v>
      </c>
      <c r="B511" t="s">
        <v>254</v>
      </c>
      <c r="C511" t="s">
        <v>255</v>
      </c>
      <c r="D511" t="s">
        <v>696</v>
      </c>
      <c r="E511" t="s">
        <v>1369</v>
      </c>
      <c r="F511">
        <v>4</v>
      </c>
      <c r="G511">
        <v>0</v>
      </c>
      <c r="H511">
        <v>67.900000000000006</v>
      </c>
      <c r="I511">
        <v>1000</v>
      </c>
      <c r="J511">
        <v>110</v>
      </c>
      <c r="K511">
        <v>900</v>
      </c>
      <c r="L511">
        <v>0.92</v>
      </c>
    </row>
    <row r="512" spans="1:12" x14ac:dyDescent="0.25">
      <c r="A512" t="s">
        <v>56</v>
      </c>
      <c r="B512" t="s">
        <v>697</v>
      </c>
      <c r="C512" t="s">
        <v>698</v>
      </c>
      <c r="D512" t="s">
        <v>699</v>
      </c>
      <c r="E512" t="s">
        <v>16</v>
      </c>
      <c r="F512">
        <v>2</v>
      </c>
      <c r="G512">
        <v>0</v>
      </c>
      <c r="H512">
        <v>81.2</v>
      </c>
      <c r="I512">
        <v>1400</v>
      </c>
      <c r="J512">
        <v>450</v>
      </c>
      <c r="K512">
        <v>800</v>
      </c>
      <c r="L512">
        <v>7.45</v>
      </c>
    </row>
    <row r="513" spans="1:12" x14ac:dyDescent="0.25">
      <c r="A513" t="s">
        <v>195</v>
      </c>
      <c r="B513" t="s">
        <v>700</v>
      </c>
      <c r="C513" t="s">
        <v>701</v>
      </c>
      <c r="D513" t="s">
        <v>79</v>
      </c>
      <c r="E513" t="s">
        <v>75</v>
      </c>
      <c r="F513">
        <v>3</v>
      </c>
      <c r="G513">
        <v>0</v>
      </c>
      <c r="H513">
        <v>69.400000000000006</v>
      </c>
      <c r="I513">
        <v>850</v>
      </c>
      <c r="J513">
        <v>275</v>
      </c>
      <c r="K513">
        <v>700</v>
      </c>
      <c r="L513">
        <v>10.45</v>
      </c>
    </row>
    <row r="514" spans="1:12" x14ac:dyDescent="0.25">
      <c r="A514" t="s">
        <v>192</v>
      </c>
      <c r="B514" t="s">
        <v>702</v>
      </c>
      <c r="C514" t="s">
        <v>703</v>
      </c>
      <c r="D514" t="s">
        <v>20</v>
      </c>
      <c r="E514" t="s">
        <v>16</v>
      </c>
      <c r="F514">
        <v>2</v>
      </c>
      <c r="G514">
        <v>0</v>
      </c>
      <c r="H514">
        <v>68.7</v>
      </c>
      <c r="I514">
        <v>750</v>
      </c>
      <c r="J514">
        <v>350</v>
      </c>
      <c r="K514">
        <v>650</v>
      </c>
      <c r="L514">
        <v>0.92</v>
      </c>
    </row>
    <row r="515" spans="1:12" x14ac:dyDescent="0.25">
      <c r="A515" t="s">
        <v>29</v>
      </c>
      <c r="B515" t="s">
        <v>256</v>
      </c>
      <c r="C515" t="s">
        <v>257</v>
      </c>
      <c r="D515" t="s">
        <v>63</v>
      </c>
      <c r="E515" t="s">
        <v>16</v>
      </c>
      <c r="F515">
        <v>2</v>
      </c>
      <c r="G515">
        <v>0</v>
      </c>
      <c r="H515">
        <v>66.8</v>
      </c>
      <c r="I515">
        <v>950</v>
      </c>
      <c r="J515">
        <v>110</v>
      </c>
      <c r="K515">
        <v>900</v>
      </c>
      <c r="L515">
        <v>0.92</v>
      </c>
    </row>
    <row r="516" spans="1:12" x14ac:dyDescent="0.25">
      <c r="A516" t="s">
        <v>56</v>
      </c>
      <c r="B516" t="s">
        <v>704</v>
      </c>
      <c r="C516" t="s">
        <v>677</v>
      </c>
      <c r="D516" t="s">
        <v>207</v>
      </c>
      <c r="E516" t="s">
        <v>1369</v>
      </c>
      <c r="F516">
        <v>4</v>
      </c>
      <c r="G516">
        <v>0</v>
      </c>
      <c r="H516">
        <v>69.5</v>
      </c>
      <c r="I516">
        <v>900</v>
      </c>
      <c r="J516">
        <v>450</v>
      </c>
      <c r="K516">
        <v>800</v>
      </c>
      <c r="L516">
        <v>7.45</v>
      </c>
    </row>
    <row r="517" spans="1:12" x14ac:dyDescent="0.25">
      <c r="A517" t="s">
        <v>195</v>
      </c>
      <c r="B517" t="s">
        <v>705</v>
      </c>
      <c r="C517" t="s">
        <v>706</v>
      </c>
      <c r="D517" t="s">
        <v>502</v>
      </c>
      <c r="E517" t="s">
        <v>16</v>
      </c>
      <c r="F517">
        <v>2</v>
      </c>
      <c r="G517">
        <v>0</v>
      </c>
      <c r="H517">
        <v>68.900000000000006</v>
      </c>
      <c r="I517">
        <v>800</v>
      </c>
      <c r="J517">
        <v>275</v>
      </c>
      <c r="K517">
        <v>700</v>
      </c>
      <c r="L517">
        <v>10.45</v>
      </c>
    </row>
    <row r="518" spans="1:12" x14ac:dyDescent="0.25">
      <c r="A518" t="s">
        <v>192</v>
      </c>
      <c r="B518" t="s">
        <v>707</v>
      </c>
      <c r="C518" t="s">
        <v>708</v>
      </c>
      <c r="D518" t="s">
        <v>93</v>
      </c>
      <c r="E518" t="s">
        <v>16</v>
      </c>
      <c r="F518">
        <v>2</v>
      </c>
      <c r="G518">
        <v>0</v>
      </c>
      <c r="H518">
        <v>67.5</v>
      </c>
      <c r="I518">
        <v>700</v>
      </c>
      <c r="J518">
        <v>350</v>
      </c>
      <c r="K518">
        <v>650</v>
      </c>
      <c r="L518">
        <v>0.92</v>
      </c>
    </row>
    <row r="519" spans="1:12" x14ac:dyDescent="0.25">
      <c r="A519" t="s">
        <v>29</v>
      </c>
      <c r="B519" t="s">
        <v>709</v>
      </c>
      <c r="C519" t="s">
        <v>710</v>
      </c>
      <c r="D519" t="s">
        <v>136</v>
      </c>
      <c r="E519" t="s">
        <v>16</v>
      </c>
      <c r="F519">
        <v>2</v>
      </c>
      <c r="G519">
        <v>0</v>
      </c>
      <c r="H519">
        <v>66.5</v>
      </c>
      <c r="I519">
        <v>900</v>
      </c>
      <c r="J519">
        <v>110</v>
      </c>
      <c r="K519">
        <v>900</v>
      </c>
      <c r="L519">
        <v>0.92</v>
      </c>
    </row>
    <row r="520" spans="1:12" x14ac:dyDescent="0.25">
      <c r="A520" t="s">
        <v>56</v>
      </c>
      <c r="B520" t="s">
        <v>711</v>
      </c>
      <c r="C520" t="s">
        <v>677</v>
      </c>
      <c r="D520" t="s">
        <v>712</v>
      </c>
      <c r="E520" t="s">
        <v>16</v>
      </c>
      <c r="F520">
        <v>2</v>
      </c>
      <c r="G520">
        <v>0</v>
      </c>
      <c r="H520">
        <v>68.400000000000006</v>
      </c>
      <c r="I520">
        <v>850</v>
      </c>
      <c r="J520">
        <v>450</v>
      </c>
      <c r="K520">
        <v>800</v>
      </c>
      <c r="L520">
        <v>7.45</v>
      </c>
    </row>
    <row r="521" spans="1:12" x14ac:dyDescent="0.25">
      <c r="A521" t="s">
        <v>195</v>
      </c>
      <c r="B521" t="s">
        <v>713</v>
      </c>
      <c r="C521" t="s">
        <v>714</v>
      </c>
      <c r="D521" t="s">
        <v>715</v>
      </c>
      <c r="E521" t="s">
        <v>1369</v>
      </c>
      <c r="F521">
        <v>4</v>
      </c>
      <c r="G521">
        <v>0</v>
      </c>
      <c r="H521">
        <v>67.8</v>
      </c>
      <c r="I521">
        <v>850</v>
      </c>
      <c r="J521">
        <v>275</v>
      </c>
      <c r="K521">
        <v>700</v>
      </c>
      <c r="L521">
        <v>10.45</v>
      </c>
    </row>
    <row r="522" spans="1:12" x14ac:dyDescent="0.25">
      <c r="A522" t="s">
        <v>192</v>
      </c>
      <c r="B522" t="s">
        <v>716</v>
      </c>
      <c r="C522" t="s">
        <v>717</v>
      </c>
      <c r="D522" t="s">
        <v>198</v>
      </c>
      <c r="E522" t="s">
        <v>75</v>
      </c>
      <c r="F522">
        <v>3</v>
      </c>
      <c r="G522">
        <v>0</v>
      </c>
      <c r="H522">
        <v>66.900000000000006</v>
      </c>
      <c r="I522">
        <v>700</v>
      </c>
      <c r="J522">
        <v>350</v>
      </c>
      <c r="K522">
        <v>650</v>
      </c>
      <c r="L522">
        <v>0.92</v>
      </c>
    </row>
    <row r="523" spans="1:12" x14ac:dyDescent="0.25">
      <c r="A523" t="s">
        <v>29</v>
      </c>
      <c r="B523" t="s">
        <v>252</v>
      </c>
      <c r="C523" t="s">
        <v>253</v>
      </c>
      <c r="D523" t="s">
        <v>718</v>
      </c>
      <c r="E523" t="s">
        <v>16</v>
      </c>
      <c r="F523">
        <v>2</v>
      </c>
      <c r="G523">
        <v>0</v>
      </c>
      <c r="H523">
        <v>68.900000000000006</v>
      </c>
      <c r="I523">
        <v>1000</v>
      </c>
      <c r="J523">
        <v>110</v>
      </c>
      <c r="K523">
        <v>900</v>
      </c>
      <c r="L523">
        <v>0.92</v>
      </c>
    </row>
    <row r="524" spans="1:12" x14ac:dyDescent="0.25">
      <c r="A524" t="s">
        <v>56</v>
      </c>
      <c r="B524" t="s">
        <v>719</v>
      </c>
      <c r="C524" t="s">
        <v>58</v>
      </c>
      <c r="D524" t="s">
        <v>59</v>
      </c>
      <c r="E524" t="s">
        <v>16</v>
      </c>
      <c r="F524">
        <v>2</v>
      </c>
      <c r="G524">
        <v>0</v>
      </c>
      <c r="H524">
        <v>67.5</v>
      </c>
      <c r="I524">
        <v>900</v>
      </c>
      <c r="J524">
        <v>450</v>
      </c>
      <c r="K524">
        <v>800</v>
      </c>
      <c r="L524">
        <v>7.45</v>
      </c>
    </row>
    <row r="525" spans="1:12" x14ac:dyDescent="0.25">
      <c r="A525" t="s">
        <v>195</v>
      </c>
      <c r="B525" t="s">
        <v>720</v>
      </c>
      <c r="C525" t="s">
        <v>721</v>
      </c>
      <c r="D525" t="s">
        <v>722</v>
      </c>
      <c r="E525" t="s">
        <v>16</v>
      </c>
      <c r="F525">
        <v>2</v>
      </c>
      <c r="G525">
        <v>0</v>
      </c>
      <c r="H525">
        <v>66.7</v>
      </c>
      <c r="I525">
        <v>800</v>
      </c>
      <c r="J525">
        <v>275</v>
      </c>
      <c r="K525">
        <v>700</v>
      </c>
      <c r="L525">
        <v>10.45</v>
      </c>
    </row>
    <row r="526" spans="1:12" x14ac:dyDescent="0.25">
      <c r="A526" t="s">
        <v>192</v>
      </c>
      <c r="B526" t="s">
        <v>723</v>
      </c>
      <c r="C526" t="s">
        <v>717</v>
      </c>
      <c r="D526" t="s">
        <v>724</v>
      </c>
      <c r="E526" t="s">
        <v>1369</v>
      </c>
      <c r="F526">
        <v>4</v>
      </c>
      <c r="G526">
        <v>0</v>
      </c>
      <c r="H526">
        <v>65.8</v>
      </c>
      <c r="I526">
        <v>650</v>
      </c>
      <c r="J526">
        <v>350</v>
      </c>
      <c r="K526">
        <v>650</v>
      </c>
      <c r="L526">
        <v>0.92</v>
      </c>
    </row>
    <row r="527" spans="1:12" x14ac:dyDescent="0.25">
      <c r="A527" t="s">
        <v>29</v>
      </c>
      <c r="B527" t="s">
        <v>261</v>
      </c>
      <c r="C527" t="s">
        <v>262</v>
      </c>
      <c r="D527" t="s">
        <v>725</v>
      </c>
      <c r="E527" t="s">
        <v>16</v>
      </c>
      <c r="F527">
        <v>2</v>
      </c>
      <c r="G527">
        <v>0</v>
      </c>
      <c r="H527">
        <v>65.400000000000006</v>
      </c>
      <c r="I527">
        <v>850</v>
      </c>
      <c r="J527">
        <v>110</v>
      </c>
      <c r="K527">
        <v>900</v>
      </c>
      <c r="L527">
        <v>0.92</v>
      </c>
    </row>
    <row r="528" spans="1:12" x14ac:dyDescent="0.25">
      <c r="A528" t="s">
        <v>56</v>
      </c>
      <c r="B528" t="s">
        <v>726</v>
      </c>
      <c r="C528" t="s">
        <v>460</v>
      </c>
      <c r="D528" t="s">
        <v>727</v>
      </c>
      <c r="E528" t="s">
        <v>16</v>
      </c>
      <c r="F528">
        <v>2</v>
      </c>
      <c r="G528">
        <v>0</v>
      </c>
      <c r="H528">
        <v>66.2</v>
      </c>
      <c r="I528">
        <v>800</v>
      </c>
      <c r="J528">
        <v>450</v>
      </c>
      <c r="K528">
        <v>800</v>
      </c>
      <c r="L528">
        <v>7.45</v>
      </c>
    </row>
    <row r="529" spans="1:12" x14ac:dyDescent="0.25">
      <c r="A529" t="s">
        <v>76</v>
      </c>
      <c r="B529" t="s">
        <v>77</v>
      </c>
      <c r="C529" t="s">
        <v>78</v>
      </c>
      <c r="D529" t="s">
        <v>15</v>
      </c>
      <c r="E529" t="s">
        <v>16</v>
      </c>
      <c r="F529">
        <v>2</v>
      </c>
      <c r="G529">
        <v>32000</v>
      </c>
      <c r="H529">
        <v>79.5</v>
      </c>
      <c r="I529">
        <v>1200</v>
      </c>
      <c r="J529">
        <v>330</v>
      </c>
      <c r="K529">
        <v>600</v>
      </c>
      <c r="L529">
        <v>1.65</v>
      </c>
    </row>
    <row r="530" spans="1:12" x14ac:dyDescent="0.25">
      <c r="A530" t="s">
        <v>12</v>
      </c>
      <c r="B530" t="s">
        <v>122</v>
      </c>
      <c r="C530" t="s">
        <v>644</v>
      </c>
      <c r="D530" t="s">
        <v>20</v>
      </c>
      <c r="E530" t="s">
        <v>16</v>
      </c>
      <c r="F530">
        <v>2</v>
      </c>
      <c r="G530">
        <v>54000</v>
      </c>
      <c r="H530">
        <v>82.1</v>
      </c>
      <c r="I530">
        <v>2000</v>
      </c>
      <c r="J530">
        <v>160</v>
      </c>
      <c r="K530">
        <v>1500</v>
      </c>
      <c r="L530">
        <v>1</v>
      </c>
    </row>
    <row r="531" spans="1:12" x14ac:dyDescent="0.25">
      <c r="A531" t="s">
        <v>52</v>
      </c>
      <c r="B531" t="s">
        <v>53</v>
      </c>
      <c r="C531" t="s">
        <v>54</v>
      </c>
      <c r="D531" t="s">
        <v>728</v>
      </c>
      <c r="E531" t="s">
        <v>16</v>
      </c>
      <c r="F531">
        <v>2</v>
      </c>
      <c r="G531">
        <v>0</v>
      </c>
      <c r="H531">
        <v>78.400000000000006</v>
      </c>
      <c r="I531">
        <v>1100</v>
      </c>
      <c r="J531">
        <v>120</v>
      </c>
      <c r="K531">
        <v>750</v>
      </c>
      <c r="L531">
        <v>10.45</v>
      </c>
    </row>
    <row r="532" spans="1:12" x14ac:dyDescent="0.25">
      <c r="A532" t="s">
        <v>37</v>
      </c>
      <c r="B532" t="s">
        <v>38</v>
      </c>
      <c r="C532" t="s">
        <v>39</v>
      </c>
      <c r="D532" t="s">
        <v>40</v>
      </c>
      <c r="E532" t="s">
        <v>1369</v>
      </c>
      <c r="F532">
        <v>4</v>
      </c>
      <c r="G532">
        <v>15000</v>
      </c>
      <c r="H532">
        <v>81.2</v>
      </c>
      <c r="I532">
        <v>1300</v>
      </c>
      <c r="J532">
        <v>171</v>
      </c>
      <c r="K532">
        <v>720</v>
      </c>
      <c r="L532">
        <v>0.92</v>
      </c>
    </row>
    <row r="533" spans="1:12" x14ac:dyDescent="0.25">
      <c r="A533" t="s">
        <v>105</v>
      </c>
      <c r="B533" t="s">
        <v>106</v>
      </c>
      <c r="C533" t="s">
        <v>107</v>
      </c>
      <c r="D533" t="s">
        <v>63</v>
      </c>
      <c r="E533" t="s">
        <v>16</v>
      </c>
      <c r="F533">
        <v>2</v>
      </c>
      <c r="G533">
        <v>7000</v>
      </c>
      <c r="H533">
        <v>65.8</v>
      </c>
      <c r="I533">
        <v>800</v>
      </c>
      <c r="J533">
        <v>75</v>
      </c>
      <c r="K533">
        <v>400</v>
      </c>
      <c r="L533">
        <v>0.92</v>
      </c>
    </row>
    <row r="534" spans="1:12" x14ac:dyDescent="0.25">
      <c r="A534" t="s">
        <v>76</v>
      </c>
      <c r="B534" t="s">
        <v>729</v>
      </c>
      <c r="C534" t="s">
        <v>730</v>
      </c>
      <c r="D534" t="s">
        <v>71</v>
      </c>
      <c r="E534" t="s">
        <v>16</v>
      </c>
      <c r="F534">
        <v>2</v>
      </c>
      <c r="G534">
        <v>30000</v>
      </c>
      <c r="H534">
        <v>75.599999999999994</v>
      </c>
      <c r="I534">
        <v>1100</v>
      </c>
      <c r="J534">
        <v>330</v>
      </c>
      <c r="K534">
        <v>600</v>
      </c>
      <c r="L534">
        <v>1.65</v>
      </c>
    </row>
    <row r="535" spans="1:12" x14ac:dyDescent="0.25">
      <c r="A535" t="s">
        <v>12</v>
      </c>
      <c r="B535" t="s">
        <v>94</v>
      </c>
      <c r="C535" t="s">
        <v>95</v>
      </c>
      <c r="D535" t="s">
        <v>136</v>
      </c>
      <c r="E535" t="s">
        <v>1369</v>
      </c>
      <c r="F535">
        <v>5</v>
      </c>
      <c r="G535">
        <v>48000</v>
      </c>
      <c r="H535">
        <v>68.900000000000006</v>
      </c>
      <c r="I535">
        <v>1600</v>
      </c>
      <c r="J535">
        <v>160</v>
      </c>
      <c r="K535">
        <v>1500</v>
      </c>
      <c r="L535">
        <v>1</v>
      </c>
    </row>
    <row r="536" spans="1:12" x14ac:dyDescent="0.25">
      <c r="A536" t="s">
        <v>52</v>
      </c>
      <c r="B536" t="s">
        <v>731</v>
      </c>
      <c r="C536" t="s">
        <v>732</v>
      </c>
      <c r="D536" t="s">
        <v>99</v>
      </c>
      <c r="E536" t="s">
        <v>75</v>
      </c>
      <c r="F536">
        <v>3</v>
      </c>
      <c r="G536">
        <v>0</v>
      </c>
      <c r="H536">
        <v>72.3</v>
      </c>
      <c r="I536">
        <v>900</v>
      </c>
      <c r="J536">
        <v>120</v>
      </c>
      <c r="K536">
        <v>750</v>
      </c>
      <c r="L536">
        <v>10.45</v>
      </c>
    </row>
    <row r="537" spans="1:12" x14ac:dyDescent="0.25">
      <c r="A537" t="s">
        <v>37</v>
      </c>
      <c r="B537" t="s">
        <v>190</v>
      </c>
      <c r="C537" t="s">
        <v>191</v>
      </c>
      <c r="D537" t="s">
        <v>24</v>
      </c>
      <c r="E537" t="s">
        <v>16</v>
      </c>
      <c r="F537">
        <v>2</v>
      </c>
      <c r="G537">
        <v>14500</v>
      </c>
      <c r="H537">
        <v>77.8</v>
      </c>
      <c r="I537">
        <v>1200</v>
      </c>
      <c r="J537">
        <v>171</v>
      </c>
      <c r="K537">
        <v>720</v>
      </c>
      <c r="L537">
        <v>0.92</v>
      </c>
    </row>
    <row r="538" spans="1:12" x14ac:dyDescent="0.25">
      <c r="A538" t="s">
        <v>105</v>
      </c>
      <c r="B538" t="s">
        <v>733</v>
      </c>
      <c r="C538" t="s">
        <v>734</v>
      </c>
      <c r="D538" t="s">
        <v>207</v>
      </c>
      <c r="E538" t="s">
        <v>16</v>
      </c>
      <c r="F538">
        <v>2</v>
      </c>
      <c r="G538">
        <v>6500</v>
      </c>
      <c r="H538">
        <v>62.4</v>
      </c>
      <c r="I538">
        <v>700</v>
      </c>
      <c r="J538">
        <v>75</v>
      </c>
      <c r="K538">
        <v>400</v>
      </c>
      <c r="L538">
        <v>0.92</v>
      </c>
    </row>
    <row r="539" spans="1:12" x14ac:dyDescent="0.25">
      <c r="A539" t="s">
        <v>76</v>
      </c>
      <c r="B539" t="s">
        <v>735</v>
      </c>
      <c r="C539" t="s">
        <v>736</v>
      </c>
      <c r="D539" t="s">
        <v>32</v>
      </c>
      <c r="E539" t="s">
        <v>1369</v>
      </c>
      <c r="F539">
        <v>4</v>
      </c>
      <c r="G539">
        <v>31000</v>
      </c>
      <c r="H539">
        <v>72.400000000000006</v>
      </c>
      <c r="I539">
        <v>950</v>
      </c>
      <c r="J539">
        <v>330</v>
      </c>
      <c r="K539">
        <v>600</v>
      </c>
      <c r="L539">
        <v>1.65</v>
      </c>
    </row>
    <row r="540" spans="1:12" x14ac:dyDescent="0.25">
      <c r="A540" t="s">
        <v>12</v>
      </c>
      <c r="B540" t="s">
        <v>147</v>
      </c>
      <c r="C540" t="s">
        <v>148</v>
      </c>
      <c r="D540" t="s">
        <v>630</v>
      </c>
      <c r="E540" t="s">
        <v>16</v>
      </c>
      <c r="F540">
        <v>2</v>
      </c>
      <c r="G540">
        <v>49000</v>
      </c>
      <c r="H540">
        <v>75.599999999999994</v>
      </c>
      <c r="I540">
        <v>1900</v>
      </c>
      <c r="J540">
        <v>160</v>
      </c>
      <c r="K540">
        <v>1500</v>
      </c>
      <c r="L540">
        <v>1</v>
      </c>
    </row>
    <row r="541" spans="1:12" x14ac:dyDescent="0.25">
      <c r="A541" t="s">
        <v>52</v>
      </c>
      <c r="B541" t="s">
        <v>737</v>
      </c>
      <c r="C541" t="s">
        <v>738</v>
      </c>
      <c r="D541" t="s">
        <v>739</v>
      </c>
      <c r="E541" t="s">
        <v>16</v>
      </c>
      <c r="F541">
        <v>2</v>
      </c>
      <c r="G541">
        <v>0</v>
      </c>
      <c r="H541">
        <v>71.2</v>
      </c>
      <c r="I541">
        <v>950</v>
      </c>
      <c r="J541">
        <v>120</v>
      </c>
      <c r="K541">
        <v>750</v>
      </c>
      <c r="L541">
        <v>10.45</v>
      </c>
    </row>
    <row r="542" spans="1:12" x14ac:dyDescent="0.25">
      <c r="A542" t="s">
        <v>37</v>
      </c>
      <c r="B542" t="s">
        <v>134</v>
      </c>
      <c r="C542" t="s">
        <v>135</v>
      </c>
      <c r="D542" t="s">
        <v>15</v>
      </c>
      <c r="E542" t="s">
        <v>16</v>
      </c>
      <c r="F542">
        <v>2</v>
      </c>
      <c r="G542">
        <v>15500</v>
      </c>
      <c r="H542">
        <v>76.5</v>
      </c>
      <c r="I542">
        <v>1100</v>
      </c>
      <c r="J542">
        <v>171</v>
      </c>
      <c r="K542">
        <v>720</v>
      </c>
      <c r="L542">
        <v>0.92</v>
      </c>
    </row>
    <row r="543" spans="1:12" x14ac:dyDescent="0.25">
      <c r="A543" t="s">
        <v>105</v>
      </c>
      <c r="B543" t="s">
        <v>740</v>
      </c>
      <c r="C543" t="s">
        <v>741</v>
      </c>
      <c r="D543" t="s">
        <v>20</v>
      </c>
      <c r="E543" t="s">
        <v>75</v>
      </c>
      <c r="F543">
        <v>3</v>
      </c>
      <c r="G543">
        <v>6000</v>
      </c>
      <c r="H543">
        <v>58.9</v>
      </c>
      <c r="I543">
        <v>600</v>
      </c>
      <c r="J543">
        <v>75</v>
      </c>
      <c r="K543">
        <v>400</v>
      </c>
      <c r="L543">
        <v>0.92</v>
      </c>
    </row>
    <row r="544" spans="1:12" x14ac:dyDescent="0.25">
      <c r="A544" t="s">
        <v>76</v>
      </c>
      <c r="B544" t="s">
        <v>742</v>
      </c>
      <c r="C544" t="s">
        <v>743</v>
      </c>
      <c r="D544" t="s">
        <v>215</v>
      </c>
      <c r="E544" t="s">
        <v>16</v>
      </c>
      <c r="F544">
        <v>2</v>
      </c>
      <c r="G544">
        <v>29000</v>
      </c>
      <c r="H544">
        <v>70.2</v>
      </c>
      <c r="I544">
        <v>900</v>
      </c>
      <c r="J544">
        <v>330</v>
      </c>
      <c r="K544">
        <v>600</v>
      </c>
      <c r="L544">
        <v>1.65</v>
      </c>
    </row>
    <row r="545" spans="1:12" x14ac:dyDescent="0.25">
      <c r="A545" t="s">
        <v>12</v>
      </c>
      <c r="B545" t="s">
        <v>149</v>
      </c>
      <c r="C545" t="s">
        <v>150</v>
      </c>
      <c r="D545" t="s">
        <v>63</v>
      </c>
      <c r="E545" t="s">
        <v>16</v>
      </c>
      <c r="F545">
        <v>2</v>
      </c>
      <c r="G545">
        <v>51000</v>
      </c>
      <c r="H545">
        <v>77.8</v>
      </c>
      <c r="I545">
        <v>2100</v>
      </c>
      <c r="J545">
        <v>160</v>
      </c>
      <c r="K545">
        <v>1500</v>
      </c>
      <c r="L545">
        <v>1</v>
      </c>
    </row>
    <row r="546" spans="1:12" x14ac:dyDescent="0.25">
      <c r="A546" t="s">
        <v>52</v>
      </c>
      <c r="B546" t="s">
        <v>144</v>
      </c>
      <c r="C546" t="s">
        <v>145</v>
      </c>
      <c r="D546" t="s">
        <v>51</v>
      </c>
      <c r="E546" t="s">
        <v>1369</v>
      </c>
      <c r="F546">
        <v>4</v>
      </c>
      <c r="G546">
        <v>0</v>
      </c>
      <c r="H546">
        <v>73.400000000000006</v>
      </c>
      <c r="I546">
        <v>1000</v>
      </c>
      <c r="J546">
        <v>120</v>
      </c>
      <c r="K546">
        <v>750</v>
      </c>
      <c r="L546">
        <v>10.45</v>
      </c>
    </row>
    <row r="547" spans="1:12" x14ac:dyDescent="0.25">
      <c r="A547" t="s">
        <v>37</v>
      </c>
      <c r="B547" t="s">
        <v>384</v>
      </c>
      <c r="C547" t="s">
        <v>385</v>
      </c>
      <c r="D547" t="s">
        <v>40</v>
      </c>
      <c r="E547" t="s">
        <v>16</v>
      </c>
      <c r="F547">
        <v>2</v>
      </c>
      <c r="G547">
        <v>14800</v>
      </c>
      <c r="H547">
        <v>72.3</v>
      </c>
      <c r="I547">
        <v>950</v>
      </c>
      <c r="J547">
        <v>171</v>
      </c>
      <c r="K547">
        <v>720</v>
      </c>
      <c r="L547">
        <v>0.92</v>
      </c>
    </row>
    <row r="548" spans="1:12" x14ac:dyDescent="0.25">
      <c r="A548" t="s">
        <v>105</v>
      </c>
      <c r="B548" t="s">
        <v>744</v>
      </c>
      <c r="C548" t="s">
        <v>745</v>
      </c>
      <c r="D548" t="s">
        <v>15</v>
      </c>
      <c r="E548" t="s">
        <v>16</v>
      </c>
      <c r="F548">
        <v>2</v>
      </c>
      <c r="G548">
        <v>6200</v>
      </c>
      <c r="H548">
        <v>57.8</v>
      </c>
      <c r="I548">
        <v>550</v>
      </c>
      <c r="J548">
        <v>75</v>
      </c>
      <c r="K548">
        <v>400</v>
      </c>
      <c r="L548">
        <v>0.92</v>
      </c>
    </row>
    <row r="549" spans="1:12" x14ac:dyDescent="0.25">
      <c r="A549" t="s">
        <v>76</v>
      </c>
      <c r="B549" t="s">
        <v>309</v>
      </c>
      <c r="C549" t="s">
        <v>746</v>
      </c>
      <c r="D549" t="s">
        <v>198</v>
      </c>
      <c r="E549" t="s">
        <v>16</v>
      </c>
      <c r="F549">
        <v>2</v>
      </c>
      <c r="G549">
        <v>28500</v>
      </c>
      <c r="H549">
        <v>68.900000000000006</v>
      </c>
      <c r="I549">
        <v>850</v>
      </c>
      <c r="J549">
        <v>330</v>
      </c>
      <c r="K549">
        <v>600</v>
      </c>
      <c r="L549">
        <v>1.65</v>
      </c>
    </row>
    <row r="550" spans="1:12" x14ac:dyDescent="0.25">
      <c r="A550" t="s">
        <v>12</v>
      </c>
      <c r="B550" t="s">
        <v>91</v>
      </c>
      <c r="C550" t="s">
        <v>92</v>
      </c>
      <c r="D550" t="s">
        <v>747</v>
      </c>
      <c r="E550" t="s">
        <v>1369</v>
      </c>
      <c r="F550">
        <v>5</v>
      </c>
      <c r="G550">
        <v>48000</v>
      </c>
      <c r="H550">
        <v>71.2</v>
      </c>
      <c r="I550">
        <v>1700</v>
      </c>
      <c r="J550">
        <v>160</v>
      </c>
      <c r="K550">
        <v>1500</v>
      </c>
      <c r="L550">
        <v>1</v>
      </c>
    </row>
    <row r="551" spans="1:12" x14ac:dyDescent="0.25">
      <c r="A551" t="s">
        <v>52</v>
      </c>
      <c r="B551" t="s">
        <v>748</v>
      </c>
      <c r="C551" t="s">
        <v>749</v>
      </c>
      <c r="D551" t="s">
        <v>15</v>
      </c>
      <c r="E551" t="s">
        <v>16</v>
      </c>
      <c r="F551">
        <v>2</v>
      </c>
      <c r="G551">
        <v>0</v>
      </c>
      <c r="H551">
        <v>69.8</v>
      </c>
      <c r="I551">
        <v>850</v>
      </c>
      <c r="J551">
        <v>120</v>
      </c>
      <c r="K551">
        <v>750</v>
      </c>
      <c r="L551">
        <v>10.45</v>
      </c>
    </row>
    <row r="552" spans="1:12" x14ac:dyDescent="0.25">
      <c r="A552" t="s">
        <v>37</v>
      </c>
      <c r="B552" t="s">
        <v>397</v>
      </c>
      <c r="C552" t="s">
        <v>398</v>
      </c>
      <c r="D552" t="s">
        <v>20</v>
      </c>
      <c r="E552" t="s">
        <v>75</v>
      </c>
      <c r="F552">
        <v>3</v>
      </c>
      <c r="G552">
        <v>13900</v>
      </c>
      <c r="H552">
        <v>75.400000000000006</v>
      </c>
      <c r="I552">
        <v>1100</v>
      </c>
      <c r="J552">
        <v>171</v>
      </c>
      <c r="K552">
        <v>720</v>
      </c>
      <c r="L552">
        <v>0.92</v>
      </c>
    </row>
    <row r="553" spans="1:12" x14ac:dyDescent="0.25">
      <c r="A553" t="s">
        <v>105</v>
      </c>
      <c r="B553" t="s">
        <v>750</v>
      </c>
      <c r="C553" t="s">
        <v>751</v>
      </c>
      <c r="D553" t="s">
        <v>136</v>
      </c>
      <c r="E553" t="s">
        <v>1369</v>
      </c>
      <c r="F553">
        <v>4</v>
      </c>
      <c r="G553">
        <v>6800</v>
      </c>
      <c r="H553">
        <v>56.7</v>
      </c>
      <c r="I553">
        <v>500</v>
      </c>
      <c r="J553">
        <v>75</v>
      </c>
      <c r="K553">
        <v>400</v>
      </c>
      <c r="L553">
        <v>0.92</v>
      </c>
    </row>
    <row r="554" spans="1:12" x14ac:dyDescent="0.25">
      <c r="A554" t="s">
        <v>76</v>
      </c>
      <c r="B554" t="s">
        <v>752</v>
      </c>
      <c r="C554" t="s">
        <v>753</v>
      </c>
      <c r="D554" t="s">
        <v>63</v>
      </c>
      <c r="E554" t="s">
        <v>75</v>
      </c>
      <c r="F554">
        <v>3</v>
      </c>
      <c r="G554">
        <v>27500</v>
      </c>
      <c r="H554">
        <v>67.5</v>
      </c>
      <c r="I554">
        <v>800</v>
      </c>
      <c r="J554">
        <v>330</v>
      </c>
      <c r="K554">
        <v>600</v>
      </c>
      <c r="L554">
        <v>1.65</v>
      </c>
    </row>
    <row r="555" spans="1:12" x14ac:dyDescent="0.25">
      <c r="A555" t="s">
        <v>12</v>
      </c>
      <c r="B555" t="s">
        <v>329</v>
      </c>
      <c r="C555" t="s">
        <v>330</v>
      </c>
      <c r="D555" t="s">
        <v>207</v>
      </c>
      <c r="E555" t="s">
        <v>16</v>
      </c>
      <c r="F555">
        <v>2</v>
      </c>
      <c r="G555">
        <v>56000</v>
      </c>
      <c r="H555">
        <v>65.400000000000006</v>
      </c>
      <c r="I555">
        <v>1500</v>
      </c>
      <c r="J555">
        <v>160</v>
      </c>
      <c r="K555">
        <v>1500</v>
      </c>
      <c r="L555">
        <v>1</v>
      </c>
    </row>
    <row r="556" spans="1:12" x14ac:dyDescent="0.25">
      <c r="A556" t="s">
        <v>52</v>
      </c>
      <c r="B556" t="s">
        <v>754</v>
      </c>
      <c r="C556" t="s">
        <v>755</v>
      </c>
      <c r="D556" t="s">
        <v>40</v>
      </c>
      <c r="E556" t="s">
        <v>16</v>
      </c>
      <c r="F556">
        <v>2</v>
      </c>
      <c r="G556">
        <v>0</v>
      </c>
      <c r="H556">
        <v>68.5</v>
      </c>
      <c r="I556">
        <v>800</v>
      </c>
      <c r="J556">
        <v>120</v>
      </c>
      <c r="K556">
        <v>750</v>
      </c>
      <c r="L556">
        <v>10.45</v>
      </c>
    </row>
    <row r="557" spans="1:12" x14ac:dyDescent="0.25">
      <c r="A557" t="s">
        <v>37</v>
      </c>
      <c r="B557" t="s">
        <v>388</v>
      </c>
      <c r="C557" t="s">
        <v>389</v>
      </c>
      <c r="D557" t="s">
        <v>244</v>
      </c>
      <c r="E557" t="s">
        <v>1369</v>
      </c>
      <c r="F557">
        <v>4</v>
      </c>
      <c r="G557">
        <v>14200</v>
      </c>
      <c r="H557">
        <v>71.2</v>
      </c>
      <c r="I557">
        <v>900</v>
      </c>
      <c r="J557">
        <v>171</v>
      </c>
      <c r="K557">
        <v>720</v>
      </c>
      <c r="L557">
        <v>0.92</v>
      </c>
    </row>
    <row r="558" spans="1:12" x14ac:dyDescent="0.25">
      <c r="A558" t="s">
        <v>105</v>
      </c>
      <c r="B558" t="s">
        <v>756</v>
      </c>
      <c r="C558" t="s">
        <v>757</v>
      </c>
      <c r="D558" t="s">
        <v>215</v>
      </c>
      <c r="E558" t="s">
        <v>16</v>
      </c>
      <c r="F558">
        <v>2</v>
      </c>
      <c r="G558">
        <v>5900</v>
      </c>
      <c r="H558">
        <v>55.4</v>
      </c>
      <c r="I558">
        <v>480</v>
      </c>
      <c r="J558">
        <v>75</v>
      </c>
      <c r="K558">
        <v>400</v>
      </c>
      <c r="L558">
        <v>0.92</v>
      </c>
    </row>
    <row r="559" spans="1:12" x14ac:dyDescent="0.25">
      <c r="A559" t="s">
        <v>76</v>
      </c>
      <c r="B559" t="s">
        <v>77</v>
      </c>
      <c r="C559" t="s">
        <v>758</v>
      </c>
      <c r="D559" t="s">
        <v>71</v>
      </c>
      <c r="E559" t="s">
        <v>16</v>
      </c>
      <c r="F559">
        <v>2</v>
      </c>
      <c r="G559">
        <v>29500</v>
      </c>
      <c r="H559">
        <v>79.5</v>
      </c>
      <c r="I559">
        <v>1150</v>
      </c>
      <c r="J559">
        <v>330</v>
      </c>
      <c r="K559">
        <v>600</v>
      </c>
      <c r="L559">
        <v>1.65</v>
      </c>
    </row>
    <row r="560" spans="1:12" x14ac:dyDescent="0.25">
      <c r="A560" t="s">
        <v>12</v>
      </c>
      <c r="B560" t="s">
        <v>522</v>
      </c>
      <c r="C560" t="s">
        <v>523</v>
      </c>
      <c r="D560" t="s">
        <v>15</v>
      </c>
      <c r="E560" t="s">
        <v>16</v>
      </c>
      <c r="F560">
        <v>2</v>
      </c>
      <c r="G560">
        <v>47000</v>
      </c>
      <c r="H560">
        <v>67.8</v>
      </c>
      <c r="I560">
        <v>1400</v>
      </c>
      <c r="J560">
        <v>160</v>
      </c>
      <c r="K560">
        <v>1500</v>
      </c>
      <c r="L560">
        <v>1</v>
      </c>
    </row>
    <row r="561" spans="1:12" x14ac:dyDescent="0.25">
      <c r="A561" t="s">
        <v>52</v>
      </c>
      <c r="B561" t="s">
        <v>759</v>
      </c>
      <c r="C561" t="s">
        <v>760</v>
      </c>
      <c r="D561" t="s">
        <v>215</v>
      </c>
      <c r="E561" t="s">
        <v>75</v>
      </c>
      <c r="F561">
        <v>3</v>
      </c>
      <c r="G561">
        <v>0</v>
      </c>
      <c r="H561">
        <v>67.2</v>
      </c>
      <c r="I561">
        <v>750</v>
      </c>
      <c r="J561">
        <v>120</v>
      </c>
      <c r="K561">
        <v>750</v>
      </c>
      <c r="L561">
        <v>10.45</v>
      </c>
    </row>
    <row r="562" spans="1:12" x14ac:dyDescent="0.25">
      <c r="A562" t="s">
        <v>37</v>
      </c>
      <c r="B562" t="s">
        <v>395</v>
      </c>
      <c r="C562" t="s">
        <v>396</v>
      </c>
      <c r="D562" t="s">
        <v>20</v>
      </c>
      <c r="E562" t="s">
        <v>16</v>
      </c>
      <c r="F562">
        <v>2</v>
      </c>
      <c r="G562">
        <v>14000</v>
      </c>
      <c r="H562">
        <v>70.5</v>
      </c>
      <c r="I562">
        <v>950</v>
      </c>
      <c r="J562">
        <v>171</v>
      </c>
      <c r="K562">
        <v>720</v>
      </c>
      <c r="L562">
        <v>0.92</v>
      </c>
    </row>
    <row r="563" spans="1:12" x14ac:dyDescent="0.25">
      <c r="A563" t="s">
        <v>105</v>
      </c>
      <c r="B563" t="s">
        <v>761</v>
      </c>
      <c r="C563" t="s">
        <v>762</v>
      </c>
      <c r="D563" t="s">
        <v>63</v>
      </c>
      <c r="E563" t="s">
        <v>16</v>
      </c>
      <c r="F563">
        <v>2</v>
      </c>
      <c r="G563">
        <v>5700</v>
      </c>
      <c r="H563">
        <v>54.3</v>
      </c>
      <c r="I563">
        <v>450</v>
      </c>
      <c r="J563">
        <v>75</v>
      </c>
      <c r="K563">
        <v>400</v>
      </c>
      <c r="L563">
        <v>0.92</v>
      </c>
    </row>
    <row r="564" spans="1:12" x14ac:dyDescent="0.25">
      <c r="A564" t="s">
        <v>76</v>
      </c>
      <c r="B564" t="s">
        <v>735</v>
      </c>
      <c r="C564" t="s">
        <v>763</v>
      </c>
      <c r="D564" t="s">
        <v>764</v>
      </c>
      <c r="E564" t="s">
        <v>1369</v>
      </c>
      <c r="F564">
        <v>4</v>
      </c>
      <c r="G564">
        <v>28000</v>
      </c>
      <c r="H564">
        <v>72.400000000000006</v>
      </c>
      <c r="I564">
        <v>900</v>
      </c>
      <c r="J564">
        <v>330</v>
      </c>
      <c r="K564">
        <v>600</v>
      </c>
      <c r="L564">
        <v>1.65</v>
      </c>
    </row>
    <row r="565" spans="1:12" x14ac:dyDescent="0.25">
      <c r="A565" t="s">
        <v>12</v>
      </c>
      <c r="B565" t="s">
        <v>287</v>
      </c>
      <c r="C565" t="s">
        <v>288</v>
      </c>
      <c r="D565" t="s">
        <v>20</v>
      </c>
      <c r="E565" t="s">
        <v>16</v>
      </c>
      <c r="F565">
        <v>2</v>
      </c>
      <c r="G565">
        <v>48000</v>
      </c>
      <c r="H565">
        <v>73.2</v>
      </c>
      <c r="I565">
        <v>1600</v>
      </c>
      <c r="J565">
        <v>160</v>
      </c>
      <c r="K565">
        <v>1500</v>
      </c>
      <c r="L565">
        <v>1</v>
      </c>
    </row>
    <row r="566" spans="1:12" x14ac:dyDescent="0.25">
      <c r="A566" t="s">
        <v>52</v>
      </c>
      <c r="B566" t="s">
        <v>765</v>
      </c>
      <c r="C566" t="s">
        <v>766</v>
      </c>
      <c r="D566" t="s">
        <v>207</v>
      </c>
      <c r="E566" t="s">
        <v>16</v>
      </c>
      <c r="F566">
        <v>2</v>
      </c>
      <c r="G566">
        <v>0</v>
      </c>
      <c r="H566">
        <v>66.5</v>
      </c>
      <c r="I566">
        <v>700</v>
      </c>
      <c r="J566">
        <v>120</v>
      </c>
      <c r="K566">
        <v>750</v>
      </c>
      <c r="L566">
        <v>10.45</v>
      </c>
    </row>
    <row r="567" spans="1:12" x14ac:dyDescent="0.25">
      <c r="A567" t="s">
        <v>37</v>
      </c>
      <c r="B567" t="s">
        <v>402</v>
      </c>
      <c r="C567" t="s">
        <v>403</v>
      </c>
      <c r="D567" t="s">
        <v>59</v>
      </c>
      <c r="E567" t="s">
        <v>16</v>
      </c>
      <c r="F567">
        <v>2</v>
      </c>
      <c r="G567">
        <v>14500</v>
      </c>
      <c r="H567">
        <v>69.8</v>
      </c>
      <c r="I567">
        <v>900</v>
      </c>
      <c r="J567">
        <v>171</v>
      </c>
      <c r="K567">
        <v>720</v>
      </c>
      <c r="L567">
        <v>0.92</v>
      </c>
    </row>
    <row r="568" spans="1:12" x14ac:dyDescent="0.25">
      <c r="A568" t="s">
        <v>105</v>
      </c>
      <c r="B568" t="s">
        <v>767</v>
      </c>
      <c r="C568" t="s">
        <v>768</v>
      </c>
      <c r="D568" t="s">
        <v>769</v>
      </c>
      <c r="E568" t="s">
        <v>75</v>
      </c>
      <c r="F568">
        <v>3</v>
      </c>
      <c r="G568">
        <v>5500</v>
      </c>
      <c r="H568">
        <v>53.2</v>
      </c>
      <c r="I568">
        <v>400</v>
      </c>
      <c r="J568">
        <v>75</v>
      </c>
      <c r="K568">
        <v>400</v>
      </c>
      <c r="L568">
        <v>0.92</v>
      </c>
    </row>
    <row r="569" spans="1:12" x14ac:dyDescent="0.25">
      <c r="A569" t="s">
        <v>183</v>
      </c>
      <c r="B569" t="s">
        <v>770</v>
      </c>
      <c r="C569" t="s">
        <v>771</v>
      </c>
      <c r="D569" t="s">
        <v>15</v>
      </c>
      <c r="E569" t="s">
        <v>16</v>
      </c>
      <c r="F569">
        <v>2</v>
      </c>
      <c r="G569">
        <v>3500</v>
      </c>
      <c r="H569">
        <v>71.400000000000006</v>
      </c>
      <c r="I569">
        <v>1100</v>
      </c>
      <c r="J569">
        <v>80</v>
      </c>
      <c r="K569">
        <v>750</v>
      </c>
      <c r="L569">
        <v>0.92</v>
      </c>
    </row>
    <row r="570" spans="1:12" x14ac:dyDescent="0.25">
      <c r="A570" t="s">
        <v>186</v>
      </c>
      <c r="B570" t="s">
        <v>187</v>
      </c>
      <c r="C570" t="s">
        <v>188</v>
      </c>
      <c r="D570" t="s">
        <v>251</v>
      </c>
      <c r="E570" t="s">
        <v>16</v>
      </c>
      <c r="F570">
        <v>2</v>
      </c>
      <c r="G570">
        <v>4000</v>
      </c>
      <c r="H570">
        <v>73.2</v>
      </c>
      <c r="I570">
        <v>1200</v>
      </c>
      <c r="J570">
        <v>120</v>
      </c>
      <c r="K570">
        <v>700</v>
      </c>
      <c r="L570">
        <v>0.92</v>
      </c>
    </row>
    <row r="571" spans="1:12" x14ac:dyDescent="0.25">
      <c r="A571" t="s">
        <v>348</v>
      </c>
      <c r="B571" t="s">
        <v>349</v>
      </c>
      <c r="C571" t="s">
        <v>350</v>
      </c>
      <c r="D571" t="s">
        <v>124</v>
      </c>
      <c r="E571" t="s">
        <v>1369</v>
      </c>
      <c r="F571">
        <v>4</v>
      </c>
      <c r="G571">
        <v>0</v>
      </c>
      <c r="H571">
        <v>65.8</v>
      </c>
      <c r="I571">
        <v>650</v>
      </c>
      <c r="J571">
        <v>100</v>
      </c>
      <c r="K571">
        <v>600</v>
      </c>
      <c r="L571">
        <v>0.92</v>
      </c>
    </row>
    <row r="572" spans="1:12" x14ac:dyDescent="0.25">
      <c r="A572" t="s">
        <v>80</v>
      </c>
      <c r="B572" t="s">
        <v>81</v>
      </c>
      <c r="C572" t="s">
        <v>772</v>
      </c>
      <c r="D572" t="s">
        <v>207</v>
      </c>
      <c r="E572" t="s">
        <v>16</v>
      </c>
      <c r="F572">
        <v>2</v>
      </c>
      <c r="G572">
        <v>1500</v>
      </c>
      <c r="H572">
        <v>78.5</v>
      </c>
      <c r="I572">
        <v>950</v>
      </c>
      <c r="J572">
        <v>160</v>
      </c>
      <c r="K572">
        <v>850</v>
      </c>
      <c r="L572">
        <v>0.92</v>
      </c>
    </row>
    <row r="573" spans="1:12" x14ac:dyDescent="0.25">
      <c r="A573" t="s">
        <v>345</v>
      </c>
      <c r="B573" t="s">
        <v>346</v>
      </c>
      <c r="C573" t="s">
        <v>347</v>
      </c>
      <c r="D573" t="s">
        <v>63</v>
      </c>
      <c r="E573" t="s">
        <v>75</v>
      </c>
      <c r="F573">
        <v>4</v>
      </c>
      <c r="G573">
        <v>800</v>
      </c>
      <c r="H573">
        <v>52.4</v>
      </c>
      <c r="I573">
        <v>600</v>
      </c>
      <c r="J573">
        <v>40</v>
      </c>
      <c r="K573">
        <v>400</v>
      </c>
      <c r="L573">
        <v>17.05</v>
      </c>
    </row>
    <row r="574" spans="1:12" x14ac:dyDescent="0.25">
      <c r="A574" t="s">
        <v>183</v>
      </c>
      <c r="B574" t="s">
        <v>184</v>
      </c>
      <c r="C574" t="s">
        <v>773</v>
      </c>
      <c r="D574" t="s">
        <v>40</v>
      </c>
      <c r="E574" t="s">
        <v>16</v>
      </c>
      <c r="F574">
        <v>2</v>
      </c>
      <c r="G574">
        <v>3800</v>
      </c>
      <c r="H574">
        <v>73.599999999999994</v>
      </c>
      <c r="I574">
        <v>1000</v>
      </c>
      <c r="J574">
        <v>80</v>
      </c>
      <c r="K574">
        <v>750</v>
      </c>
      <c r="L574">
        <v>0.92</v>
      </c>
    </row>
    <row r="575" spans="1:12" x14ac:dyDescent="0.25">
      <c r="A575" t="s">
        <v>186</v>
      </c>
      <c r="B575" t="s">
        <v>774</v>
      </c>
      <c r="C575" t="s">
        <v>775</v>
      </c>
      <c r="D575" t="s">
        <v>136</v>
      </c>
      <c r="E575" t="s">
        <v>1369</v>
      </c>
      <c r="F575">
        <v>4</v>
      </c>
      <c r="G575">
        <v>3500</v>
      </c>
      <c r="H575">
        <v>71.2</v>
      </c>
      <c r="I575">
        <v>1100</v>
      </c>
      <c r="J575">
        <v>120</v>
      </c>
      <c r="K575">
        <v>700</v>
      </c>
      <c r="L575">
        <v>0.92</v>
      </c>
    </row>
    <row r="576" spans="1:12" x14ac:dyDescent="0.25">
      <c r="A576" t="s">
        <v>348</v>
      </c>
      <c r="B576" t="s">
        <v>776</v>
      </c>
      <c r="C576" t="s">
        <v>777</v>
      </c>
      <c r="D576" t="s">
        <v>63</v>
      </c>
      <c r="E576" t="s">
        <v>16</v>
      </c>
      <c r="F576">
        <v>2</v>
      </c>
      <c r="G576">
        <v>0</v>
      </c>
      <c r="H576">
        <v>62.4</v>
      </c>
      <c r="I576">
        <v>500</v>
      </c>
      <c r="J576">
        <v>100</v>
      </c>
      <c r="K576">
        <v>600</v>
      </c>
      <c r="L576">
        <v>0.92</v>
      </c>
    </row>
    <row r="577" spans="1:12" x14ac:dyDescent="0.25">
      <c r="A577" t="s">
        <v>80</v>
      </c>
      <c r="B577" t="s">
        <v>778</v>
      </c>
      <c r="C577" t="s">
        <v>779</v>
      </c>
      <c r="D577" t="s">
        <v>32</v>
      </c>
      <c r="E577" t="s">
        <v>75</v>
      </c>
      <c r="F577">
        <v>3</v>
      </c>
      <c r="G577">
        <v>1500</v>
      </c>
      <c r="H577">
        <v>71.2</v>
      </c>
      <c r="I577">
        <v>750</v>
      </c>
      <c r="J577">
        <v>160</v>
      </c>
      <c r="K577">
        <v>850</v>
      </c>
      <c r="L577">
        <v>0.92</v>
      </c>
    </row>
    <row r="578" spans="1:12" x14ac:dyDescent="0.25">
      <c r="A578" t="s">
        <v>345</v>
      </c>
      <c r="B578" t="s">
        <v>780</v>
      </c>
      <c r="C578" t="s">
        <v>781</v>
      </c>
      <c r="D578" t="s">
        <v>20</v>
      </c>
      <c r="E578" t="s">
        <v>16</v>
      </c>
      <c r="F578">
        <v>2</v>
      </c>
      <c r="G578">
        <v>12000</v>
      </c>
      <c r="H578">
        <v>48.9</v>
      </c>
      <c r="I578">
        <v>700</v>
      </c>
      <c r="J578">
        <v>40</v>
      </c>
      <c r="K578">
        <v>400</v>
      </c>
      <c r="L578">
        <v>17.05</v>
      </c>
    </row>
    <row r="579" spans="1:12" x14ac:dyDescent="0.25">
      <c r="A579" t="s">
        <v>183</v>
      </c>
      <c r="B579" t="s">
        <v>782</v>
      </c>
      <c r="C579" t="s">
        <v>783</v>
      </c>
      <c r="D579" t="s">
        <v>20</v>
      </c>
      <c r="E579" t="s">
        <v>16</v>
      </c>
      <c r="F579">
        <v>2</v>
      </c>
      <c r="G579">
        <v>3200</v>
      </c>
      <c r="H579">
        <v>68.5</v>
      </c>
      <c r="I579">
        <v>800</v>
      </c>
      <c r="J579">
        <v>80</v>
      </c>
      <c r="K579">
        <v>750</v>
      </c>
      <c r="L579">
        <v>0.92</v>
      </c>
    </row>
    <row r="580" spans="1:12" x14ac:dyDescent="0.25">
      <c r="A580" t="s">
        <v>186</v>
      </c>
      <c r="B580" t="s">
        <v>784</v>
      </c>
      <c r="C580" t="s">
        <v>785</v>
      </c>
      <c r="D580" t="s">
        <v>63</v>
      </c>
      <c r="E580" t="s">
        <v>16</v>
      </c>
      <c r="F580">
        <v>2</v>
      </c>
      <c r="G580">
        <v>3800</v>
      </c>
      <c r="H580">
        <v>69.8</v>
      </c>
      <c r="I580">
        <v>900</v>
      </c>
      <c r="J580">
        <v>120</v>
      </c>
      <c r="K580">
        <v>700</v>
      </c>
      <c r="L580">
        <v>0.92</v>
      </c>
    </row>
    <row r="581" spans="1:12" x14ac:dyDescent="0.25">
      <c r="A581" t="s">
        <v>348</v>
      </c>
      <c r="B581" t="s">
        <v>786</v>
      </c>
      <c r="C581" t="s">
        <v>787</v>
      </c>
      <c r="D581" t="s">
        <v>788</v>
      </c>
      <c r="E581" t="s">
        <v>1369</v>
      </c>
      <c r="F581">
        <v>4</v>
      </c>
      <c r="G581">
        <v>0</v>
      </c>
      <c r="H581">
        <v>60.5</v>
      </c>
      <c r="I581">
        <v>450</v>
      </c>
      <c r="J581">
        <v>100</v>
      </c>
      <c r="K581">
        <v>600</v>
      </c>
      <c r="L581">
        <v>0.92</v>
      </c>
    </row>
    <row r="582" spans="1:12" x14ac:dyDescent="0.25">
      <c r="A582" t="s">
        <v>80</v>
      </c>
      <c r="B582" t="s">
        <v>789</v>
      </c>
      <c r="C582" t="s">
        <v>790</v>
      </c>
      <c r="D582" t="s">
        <v>40</v>
      </c>
      <c r="E582" t="s">
        <v>16</v>
      </c>
      <c r="F582">
        <v>2</v>
      </c>
      <c r="G582">
        <v>1500</v>
      </c>
      <c r="H582">
        <v>70.400000000000006</v>
      </c>
      <c r="I582">
        <v>700</v>
      </c>
      <c r="J582">
        <v>160</v>
      </c>
      <c r="K582">
        <v>850</v>
      </c>
      <c r="L582">
        <v>0.92</v>
      </c>
    </row>
    <row r="583" spans="1:12" x14ac:dyDescent="0.25">
      <c r="A583" t="s">
        <v>345</v>
      </c>
      <c r="B583" t="s">
        <v>791</v>
      </c>
      <c r="C583" t="s">
        <v>792</v>
      </c>
      <c r="D583" t="s">
        <v>207</v>
      </c>
      <c r="E583" t="s">
        <v>75</v>
      </c>
      <c r="F583">
        <v>4</v>
      </c>
      <c r="G583">
        <v>900</v>
      </c>
      <c r="H583">
        <v>45.6</v>
      </c>
      <c r="I583">
        <v>500</v>
      </c>
      <c r="J583">
        <v>40</v>
      </c>
      <c r="K583">
        <v>400</v>
      </c>
      <c r="L583">
        <v>17.05</v>
      </c>
    </row>
    <row r="584" spans="1:12" x14ac:dyDescent="0.25">
      <c r="A584" t="s">
        <v>183</v>
      </c>
      <c r="B584" t="s">
        <v>793</v>
      </c>
      <c r="C584" t="s">
        <v>794</v>
      </c>
      <c r="D584" t="s">
        <v>136</v>
      </c>
      <c r="E584" t="s">
        <v>16</v>
      </c>
      <c r="F584">
        <v>2</v>
      </c>
      <c r="G584">
        <v>3000</v>
      </c>
      <c r="H584">
        <v>65.400000000000006</v>
      </c>
      <c r="I584">
        <v>750</v>
      </c>
      <c r="J584">
        <v>80</v>
      </c>
      <c r="K584">
        <v>750</v>
      </c>
      <c r="L584">
        <v>0.92</v>
      </c>
    </row>
    <row r="585" spans="1:12" x14ac:dyDescent="0.25">
      <c r="A585" t="s">
        <v>186</v>
      </c>
      <c r="B585" t="s">
        <v>795</v>
      </c>
      <c r="C585" t="s">
        <v>796</v>
      </c>
      <c r="D585" t="s">
        <v>222</v>
      </c>
      <c r="E585" t="s">
        <v>1369</v>
      </c>
      <c r="F585">
        <v>4</v>
      </c>
      <c r="G585">
        <v>3600</v>
      </c>
      <c r="H585">
        <v>70.5</v>
      </c>
      <c r="I585">
        <v>950</v>
      </c>
      <c r="J585">
        <v>120</v>
      </c>
      <c r="K585">
        <v>700</v>
      </c>
      <c r="L585">
        <v>0.92</v>
      </c>
    </row>
    <row r="586" spans="1:12" x14ac:dyDescent="0.25">
      <c r="A586" t="s">
        <v>348</v>
      </c>
      <c r="B586" t="s">
        <v>797</v>
      </c>
      <c r="C586" t="s">
        <v>798</v>
      </c>
      <c r="D586" t="s">
        <v>15</v>
      </c>
      <c r="E586" t="s">
        <v>16</v>
      </c>
      <c r="F586">
        <v>2</v>
      </c>
      <c r="G586">
        <v>0</v>
      </c>
      <c r="H586">
        <v>61.2</v>
      </c>
      <c r="I586">
        <v>480</v>
      </c>
      <c r="J586">
        <v>100</v>
      </c>
      <c r="K586">
        <v>600</v>
      </c>
      <c r="L586">
        <v>0.92</v>
      </c>
    </row>
    <row r="587" spans="1:12" x14ac:dyDescent="0.25">
      <c r="A587" t="s">
        <v>80</v>
      </c>
      <c r="B587" t="s">
        <v>799</v>
      </c>
      <c r="C587" t="s">
        <v>800</v>
      </c>
      <c r="D587" t="s">
        <v>71</v>
      </c>
      <c r="E587" t="s">
        <v>75</v>
      </c>
      <c r="F587">
        <v>3</v>
      </c>
      <c r="G587">
        <v>1500</v>
      </c>
      <c r="H587">
        <v>72.3</v>
      </c>
      <c r="I587">
        <v>800</v>
      </c>
      <c r="J587">
        <v>160</v>
      </c>
      <c r="K587">
        <v>850</v>
      </c>
      <c r="L587">
        <v>0.92</v>
      </c>
    </row>
    <row r="588" spans="1:12" x14ac:dyDescent="0.25">
      <c r="A588" t="s">
        <v>345</v>
      </c>
      <c r="B588" t="s">
        <v>801</v>
      </c>
      <c r="C588" t="s">
        <v>802</v>
      </c>
      <c r="D588" t="s">
        <v>63</v>
      </c>
      <c r="E588" t="s">
        <v>16</v>
      </c>
      <c r="F588">
        <v>2</v>
      </c>
      <c r="G588">
        <v>10000</v>
      </c>
      <c r="H588">
        <v>44.5</v>
      </c>
      <c r="I588">
        <v>450</v>
      </c>
      <c r="J588">
        <v>40</v>
      </c>
      <c r="K588">
        <v>400</v>
      </c>
      <c r="L588">
        <v>17.05</v>
      </c>
    </row>
    <row r="589" spans="1:12" x14ac:dyDescent="0.25">
      <c r="A589" t="s">
        <v>183</v>
      </c>
      <c r="B589" t="s">
        <v>803</v>
      </c>
      <c r="C589" t="s">
        <v>804</v>
      </c>
      <c r="D589" t="s">
        <v>15</v>
      </c>
      <c r="E589" t="s">
        <v>1369</v>
      </c>
      <c r="F589">
        <v>4</v>
      </c>
      <c r="G589">
        <v>3400</v>
      </c>
      <c r="H589">
        <v>67.8</v>
      </c>
      <c r="I589">
        <v>850</v>
      </c>
      <c r="J589">
        <v>80</v>
      </c>
      <c r="K589">
        <v>750</v>
      </c>
      <c r="L589">
        <v>0.92</v>
      </c>
    </row>
    <row r="590" spans="1:12" x14ac:dyDescent="0.25">
      <c r="A590" t="s">
        <v>186</v>
      </c>
      <c r="B590" t="s">
        <v>805</v>
      </c>
      <c r="C590" t="s">
        <v>806</v>
      </c>
      <c r="D590" t="s">
        <v>300</v>
      </c>
      <c r="E590" t="s">
        <v>16</v>
      </c>
      <c r="F590">
        <v>2</v>
      </c>
      <c r="G590">
        <v>3500</v>
      </c>
      <c r="H590">
        <v>71.2</v>
      </c>
      <c r="I590">
        <v>1000</v>
      </c>
      <c r="J590">
        <v>120</v>
      </c>
      <c r="K590">
        <v>700</v>
      </c>
      <c r="L590">
        <v>0.92</v>
      </c>
    </row>
    <row r="591" spans="1:12" x14ac:dyDescent="0.25">
      <c r="A591" t="s">
        <v>348</v>
      </c>
      <c r="B591" t="s">
        <v>807</v>
      </c>
      <c r="C591" t="s">
        <v>808</v>
      </c>
      <c r="D591" t="s">
        <v>434</v>
      </c>
      <c r="E591" t="s">
        <v>16</v>
      </c>
      <c r="F591">
        <v>2</v>
      </c>
      <c r="G591">
        <v>0</v>
      </c>
      <c r="H591">
        <v>59.8</v>
      </c>
      <c r="I591">
        <v>400</v>
      </c>
      <c r="J591">
        <v>100</v>
      </c>
      <c r="K591">
        <v>600</v>
      </c>
      <c r="L591">
        <v>0.92</v>
      </c>
    </row>
    <row r="592" spans="1:12" x14ac:dyDescent="0.25">
      <c r="A592" t="s">
        <v>80</v>
      </c>
      <c r="B592" t="s">
        <v>809</v>
      </c>
      <c r="C592" t="s">
        <v>810</v>
      </c>
      <c r="D592" t="s">
        <v>696</v>
      </c>
      <c r="E592" t="s">
        <v>16</v>
      </c>
      <c r="F592">
        <v>2</v>
      </c>
      <c r="G592">
        <v>1500</v>
      </c>
      <c r="H592">
        <v>71.5</v>
      </c>
      <c r="I592">
        <v>780</v>
      </c>
      <c r="J592">
        <v>160</v>
      </c>
      <c r="K592">
        <v>850</v>
      </c>
      <c r="L592">
        <v>0.92</v>
      </c>
    </row>
    <row r="593" spans="1:12" x14ac:dyDescent="0.25">
      <c r="A593" t="s">
        <v>345</v>
      </c>
      <c r="B593" t="s">
        <v>811</v>
      </c>
      <c r="C593" t="s">
        <v>812</v>
      </c>
      <c r="D593" t="s">
        <v>71</v>
      </c>
      <c r="E593" t="s">
        <v>75</v>
      </c>
      <c r="F593">
        <v>4</v>
      </c>
      <c r="G593">
        <v>11000</v>
      </c>
      <c r="H593">
        <v>46.7</v>
      </c>
      <c r="I593">
        <v>480</v>
      </c>
      <c r="J593">
        <v>40</v>
      </c>
      <c r="K593">
        <v>400</v>
      </c>
      <c r="L593">
        <v>17.05</v>
      </c>
    </row>
    <row r="594" spans="1:12" x14ac:dyDescent="0.25">
      <c r="A594" t="s">
        <v>183</v>
      </c>
      <c r="B594" t="s">
        <v>813</v>
      </c>
      <c r="C594" t="s">
        <v>814</v>
      </c>
      <c r="D594" t="s">
        <v>40</v>
      </c>
      <c r="E594" t="s">
        <v>16</v>
      </c>
      <c r="F594">
        <v>2</v>
      </c>
      <c r="G594">
        <v>2800</v>
      </c>
      <c r="H594">
        <v>64.5</v>
      </c>
      <c r="I594">
        <v>700</v>
      </c>
      <c r="J594">
        <v>80</v>
      </c>
      <c r="K594">
        <v>750</v>
      </c>
      <c r="L594">
        <v>0.92</v>
      </c>
    </row>
    <row r="595" spans="1:12" x14ac:dyDescent="0.25">
      <c r="A595" t="s">
        <v>186</v>
      </c>
      <c r="B595" t="s">
        <v>815</v>
      </c>
      <c r="C595" t="s">
        <v>816</v>
      </c>
      <c r="D595" t="s">
        <v>207</v>
      </c>
      <c r="E595" t="s">
        <v>1369</v>
      </c>
      <c r="F595">
        <v>4</v>
      </c>
      <c r="G595">
        <v>3200</v>
      </c>
      <c r="H595">
        <v>67.8</v>
      </c>
      <c r="I595">
        <v>800</v>
      </c>
      <c r="J595">
        <v>120</v>
      </c>
      <c r="K595">
        <v>700</v>
      </c>
      <c r="L595">
        <v>0.92</v>
      </c>
    </row>
    <row r="596" spans="1:12" x14ac:dyDescent="0.25">
      <c r="A596" t="s">
        <v>348</v>
      </c>
      <c r="B596" t="s">
        <v>817</v>
      </c>
      <c r="C596" t="s">
        <v>818</v>
      </c>
      <c r="D596" t="s">
        <v>215</v>
      </c>
      <c r="E596" t="s">
        <v>75</v>
      </c>
      <c r="F596">
        <v>4</v>
      </c>
      <c r="G596">
        <v>0</v>
      </c>
      <c r="H596">
        <v>58.9</v>
      </c>
      <c r="I596">
        <v>380</v>
      </c>
      <c r="J596">
        <v>100</v>
      </c>
      <c r="K596">
        <v>600</v>
      </c>
      <c r="L596">
        <v>0.92</v>
      </c>
    </row>
    <row r="597" spans="1:12" x14ac:dyDescent="0.25">
      <c r="A597" t="s">
        <v>80</v>
      </c>
      <c r="B597" t="s">
        <v>819</v>
      </c>
      <c r="C597" t="s">
        <v>820</v>
      </c>
      <c r="D597" t="s">
        <v>20</v>
      </c>
      <c r="E597" t="s">
        <v>16</v>
      </c>
      <c r="F597">
        <v>2</v>
      </c>
      <c r="G597">
        <v>1500</v>
      </c>
      <c r="H597">
        <v>69.400000000000006</v>
      </c>
      <c r="I597">
        <v>720</v>
      </c>
      <c r="J597">
        <v>160</v>
      </c>
      <c r="K597">
        <v>850</v>
      </c>
      <c r="L597">
        <v>0.92</v>
      </c>
    </row>
    <row r="598" spans="1:12" x14ac:dyDescent="0.25">
      <c r="A598" t="s">
        <v>345</v>
      </c>
      <c r="B598" t="s">
        <v>821</v>
      </c>
      <c r="C598" t="s">
        <v>822</v>
      </c>
      <c r="D598" t="s">
        <v>63</v>
      </c>
      <c r="E598" t="s">
        <v>16</v>
      </c>
      <c r="F598">
        <v>2</v>
      </c>
      <c r="G598">
        <v>3500</v>
      </c>
      <c r="H598">
        <v>43.2</v>
      </c>
      <c r="I598">
        <v>400</v>
      </c>
      <c r="J598">
        <v>40</v>
      </c>
      <c r="K598">
        <v>400</v>
      </c>
      <c r="L598">
        <v>17.05</v>
      </c>
    </row>
    <row r="599" spans="1:12" x14ac:dyDescent="0.25">
      <c r="A599" t="s">
        <v>183</v>
      </c>
      <c r="B599" t="s">
        <v>823</v>
      </c>
      <c r="C599" t="s">
        <v>824</v>
      </c>
      <c r="D599" t="s">
        <v>136</v>
      </c>
      <c r="E599" t="s">
        <v>16</v>
      </c>
      <c r="F599">
        <v>2</v>
      </c>
      <c r="G599">
        <v>2900</v>
      </c>
      <c r="H599">
        <v>63.2</v>
      </c>
      <c r="I599">
        <v>650</v>
      </c>
      <c r="J599">
        <v>80</v>
      </c>
      <c r="K599">
        <v>750</v>
      </c>
      <c r="L599">
        <v>0.92</v>
      </c>
    </row>
    <row r="600" spans="1:12" x14ac:dyDescent="0.25">
      <c r="A600" t="s">
        <v>186</v>
      </c>
      <c r="B600" t="s">
        <v>825</v>
      </c>
      <c r="C600" t="s">
        <v>826</v>
      </c>
      <c r="D600" t="s">
        <v>63</v>
      </c>
      <c r="E600" t="s">
        <v>16</v>
      </c>
      <c r="F600">
        <v>2</v>
      </c>
      <c r="G600">
        <v>3300</v>
      </c>
      <c r="H600">
        <v>68.900000000000006</v>
      </c>
      <c r="I600">
        <v>850</v>
      </c>
      <c r="J600">
        <v>120</v>
      </c>
      <c r="K600">
        <v>700</v>
      </c>
      <c r="L600">
        <v>0.92</v>
      </c>
    </row>
    <row r="601" spans="1:12" x14ac:dyDescent="0.25">
      <c r="A601" t="s">
        <v>348</v>
      </c>
      <c r="B601" t="s">
        <v>827</v>
      </c>
      <c r="C601" t="s">
        <v>828</v>
      </c>
      <c r="D601" t="s">
        <v>456</v>
      </c>
      <c r="E601" t="s">
        <v>16</v>
      </c>
      <c r="F601">
        <v>2</v>
      </c>
      <c r="G601">
        <v>0</v>
      </c>
      <c r="H601">
        <v>61.2</v>
      </c>
      <c r="I601">
        <v>420</v>
      </c>
      <c r="J601">
        <v>100</v>
      </c>
      <c r="K601">
        <v>600</v>
      </c>
      <c r="L601">
        <v>0.92</v>
      </c>
    </row>
    <row r="602" spans="1:12" x14ac:dyDescent="0.25">
      <c r="A602" t="s">
        <v>80</v>
      </c>
      <c r="B602" t="s">
        <v>829</v>
      </c>
      <c r="C602" t="s">
        <v>830</v>
      </c>
      <c r="D602" t="s">
        <v>93</v>
      </c>
      <c r="E602" t="s">
        <v>1369</v>
      </c>
      <c r="F602">
        <v>4</v>
      </c>
      <c r="G602">
        <v>1500</v>
      </c>
      <c r="H602">
        <v>68.7</v>
      </c>
      <c r="I602">
        <v>700</v>
      </c>
      <c r="J602">
        <v>160</v>
      </c>
      <c r="K602">
        <v>850</v>
      </c>
      <c r="L602">
        <v>0.92</v>
      </c>
    </row>
    <row r="603" spans="1:12" x14ac:dyDescent="0.25">
      <c r="A603" t="s">
        <v>345</v>
      </c>
      <c r="B603" t="s">
        <v>831</v>
      </c>
      <c r="C603" t="s">
        <v>832</v>
      </c>
      <c r="D603" t="s">
        <v>222</v>
      </c>
      <c r="E603" t="s">
        <v>75</v>
      </c>
      <c r="F603">
        <v>4</v>
      </c>
      <c r="G603">
        <v>9500</v>
      </c>
      <c r="H603">
        <v>45.4</v>
      </c>
      <c r="I603">
        <v>550</v>
      </c>
      <c r="J603">
        <v>40</v>
      </c>
      <c r="K603">
        <v>400</v>
      </c>
      <c r="L603">
        <v>17.05</v>
      </c>
    </row>
    <row r="604" spans="1:12" x14ac:dyDescent="0.25">
      <c r="A604" t="s">
        <v>183</v>
      </c>
      <c r="B604" t="s">
        <v>833</v>
      </c>
      <c r="C604" t="s">
        <v>834</v>
      </c>
      <c r="D604" t="s">
        <v>20</v>
      </c>
      <c r="E604" t="s">
        <v>1369</v>
      </c>
      <c r="F604">
        <v>4</v>
      </c>
      <c r="G604">
        <v>3100</v>
      </c>
      <c r="H604">
        <v>62.1</v>
      </c>
      <c r="I604">
        <v>600</v>
      </c>
      <c r="J604">
        <v>80</v>
      </c>
      <c r="K604">
        <v>750</v>
      </c>
      <c r="L604">
        <v>0.92</v>
      </c>
    </row>
    <row r="605" spans="1:12" x14ac:dyDescent="0.25">
      <c r="A605" t="s">
        <v>186</v>
      </c>
      <c r="B605" t="s">
        <v>835</v>
      </c>
      <c r="C605" t="s">
        <v>836</v>
      </c>
      <c r="D605" t="s">
        <v>40</v>
      </c>
      <c r="E605" t="s">
        <v>16</v>
      </c>
      <c r="F605">
        <v>2</v>
      </c>
      <c r="G605">
        <v>3400</v>
      </c>
      <c r="H605">
        <v>69.5</v>
      </c>
      <c r="I605">
        <v>900</v>
      </c>
      <c r="J605">
        <v>120</v>
      </c>
      <c r="K605">
        <v>700</v>
      </c>
      <c r="L605">
        <v>0.92</v>
      </c>
    </row>
    <row r="606" spans="1:12" x14ac:dyDescent="0.25">
      <c r="A606" t="s">
        <v>348</v>
      </c>
      <c r="B606" t="s">
        <v>837</v>
      </c>
      <c r="C606" t="s">
        <v>838</v>
      </c>
      <c r="D606" t="s">
        <v>839</v>
      </c>
      <c r="E606" t="s">
        <v>16</v>
      </c>
      <c r="F606">
        <v>2</v>
      </c>
      <c r="G606">
        <v>0</v>
      </c>
      <c r="H606">
        <v>60.4</v>
      </c>
      <c r="I606">
        <v>450</v>
      </c>
      <c r="J606">
        <v>100</v>
      </c>
      <c r="K606">
        <v>600</v>
      </c>
      <c r="L606">
        <v>0.92</v>
      </c>
    </row>
    <row r="607" spans="1:12" x14ac:dyDescent="0.25">
      <c r="A607" t="s">
        <v>80</v>
      </c>
      <c r="B607" t="s">
        <v>840</v>
      </c>
      <c r="C607" t="s">
        <v>841</v>
      </c>
      <c r="D607" t="s">
        <v>241</v>
      </c>
      <c r="E607" t="s">
        <v>75</v>
      </c>
      <c r="F607">
        <v>3</v>
      </c>
      <c r="G607">
        <v>1500</v>
      </c>
      <c r="H607">
        <v>70.2</v>
      </c>
      <c r="I607">
        <v>800</v>
      </c>
      <c r="J607">
        <v>160</v>
      </c>
      <c r="K607">
        <v>850</v>
      </c>
      <c r="L607">
        <v>0.92</v>
      </c>
    </row>
    <row r="608" spans="1:12" x14ac:dyDescent="0.25">
      <c r="A608" t="s">
        <v>345</v>
      </c>
      <c r="B608" t="s">
        <v>842</v>
      </c>
      <c r="C608" t="s">
        <v>843</v>
      </c>
      <c r="D608" t="s">
        <v>500</v>
      </c>
      <c r="E608" t="s">
        <v>16</v>
      </c>
      <c r="F608">
        <v>2</v>
      </c>
      <c r="G608">
        <v>2800</v>
      </c>
      <c r="H608">
        <v>42.8</v>
      </c>
      <c r="I608">
        <v>380</v>
      </c>
      <c r="J608">
        <v>40</v>
      </c>
      <c r="K608">
        <v>400</v>
      </c>
      <c r="L608">
        <v>17.05</v>
      </c>
    </row>
    <row r="609" spans="1:12" x14ac:dyDescent="0.25">
      <c r="A609" t="s">
        <v>338</v>
      </c>
      <c r="B609" t="s">
        <v>339</v>
      </c>
      <c r="C609" t="s">
        <v>340</v>
      </c>
      <c r="D609" t="s">
        <v>63</v>
      </c>
      <c r="E609" t="s">
        <v>16</v>
      </c>
      <c r="F609">
        <v>2</v>
      </c>
      <c r="G609">
        <v>1500</v>
      </c>
      <c r="H609">
        <v>51.2</v>
      </c>
      <c r="I609">
        <v>600</v>
      </c>
      <c r="J609">
        <v>90</v>
      </c>
      <c r="K609">
        <v>500</v>
      </c>
      <c r="L609">
        <v>28.5</v>
      </c>
    </row>
    <row r="610" spans="1:12" x14ac:dyDescent="0.25">
      <c r="A610" t="s">
        <v>348</v>
      </c>
      <c r="B610" t="s">
        <v>349</v>
      </c>
      <c r="C610" t="s">
        <v>844</v>
      </c>
      <c r="D610" t="s">
        <v>20</v>
      </c>
      <c r="E610" t="s">
        <v>16</v>
      </c>
      <c r="F610">
        <v>2</v>
      </c>
      <c r="G610">
        <v>0</v>
      </c>
      <c r="H610">
        <v>65.8</v>
      </c>
      <c r="I610">
        <v>650</v>
      </c>
      <c r="J610">
        <v>100</v>
      </c>
      <c r="K610">
        <v>600</v>
      </c>
      <c r="L610">
        <v>0.92</v>
      </c>
    </row>
    <row r="611" spans="1:12" x14ac:dyDescent="0.25">
      <c r="A611" t="s">
        <v>84</v>
      </c>
      <c r="B611" t="s">
        <v>845</v>
      </c>
      <c r="C611" t="s">
        <v>86</v>
      </c>
      <c r="D611" t="s">
        <v>40</v>
      </c>
      <c r="E611" t="s">
        <v>1369</v>
      </c>
      <c r="F611">
        <v>4</v>
      </c>
      <c r="G611">
        <v>3800</v>
      </c>
      <c r="H611">
        <v>76.5</v>
      </c>
      <c r="I611">
        <v>950</v>
      </c>
      <c r="J611">
        <v>180</v>
      </c>
      <c r="K611">
        <v>800</v>
      </c>
      <c r="L611">
        <v>0.92</v>
      </c>
    </row>
    <row r="612" spans="1:12" x14ac:dyDescent="0.25">
      <c r="A612" t="s">
        <v>846</v>
      </c>
      <c r="B612" t="s">
        <v>847</v>
      </c>
      <c r="C612" t="s">
        <v>848</v>
      </c>
      <c r="D612" t="s">
        <v>207</v>
      </c>
      <c r="E612" t="s">
        <v>16</v>
      </c>
      <c r="F612">
        <v>2</v>
      </c>
      <c r="G612">
        <v>6500</v>
      </c>
      <c r="H612">
        <v>53.4</v>
      </c>
      <c r="I612">
        <v>500</v>
      </c>
      <c r="J612">
        <v>140</v>
      </c>
      <c r="K612">
        <v>450</v>
      </c>
      <c r="L612">
        <v>350.25</v>
      </c>
    </row>
    <row r="613" spans="1:12" x14ac:dyDescent="0.25">
      <c r="A613" t="s">
        <v>341</v>
      </c>
      <c r="B613" t="s">
        <v>342</v>
      </c>
      <c r="C613" t="s">
        <v>343</v>
      </c>
      <c r="D613" t="s">
        <v>15</v>
      </c>
      <c r="E613" t="s">
        <v>75</v>
      </c>
      <c r="F613">
        <v>4</v>
      </c>
      <c r="G613">
        <v>5500</v>
      </c>
      <c r="H613">
        <v>62.3</v>
      </c>
      <c r="I613">
        <v>600</v>
      </c>
      <c r="J613">
        <v>160</v>
      </c>
      <c r="K613">
        <v>400</v>
      </c>
      <c r="L613">
        <v>95.5</v>
      </c>
    </row>
    <row r="614" spans="1:12" x14ac:dyDescent="0.25">
      <c r="A614" t="s">
        <v>338</v>
      </c>
      <c r="B614" t="s">
        <v>849</v>
      </c>
      <c r="C614" t="s">
        <v>850</v>
      </c>
      <c r="D614" t="s">
        <v>251</v>
      </c>
      <c r="E614" t="s">
        <v>16</v>
      </c>
      <c r="F614">
        <v>2</v>
      </c>
      <c r="G614">
        <v>1200</v>
      </c>
      <c r="H614">
        <v>48.5</v>
      </c>
      <c r="I614">
        <v>450</v>
      </c>
      <c r="J614">
        <v>90</v>
      </c>
      <c r="K614">
        <v>500</v>
      </c>
      <c r="L614">
        <v>28.5</v>
      </c>
    </row>
    <row r="615" spans="1:12" x14ac:dyDescent="0.25">
      <c r="A615" t="s">
        <v>348</v>
      </c>
      <c r="B615" t="s">
        <v>776</v>
      </c>
      <c r="C615" t="s">
        <v>851</v>
      </c>
      <c r="D615" t="s">
        <v>215</v>
      </c>
      <c r="E615" t="s">
        <v>1369</v>
      </c>
      <c r="F615">
        <v>4</v>
      </c>
      <c r="G615">
        <v>0</v>
      </c>
      <c r="H615">
        <v>62.4</v>
      </c>
      <c r="I615">
        <v>500</v>
      </c>
      <c r="J615">
        <v>100</v>
      </c>
      <c r="K615">
        <v>600</v>
      </c>
      <c r="L615">
        <v>0.92</v>
      </c>
    </row>
    <row r="616" spans="1:12" x14ac:dyDescent="0.25">
      <c r="A616" t="s">
        <v>84</v>
      </c>
      <c r="B616" t="s">
        <v>852</v>
      </c>
      <c r="C616" t="s">
        <v>853</v>
      </c>
      <c r="D616" t="s">
        <v>15</v>
      </c>
      <c r="E616" t="s">
        <v>16</v>
      </c>
      <c r="F616">
        <v>2</v>
      </c>
      <c r="G616">
        <v>3500</v>
      </c>
      <c r="H616">
        <v>72.8</v>
      </c>
      <c r="I616">
        <v>850</v>
      </c>
      <c r="J616">
        <v>180</v>
      </c>
      <c r="K616">
        <v>800</v>
      </c>
      <c r="L616">
        <v>0.92</v>
      </c>
    </row>
    <row r="617" spans="1:12" x14ac:dyDescent="0.25">
      <c r="A617" t="s">
        <v>846</v>
      </c>
      <c r="B617" t="s">
        <v>854</v>
      </c>
      <c r="C617" t="s">
        <v>855</v>
      </c>
      <c r="D617" t="s">
        <v>696</v>
      </c>
      <c r="E617" t="s">
        <v>75</v>
      </c>
      <c r="F617">
        <v>3</v>
      </c>
      <c r="G617">
        <v>5800</v>
      </c>
      <c r="H617">
        <v>48.9</v>
      </c>
      <c r="I617">
        <v>400</v>
      </c>
      <c r="J617">
        <v>140</v>
      </c>
      <c r="K617">
        <v>450</v>
      </c>
      <c r="L617">
        <v>350.25</v>
      </c>
    </row>
    <row r="618" spans="1:12" x14ac:dyDescent="0.25">
      <c r="A618" t="s">
        <v>341</v>
      </c>
      <c r="B618" t="s">
        <v>856</v>
      </c>
      <c r="C618" t="s">
        <v>857</v>
      </c>
      <c r="D618" t="s">
        <v>20</v>
      </c>
      <c r="E618" t="s">
        <v>16</v>
      </c>
      <c r="F618">
        <v>2</v>
      </c>
      <c r="G618">
        <v>5000</v>
      </c>
      <c r="H618">
        <v>60.1</v>
      </c>
      <c r="I618">
        <v>550</v>
      </c>
      <c r="J618">
        <v>160</v>
      </c>
      <c r="K618">
        <v>400</v>
      </c>
      <c r="L618">
        <v>95.5</v>
      </c>
    </row>
    <row r="619" spans="1:12" x14ac:dyDescent="0.25">
      <c r="A619" t="s">
        <v>338</v>
      </c>
      <c r="B619" t="s">
        <v>858</v>
      </c>
      <c r="C619" t="s">
        <v>859</v>
      </c>
      <c r="D619" t="s">
        <v>115</v>
      </c>
      <c r="E619" t="s">
        <v>1369</v>
      </c>
      <c r="F619">
        <v>4</v>
      </c>
      <c r="G619">
        <v>1300</v>
      </c>
      <c r="H619">
        <v>47.8</v>
      </c>
      <c r="I619">
        <v>400</v>
      </c>
      <c r="J619">
        <v>90</v>
      </c>
      <c r="K619">
        <v>500</v>
      </c>
      <c r="L619">
        <v>28.5</v>
      </c>
    </row>
    <row r="620" spans="1:12" x14ac:dyDescent="0.25">
      <c r="A620" t="s">
        <v>348</v>
      </c>
      <c r="B620" t="s">
        <v>786</v>
      </c>
      <c r="C620" t="s">
        <v>787</v>
      </c>
      <c r="D620" t="s">
        <v>63</v>
      </c>
      <c r="E620" t="s">
        <v>16</v>
      </c>
      <c r="F620">
        <v>2</v>
      </c>
      <c r="G620">
        <v>0</v>
      </c>
      <c r="H620">
        <v>60.5</v>
      </c>
      <c r="I620">
        <v>450</v>
      </c>
      <c r="J620">
        <v>100</v>
      </c>
      <c r="K620">
        <v>600</v>
      </c>
      <c r="L620">
        <v>0.92</v>
      </c>
    </row>
    <row r="621" spans="1:12" x14ac:dyDescent="0.25">
      <c r="A621" t="s">
        <v>84</v>
      </c>
      <c r="B621" t="s">
        <v>85</v>
      </c>
      <c r="C621" t="s">
        <v>860</v>
      </c>
      <c r="D621" t="s">
        <v>136</v>
      </c>
      <c r="E621" t="s">
        <v>16</v>
      </c>
      <c r="F621">
        <v>2</v>
      </c>
      <c r="G621">
        <v>3600</v>
      </c>
      <c r="H621">
        <v>75.400000000000006</v>
      </c>
      <c r="I621">
        <v>900</v>
      </c>
      <c r="J621">
        <v>180</v>
      </c>
      <c r="K621">
        <v>800</v>
      </c>
      <c r="L621">
        <v>0.92</v>
      </c>
    </row>
    <row r="622" spans="1:12" x14ac:dyDescent="0.25">
      <c r="A622" t="s">
        <v>846</v>
      </c>
      <c r="B622" t="s">
        <v>861</v>
      </c>
      <c r="C622" t="s">
        <v>862</v>
      </c>
      <c r="D622" t="s">
        <v>15</v>
      </c>
      <c r="E622" t="s">
        <v>1369</v>
      </c>
      <c r="F622">
        <v>4</v>
      </c>
      <c r="G622">
        <v>6000</v>
      </c>
      <c r="H622">
        <v>47.2</v>
      </c>
      <c r="I622">
        <v>380</v>
      </c>
      <c r="J622">
        <v>140</v>
      </c>
      <c r="K622">
        <v>450</v>
      </c>
      <c r="L622">
        <v>350.25</v>
      </c>
    </row>
    <row r="623" spans="1:12" x14ac:dyDescent="0.25">
      <c r="A623" t="s">
        <v>341</v>
      </c>
      <c r="B623" t="s">
        <v>863</v>
      </c>
      <c r="C623" t="s">
        <v>864</v>
      </c>
      <c r="D623" t="s">
        <v>99</v>
      </c>
      <c r="E623" t="s">
        <v>16</v>
      </c>
      <c r="F623">
        <v>2</v>
      </c>
      <c r="G623">
        <v>4800</v>
      </c>
      <c r="H623">
        <v>55.4</v>
      </c>
      <c r="I623">
        <v>400</v>
      </c>
      <c r="J623">
        <v>160</v>
      </c>
      <c r="K623">
        <v>400</v>
      </c>
      <c r="L623">
        <v>95.5</v>
      </c>
    </row>
    <row r="624" spans="1:12" x14ac:dyDescent="0.25">
      <c r="A624" t="s">
        <v>338</v>
      </c>
      <c r="B624" t="s">
        <v>865</v>
      </c>
      <c r="C624" t="s">
        <v>866</v>
      </c>
      <c r="D624" t="s">
        <v>215</v>
      </c>
      <c r="E624" t="s">
        <v>75</v>
      </c>
      <c r="F624">
        <v>4</v>
      </c>
      <c r="G624">
        <v>1000</v>
      </c>
      <c r="H624">
        <v>45.6</v>
      </c>
      <c r="I624">
        <v>350</v>
      </c>
      <c r="J624">
        <v>90</v>
      </c>
      <c r="K624">
        <v>500</v>
      </c>
      <c r="L624">
        <v>28.5</v>
      </c>
    </row>
    <row r="625" spans="1:12" x14ac:dyDescent="0.25">
      <c r="A625" t="s">
        <v>348</v>
      </c>
      <c r="B625" t="s">
        <v>797</v>
      </c>
      <c r="C625" t="s">
        <v>798</v>
      </c>
      <c r="D625" t="s">
        <v>71</v>
      </c>
      <c r="E625" t="s">
        <v>16</v>
      </c>
      <c r="F625">
        <v>2</v>
      </c>
      <c r="G625">
        <v>0</v>
      </c>
      <c r="H625">
        <v>61.2</v>
      </c>
      <c r="I625">
        <v>480</v>
      </c>
      <c r="J625">
        <v>100</v>
      </c>
      <c r="K625">
        <v>600</v>
      </c>
      <c r="L625">
        <v>0.92</v>
      </c>
    </row>
    <row r="626" spans="1:12" x14ac:dyDescent="0.25">
      <c r="A626" t="s">
        <v>84</v>
      </c>
      <c r="B626" t="s">
        <v>867</v>
      </c>
      <c r="C626" t="s">
        <v>868</v>
      </c>
      <c r="D626" t="s">
        <v>15</v>
      </c>
      <c r="E626" t="s">
        <v>1369</v>
      </c>
      <c r="F626">
        <v>4</v>
      </c>
      <c r="G626">
        <v>3700</v>
      </c>
      <c r="H626">
        <v>71.2</v>
      </c>
      <c r="I626">
        <v>800</v>
      </c>
      <c r="J626">
        <v>180</v>
      </c>
      <c r="K626">
        <v>800</v>
      </c>
      <c r="L626">
        <v>0.92</v>
      </c>
    </row>
    <row r="627" spans="1:12" x14ac:dyDescent="0.25">
      <c r="A627" t="s">
        <v>846</v>
      </c>
      <c r="B627" t="s">
        <v>869</v>
      </c>
      <c r="C627" t="s">
        <v>870</v>
      </c>
      <c r="D627" t="s">
        <v>241</v>
      </c>
      <c r="E627" t="s">
        <v>16</v>
      </c>
      <c r="F627">
        <v>2</v>
      </c>
      <c r="G627">
        <v>5500</v>
      </c>
      <c r="H627">
        <v>46.8</v>
      </c>
      <c r="I627">
        <v>350</v>
      </c>
      <c r="J627">
        <v>140</v>
      </c>
      <c r="K627">
        <v>450</v>
      </c>
      <c r="L627">
        <v>350.25</v>
      </c>
    </row>
    <row r="628" spans="1:12" x14ac:dyDescent="0.25">
      <c r="A628" t="s">
        <v>341</v>
      </c>
      <c r="B628" t="s">
        <v>871</v>
      </c>
      <c r="C628" t="s">
        <v>872</v>
      </c>
      <c r="D628" t="s">
        <v>40</v>
      </c>
      <c r="E628" t="s">
        <v>75</v>
      </c>
      <c r="F628">
        <v>4</v>
      </c>
      <c r="G628">
        <v>4500</v>
      </c>
      <c r="H628">
        <v>52.3</v>
      </c>
      <c r="I628">
        <v>380</v>
      </c>
      <c r="J628">
        <v>160</v>
      </c>
      <c r="K628">
        <v>400</v>
      </c>
      <c r="L628">
        <v>95.5</v>
      </c>
    </row>
    <row r="629" spans="1:12" x14ac:dyDescent="0.25">
      <c r="A629" t="s">
        <v>338</v>
      </c>
      <c r="B629" t="s">
        <v>873</v>
      </c>
      <c r="C629" t="s">
        <v>874</v>
      </c>
      <c r="D629" t="s">
        <v>15</v>
      </c>
      <c r="E629" t="s">
        <v>16</v>
      </c>
      <c r="F629">
        <v>2</v>
      </c>
      <c r="G629">
        <v>1100</v>
      </c>
      <c r="H629">
        <v>46.5</v>
      </c>
      <c r="I629">
        <v>380</v>
      </c>
      <c r="J629">
        <v>90</v>
      </c>
      <c r="K629">
        <v>500</v>
      </c>
      <c r="L629">
        <v>28.5</v>
      </c>
    </row>
    <row r="630" spans="1:12" x14ac:dyDescent="0.25">
      <c r="A630" t="s">
        <v>348</v>
      </c>
      <c r="B630" t="s">
        <v>807</v>
      </c>
      <c r="C630" t="s">
        <v>808</v>
      </c>
      <c r="D630" t="s">
        <v>300</v>
      </c>
      <c r="E630" t="s">
        <v>1369</v>
      </c>
      <c r="F630">
        <v>4</v>
      </c>
      <c r="G630">
        <v>0</v>
      </c>
      <c r="H630">
        <v>59.8</v>
      </c>
      <c r="I630">
        <v>400</v>
      </c>
      <c r="J630">
        <v>100</v>
      </c>
      <c r="K630">
        <v>600</v>
      </c>
      <c r="L630">
        <v>0.92</v>
      </c>
    </row>
    <row r="631" spans="1:12" x14ac:dyDescent="0.25">
      <c r="A631" t="s">
        <v>84</v>
      </c>
      <c r="B631" t="s">
        <v>875</v>
      </c>
      <c r="C631" t="s">
        <v>876</v>
      </c>
      <c r="D631" t="s">
        <v>251</v>
      </c>
      <c r="E631" t="s">
        <v>16</v>
      </c>
      <c r="F631">
        <v>2</v>
      </c>
      <c r="G631">
        <v>3500</v>
      </c>
      <c r="H631">
        <v>70.5</v>
      </c>
      <c r="I631">
        <v>780</v>
      </c>
      <c r="J631">
        <v>180</v>
      </c>
      <c r="K631">
        <v>800</v>
      </c>
      <c r="L631">
        <v>0.92</v>
      </c>
    </row>
    <row r="632" spans="1:12" x14ac:dyDescent="0.25">
      <c r="A632" t="s">
        <v>846</v>
      </c>
      <c r="B632" t="s">
        <v>877</v>
      </c>
      <c r="C632" t="s">
        <v>878</v>
      </c>
      <c r="D632" t="s">
        <v>136</v>
      </c>
      <c r="E632" t="s">
        <v>75</v>
      </c>
      <c r="F632">
        <v>3</v>
      </c>
      <c r="G632">
        <v>5200</v>
      </c>
      <c r="H632">
        <v>45.6</v>
      </c>
      <c r="I632">
        <v>320</v>
      </c>
      <c r="J632">
        <v>140</v>
      </c>
      <c r="K632">
        <v>450</v>
      </c>
      <c r="L632">
        <v>350.25</v>
      </c>
    </row>
    <row r="633" spans="1:12" x14ac:dyDescent="0.25">
      <c r="A633" t="s">
        <v>341</v>
      </c>
      <c r="B633" t="s">
        <v>879</v>
      </c>
      <c r="C633" t="s">
        <v>880</v>
      </c>
      <c r="D633" t="s">
        <v>207</v>
      </c>
      <c r="E633" t="s">
        <v>16</v>
      </c>
      <c r="F633">
        <v>2</v>
      </c>
      <c r="G633">
        <v>4600</v>
      </c>
      <c r="H633">
        <v>51.2</v>
      </c>
      <c r="I633">
        <v>350</v>
      </c>
      <c r="J633">
        <v>160</v>
      </c>
      <c r="K633">
        <v>400</v>
      </c>
      <c r="L633">
        <v>95.5</v>
      </c>
    </row>
    <row r="634" spans="1:12" x14ac:dyDescent="0.25">
      <c r="A634" t="s">
        <v>338</v>
      </c>
      <c r="B634" t="s">
        <v>881</v>
      </c>
      <c r="C634" t="s">
        <v>882</v>
      </c>
      <c r="D634" t="s">
        <v>20</v>
      </c>
      <c r="E634" t="s">
        <v>1369</v>
      </c>
      <c r="F634">
        <v>4</v>
      </c>
      <c r="G634">
        <v>1400</v>
      </c>
      <c r="H634">
        <v>47.8</v>
      </c>
      <c r="I634">
        <v>420</v>
      </c>
      <c r="J634">
        <v>90</v>
      </c>
      <c r="K634">
        <v>500</v>
      </c>
      <c r="L634">
        <v>28.5</v>
      </c>
    </row>
    <row r="635" spans="1:12" x14ac:dyDescent="0.25">
      <c r="A635" t="s">
        <v>348</v>
      </c>
      <c r="B635" t="s">
        <v>883</v>
      </c>
      <c r="C635" t="s">
        <v>884</v>
      </c>
      <c r="D635" t="s">
        <v>222</v>
      </c>
      <c r="E635" t="s">
        <v>16</v>
      </c>
      <c r="F635">
        <v>2</v>
      </c>
      <c r="G635">
        <v>0</v>
      </c>
      <c r="H635">
        <v>63.4</v>
      </c>
      <c r="I635">
        <v>550</v>
      </c>
      <c r="J635">
        <v>100</v>
      </c>
      <c r="K635">
        <v>600</v>
      </c>
      <c r="L635">
        <v>0.92</v>
      </c>
    </row>
    <row r="636" spans="1:12" x14ac:dyDescent="0.25">
      <c r="A636" t="s">
        <v>84</v>
      </c>
      <c r="B636" t="s">
        <v>885</v>
      </c>
      <c r="C636" t="s">
        <v>886</v>
      </c>
      <c r="D636" t="s">
        <v>40</v>
      </c>
      <c r="E636" t="s">
        <v>75</v>
      </c>
      <c r="F636">
        <v>3</v>
      </c>
      <c r="G636">
        <v>3400</v>
      </c>
      <c r="H636">
        <v>69.8</v>
      </c>
      <c r="I636">
        <v>750</v>
      </c>
      <c r="J636">
        <v>180</v>
      </c>
      <c r="K636">
        <v>800</v>
      </c>
      <c r="L636">
        <v>0.92</v>
      </c>
    </row>
    <row r="637" spans="1:12" x14ac:dyDescent="0.25">
      <c r="A637" t="s">
        <v>846</v>
      </c>
      <c r="B637" t="s">
        <v>887</v>
      </c>
      <c r="C637" t="s">
        <v>888</v>
      </c>
      <c r="D637" t="s">
        <v>63</v>
      </c>
      <c r="E637" t="s">
        <v>16</v>
      </c>
      <c r="F637">
        <v>2</v>
      </c>
      <c r="G637">
        <v>5300</v>
      </c>
      <c r="H637">
        <v>44.5</v>
      </c>
      <c r="I637">
        <v>300</v>
      </c>
      <c r="J637">
        <v>140</v>
      </c>
      <c r="K637">
        <v>450</v>
      </c>
      <c r="L637">
        <v>350.25</v>
      </c>
    </row>
    <row r="638" spans="1:12" x14ac:dyDescent="0.25">
      <c r="A638" t="s">
        <v>341</v>
      </c>
      <c r="B638" t="s">
        <v>889</v>
      </c>
      <c r="C638" t="s">
        <v>890</v>
      </c>
      <c r="D638" t="s">
        <v>71</v>
      </c>
      <c r="E638" t="s">
        <v>1369</v>
      </c>
      <c r="F638">
        <v>4</v>
      </c>
      <c r="G638">
        <v>4700</v>
      </c>
      <c r="H638">
        <v>53.4</v>
      </c>
      <c r="I638">
        <v>400</v>
      </c>
      <c r="J638">
        <v>160</v>
      </c>
      <c r="K638">
        <v>400</v>
      </c>
      <c r="L638">
        <v>95.5</v>
      </c>
    </row>
    <row r="639" spans="1:12" x14ac:dyDescent="0.25">
      <c r="A639" t="s">
        <v>338</v>
      </c>
      <c r="B639" t="s">
        <v>891</v>
      </c>
      <c r="C639" t="s">
        <v>892</v>
      </c>
      <c r="D639" t="s">
        <v>207</v>
      </c>
      <c r="E639" t="s">
        <v>16</v>
      </c>
      <c r="F639">
        <v>2</v>
      </c>
      <c r="G639">
        <v>1200</v>
      </c>
      <c r="H639">
        <v>45.2</v>
      </c>
      <c r="I639">
        <v>350</v>
      </c>
      <c r="J639">
        <v>90</v>
      </c>
      <c r="K639">
        <v>500</v>
      </c>
      <c r="L639">
        <v>28.5</v>
      </c>
    </row>
    <row r="640" spans="1:12" x14ac:dyDescent="0.25">
      <c r="A640" t="s">
        <v>348</v>
      </c>
      <c r="B640" t="s">
        <v>893</v>
      </c>
      <c r="C640" t="s">
        <v>894</v>
      </c>
      <c r="D640" t="s">
        <v>63</v>
      </c>
      <c r="E640" t="s">
        <v>75</v>
      </c>
      <c r="F640">
        <v>4</v>
      </c>
      <c r="G640">
        <v>0</v>
      </c>
      <c r="H640">
        <v>58.7</v>
      </c>
      <c r="I640">
        <v>380</v>
      </c>
      <c r="J640">
        <v>100</v>
      </c>
      <c r="K640">
        <v>600</v>
      </c>
      <c r="L640">
        <v>0.92</v>
      </c>
    </row>
    <row r="641" spans="1:12" x14ac:dyDescent="0.25">
      <c r="A641" t="s">
        <v>84</v>
      </c>
      <c r="B641" t="s">
        <v>895</v>
      </c>
      <c r="C641" t="s">
        <v>896</v>
      </c>
      <c r="D641" t="s">
        <v>20</v>
      </c>
      <c r="E641" t="s">
        <v>1369</v>
      </c>
      <c r="F641">
        <v>4</v>
      </c>
      <c r="G641">
        <v>3600</v>
      </c>
      <c r="H641">
        <v>68.900000000000006</v>
      </c>
      <c r="I641">
        <v>720</v>
      </c>
      <c r="J641">
        <v>180</v>
      </c>
      <c r="K641">
        <v>800</v>
      </c>
      <c r="L641">
        <v>0.92</v>
      </c>
    </row>
    <row r="642" spans="1:12" x14ac:dyDescent="0.25">
      <c r="A642" t="s">
        <v>846</v>
      </c>
      <c r="B642" t="s">
        <v>897</v>
      </c>
      <c r="C642" t="s">
        <v>898</v>
      </c>
      <c r="D642" t="s">
        <v>215</v>
      </c>
      <c r="E642" t="s">
        <v>16</v>
      </c>
      <c r="F642">
        <v>2</v>
      </c>
      <c r="G642">
        <v>5100</v>
      </c>
      <c r="H642">
        <v>44.8</v>
      </c>
      <c r="I642">
        <v>310</v>
      </c>
      <c r="J642">
        <v>140</v>
      </c>
      <c r="K642">
        <v>450</v>
      </c>
      <c r="L642">
        <v>350.25</v>
      </c>
    </row>
    <row r="643" spans="1:12" x14ac:dyDescent="0.25">
      <c r="A643" t="s">
        <v>341</v>
      </c>
      <c r="B643" t="s">
        <v>899</v>
      </c>
      <c r="C643" t="s">
        <v>900</v>
      </c>
      <c r="D643" t="s">
        <v>15</v>
      </c>
      <c r="E643" t="s">
        <v>16</v>
      </c>
      <c r="F643">
        <v>2</v>
      </c>
      <c r="G643">
        <v>4400</v>
      </c>
      <c r="H643">
        <v>50.5</v>
      </c>
      <c r="I643">
        <v>370</v>
      </c>
      <c r="J643">
        <v>160</v>
      </c>
      <c r="K643">
        <v>400</v>
      </c>
      <c r="L643">
        <v>95.5</v>
      </c>
    </row>
    <row r="644" spans="1:12" x14ac:dyDescent="0.25">
      <c r="A644" t="s">
        <v>338</v>
      </c>
      <c r="B644" t="s">
        <v>901</v>
      </c>
      <c r="C644" t="s">
        <v>902</v>
      </c>
      <c r="D644" t="s">
        <v>40</v>
      </c>
      <c r="E644" t="s">
        <v>75</v>
      </c>
      <c r="F644">
        <v>4</v>
      </c>
      <c r="G644">
        <v>1000</v>
      </c>
      <c r="H644">
        <v>44.5</v>
      </c>
      <c r="I644">
        <v>330</v>
      </c>
      <c r="J644">
        <v>90</v>
      </c>
      <c r="K644">
        <v>500</v>
      </c>
      <c r="L644">
        <v>28.5</v>
      </c>
    </row>
    <row r="645" spans="1:12" x14ac:dyDescent="0.25">
      <c r="A645" t="s">
        <v>348</v>
      </c>
      <c r="B645" t="s">
        <v>903</v>
      </c>
      <c r="C645" t="s">
        <v>828</v>
      </c>
      <c r="D645" t="s">
        <v>434</v>
      </c>
      <c r="E645" t="s">
        <v>16</v>
      </c>
      <c r="F645">
        <v>2</v>
      </c>
      <c r="G645">
        <v>0</v>
      </c>
      <c r="H645">
        <v>59.2</v>
      </c>
      <c r="I645">
        <v>400</v>
      </c>
      <c r="J645">
        <v>100</v>
      </c>
      <c r="K645">
        <v>600</v>
      </c>
      <c r="L645">
        <v>0.92</v>
      </c>
    </row>
    <row r="646" spans="1:12" x14ac:dyDescent="0.25">
      <c r="A646" t="s">
        <v>84</v>
      </c>
      <c r="B646" t="s">
        <v>904</v>
      </c>
      <c r="C646" t="s">
        <v>905</v>
      </c>
      <c r="D646" t="s">
        <v>63</v>
      </c>
      <c r="E646" t="s">
        <v>16</v>
      </c>
      <c r="F646">
        <v>2</v>
      </c>
      <c r="G646">
        <v>3500</v>
      </c>
      <c r="H646">
        <v>67.8</v>
      </c>
      <c r="I646">
        <v>700</v>
      </c>
      <c r="J646">
        <v>180</v>
      </c>
      <c r="K646">
        <v>800</v>
      </c>
      <c r="L646">
        <v>0.92</v>
      </c>
    </row>
    <row r="647" spans="1:12" x14ac:dyDescent="0.25">
      <c r="A647" t="s">
        <v>846</v>
      </c>
      <c r="B647" t="s">
        <v>906</v>
      </c>
      <c r="C647" t="s">
        <v>907</v>
      </c>
      <c r="D647" t="s">
        <v>71</v>
      </c>
      <c r="E647" t="s">
        <v>1369</v>
      </c>
      <c r="F647">
        <v>4</v>
      </c>
      <c r="G647">
        <v>5400</v>
      </c>
      <c r="H647">
        <v>43.9</v>
      </c>
      <c r="I647">
        <v>290</v>
      </c>
      <c r="J647">
        <v>140</v>
      </c>
      <c r="K647">
        <v>450</v>
      </c>
      <c r="L647">
        <v>350.25</v>
      </c>
    </row>
    <row r="648" spans="1:12" x14ac:dyDescent="0.25">
      <c r="A648" t="s">
        <v>341</v>
      </c>
      <c r="B648" t="s">
        <v>908</v>
      </c>
      <c r="C648" t="s">
        <v>909</v>
      </c>
      <c r="D648" t="s">
        <v>222</v>
      </c>
      <c r="E648" t="s">
        <v>75</v>
      </c>
      <c r="F648">
        <v>4</v>
      </c>
      <c r="G648">
        <v>4200</v>
      </c>
      <c r="H648">
        <v>49.8</v>
      </c>
      <c r="I648">
        <v>350</v>
      </c>
      <c r="J648">
        <v>160</v>
      </c>
      <c r="K648">
        <v>400</v>
      </c>
      <c r="L648">
        <v>95.5</v>
      </c>
    </row>
    <row r="649" spans="1:12" x14ac:dyDescent="0.25">
      <c r="A649" t="s">
        <v>335</v>
      </c>
      <c r="B649" t="s">
        <v>336</v>
      </c>
      <c r="C649" t="s">
        <v>337</v>
      </c>
      <c r="D649" t="s">
        <v>15</v>
      </c>
      <c r="E649" t="s">
        <v>16</v>
      </c>
      <c r="F649">
        <v>2</v>
      </c>
      <c r="G649">
        <v>0</v>
      </c>
      <c r="H649">
        <v>55.8</v>
      </c>
      <c r="I649">
        <v>600</v>
      </c>
      <c r="J649">
        <v>90</v>
      </c>
      <c r="K649">
        <v>400</v>
      </c>
      <c r="L649">
        <v>4.95</v>
      </c>
    </row>
    <row r="650" spans="1:12" x14ac:dyDescent="0.25">
      <c r="A650" t="s">
        <v>155</v>
      </c>
      <c r="B650" t="s">
        <v>156</v>
      </c>
      <c r="C650" t="s">
        <v>157</v>
      </c>
      <c r="D650" t="s">
        <v>20</v>
      </c>
      <c r="E650" t="s">
        <v>1369</v>
      </c>
      <c r="F650">
        <v>4</v>
      </c>
      <c r="G650">
        <v>2000</v>
      </c>
      <c r="H650">
        <v>45.2</v>
      </c>
      <c r="I650">
        <v>300</v>
      </c>
      <c r="J650">
        <v>180</v>
      </c>
      <c r="K650">
        <v>300</v>
      </c>
      <c r="L650">
        <v>82.75</v>
      </c>
    </row>
    <row r="651" spans="1:12" x14ac:dyDescent="0.25">
      <c r="A651" t="s">
        <v>351</v>
      </c>
      <c r="B651" t="s">
        <v>352</v>
      </c>
      <c r="C651" t="s">
        <v>353</v>
      </c>
      <c r="D651" t="s">
        <v>207</v>
      </c>
      <c r="E651" t="s">
        <v>16</v>
      </c>
      <c r="F651">
        <v>2</v>
      </c>
      <c r="G651">
        <v>15000</v>
      </c>
      <c r="H651">
        <v>51.4</v>
      </c>
      <c r="I651">
        <v>500</v>
      </c>
      <c r="J651">
        <v>80</v>
      </c>
      <c r="K651">
        <v>350</v>
      </c>
      <c r="L651">
        <v>35.25</v>
      </c>
    </row>
    <row r="652" spans="1:12" x14ac:dyDescent="0.25">
      <c r="A652" t="s">
        <v>366</v>
      </c>
      <c r="B652" t="s">
        <v>367</v>
      </c>
      <c r="C652" t="s">
        <v>910</v>
      </c>
      <c r="D652" t="s">
        <v>63</v>
      </c>
      <c r="E652" t="s">
        <v>75</v>
      </c>
      <c r="F652">
        <v>4</v>
      </c>
      <c r="G652">
        <v>2500</v>
      </c>
      <c r="H652">
        <v>31.8</v>
      </c>
      <c r="I652">
        <v>250</v>
      </c>
      <c r="J652">
        <v>100</v>
      </c>
      <c r="K652">
        <v>200</v>
      </c>
      <c r="L652">
        <v>30.9</v>
      </c>
    </row>
    <row r="653" spans="1:12" x14ac:dyDescent="0.25">
      <c r="A653" t="s">
        <v>41</v>
      </c>
      <c r="B653" t="s">
        <v>41</v>
      </c>
      <c r="C653" t="s">
        <v>42</v>
      </c>
      <c r="D653" t="s">
        <v>40</v>
      </c>
      <c r="E653" t="s">
        <v>16</v>
      </c>
      <c r="F653">
        <v>2</v>
      </c>
      <c r="G653">
        <v>42000</v>
      </c>
      <c r="H653">
        <v>83.8</v>
      </c>
      <c r="I653">
        <v>1200</v>
      </c>
      <c r="J653">
        <v>90</v>
      </c>
      <c r="K653">
        <v>800</v>
      </c>
      <c r="L653">
        <v>1.35</v>
      </c>
    </row>
    <row r="654" spans="1:12" x14ac:dyDescent="0.25">
      <c r="A654" t="s">
        <v>354</v>
      </c>
      <c r="B654" t="s">
        <v>355</v>
      </c>
      <c r="C654" t="s">
        <v>911</v>
      </c>
      <c r="D654" t="s">
        <v>71</v>
      </c>
      <c r="E654" t="s">
        <v>16</v>
      </c>
      <c r="F654">
        <v>2</v>
      </c>
      <c r="G654">
        <v>25000</v>
      </c>
      <c r="H654">
        <v>72.400000000000006</v>
      </c>
      <c r="I654">
        <v>1100</v>
      </c>
      <c r="J654">
        <v>270</v>
      </c>
      <c r="K654">
        <v>750</v>
      </c>
      <c r="L654">
        <v>3.67</v>
      </c>
    </row>
    <row r="655" spans="1:12" x14ac:dyDescent="0.25">
      <c r="A655" t="s">
        <v>335</v>
      </c>
      <c r="B655" t="s">
        <v>912</v>
      </c>
      <c r="C655" t="s">
        <v>913</v>
      </c>
      <c r="D655" t="s">
        <v>215</v>
      </c>
      <c r="E655" t="s">
        <v>1369</v>
      </c>
      <c r="F655">
        <v>4</v>
      </c>
      <c r="G655">
        <v>8000</v>
      </c>
      <c r="H655">
        <v>53.2</v>
      </c>
      <c r="I655">
        <v>550</v>
      </c>
      <c r="J655">
        <v>90</v>
      </c>
      <c r="K655">
        <v>400</v>
      </c>
      <c r="L655">
        <v>4.95</v>
      </c>
    </row>
    <row r="656" spans="1:12" x14ac:dyDescent="0.25">
      <c r="A656" t="s">
        <v>155</v>
      </c>
      <c r="B656" t="s">
        <v>914</v>
      </c>
      <c r="C656" t="s">
        <v>915</v>
      </c>
      <c r="D656" t="s">
        <v>63</v>
      </c>
      <c r="E656" t="s">
        <v>16</v>
      </c>
      <c r="F656">
        <v>2</v>
      </c>
      <c r="G656">
        <v>1800</v>
      </c>
      <c r="H656">
        <v>47.5</v>
      </c>
      <c r="I656">
        <v>350</v>
      </c>
      <c r="J656">
        <v>180</v>
      </c>
      <c r="K656">
        <v>300</v>
      </c>
      <c r="L656">
        <v>82.75</v>
      </c>
    </row>
    <row r="657" spans="1:12" x14ac:dyDescent="0.25">
      <c r="A657" t="s">
        <v>351</v>
      </c>
      <c r="B657" t="s">
        <v>916</v>
      </c>
      <c r="C657" t="s">
        <v>917</v>
      </c>
      <c r="D657" t="s">
        <v>20</v>
      </c>
      <c r="E657" t="s">
        <v>75</v>
      </c>
      <c r="F657">
        <v>4</v>
      </c>
      <c r="G657">
        <v>12000</v>
      </c>
      <c r="H657">
        <v>45.6</v>
      </c>
      <c r="I657">
        <v>300</v>
      </c>
      <c r="J657">
        <v>80</v>
      </c>
      <c r="K657">
        <v>350</v>
      </c>
      <c r="L657">
        <v>35.25</v>
      </c>
    </row>
    <row r="658" spans="1:12" x14ac:dyDescent="0.25">
      <c r="A658" t="s">
        <v>41</v>
      </c>
      <c r="B658" t="s">
        <v>41</v>
      </c>
      <c r="C658" t="s">
        <v>405</v>
      </c>
      <c r="D658" t="s">
        <v>15</v>
      </c>
      <c r="E658" t="s">
        <v>1369</v>
      </c>
      <c r="F658">
        <v>4</v>
      </c>
      <c r="G658">
        <v>40000</v>
      </c>
      <c r="H658">
        <v>83.8</v>
      </c>
      <c r="I658">
        <v>1100</v>
      </c>
      <c r="J658">
        <v>90</v>
      </c>
      <c r="K658">
        <v>800</v>
      </c>
      <c r="L658">
        <v>1.35</v>
      </c>
    </row>
    <row r="659" spans="1:12" x14ac:dyDescent="0.25">
      <c r="A659" t="s">
        <v>354</v>
      </c>
      <c r="B659" t="s">
        <v>918</v>
      </c>
      <c r="C659" t="s">
        <v>919</v>
      </c>
      <c r="D659" t="s">
        <v>136</v>
      </c>
      <c r="E659" t="s">
        <v>16</v>
      </c>
      <c r="F659">
        <v>2</v>
      </c>
      <c r="G659">
        <v>27000</v>
      </c>
      <c r="H659">
        <v>71.8</v>
      </c>
      <c r="I659">
        <v>1000</v>
      </c>
      <c r="J659">
        <v>270</v>
      </c>
      <c r="K659">
        <v>750</v>
      </c>
      <c r="L659">
        <v>3.67</v>
      </c>
    </row>
    <row r="660" spans="1:12" x14ac:dyDescent="0.25">
      <c r="A660" t="s">
        <v>335</v>
      </c>
      <c r="B660" t="s">
        <v>920</v>
      </c>
      <c r="C660" t="s">
        <v>921</v>
      </c>
      <c r="D660" t="s">
        <v>63</v>
      </c>
      <c r="E660" t="s">
        <v>16</v>
      </c>
      <c r="F660">
        <v>2</v>
      </c>
      <c r="G660">
        <v>0</v>
      </c>
      <c r="H660">
        <v>51.4</v>
      </c>
      <c r="I660">
        <v>450</v>
      </c>
      <c r="J660">
        <v>90</v>
      </c>
      <c r="K660">
        <v>400</v>
      </c>
      <c r="L660">
        <v>4.95</v>
      </c>
    </row>
    <row r="661" spans="1:12" x14ac:dyDescent="0.25">
      <c r="A661" t="s">
        <v>155</v>
      </c>
      <c r="B661" t="s">
        <v>922</v>
      </c>
      <c r="C661" t="s">
        <v>923</v>
      </c>
      <c r="D661" t="s">
        <v>40</v>
      </c>
      <c r="E661" t="s">
        <v>1369</v>
      </c>
      <c r="F661">
        <v>4</v>
      </c>
      <c r="G661">
        <v>1900</v>
      </c>
      <c r="H661">
        <v>44.8</v>
      </c>
      <c r="I661">
        <v>320</v>
      </c>
      <c r="J661">
        <v>180</v>
      </c>
      <c r="K661">
        <v>300</v>
      </c>
      <c r="L661">
        <v>82.75</v>
      </c>
    </row>
    <row r="662" spans="1:12" x14ac:dyDescent="0.25">
      <c r="A662" t="s">
        <v>351</v>
      </c>
      <c r="B662" t="s">
        <v>924</v>
      </c>
      <c r="C662" t="s">
        <v>925</v>
      </c>
      <c r="D662" t="s">
        <v>222</v>
      </c>
      <c r="E662" t="s">
        <v>16</v>
      </c>
      <c r="F662">
        <v>2</v>
      </c>
      <c r="G662">
        <v>11000</v>
      </c>
      <c r="H662">
        <v>42.5</v>
      </c>
      <c r="I662">
        <v>250</v>
      </c>
      <c r="J662">
        <v>80</v>
      </c>
      <c r="K662">
        <v>350</v>
      </c>
      <c r="L662">
        <v>35.25</v>
      </c>
    </row>
    <row r="663" spans="1:12" x14ac:dyDescent="0.25">
      <c r="A663" t="s">
        <v>366</v>
      </c>
      <c r="B663" t="s">
        <v>926</v>
      </c>
      <c r="C663" t="s">
        <v>927</v>
      </c>
      <c r="D663" t="s">
        <v>207</v>
      </c>
      <c r="E663" t="s">
        <v>16</v>
      </c>
      <c r="F663">
        <v>2</v>
      </c>
      <c r="G663">
        <v>2200</v>
      </c>
      <c r="H663">
        <v>30.5</v>
      </c>
      <c r="I663">
        <v>200</v>
      </c>
      <c r="J663">
        <v>100</v>
      </c>
      <c r="K663">
        <v>200</v>
      </c>
      <c r="L663">
        <v>30.9</v>
      </c>
    </row>
    <row r="664" spans="1:12" x14ac:dyDescent="0.25">
      <c r="A664" t="s">
        <v>41</v>
      </c>
      <c r="B664" t="s">
        <v>41</v>
      </c>
      <c r="C664" t="s">
        <v>406</v>
      </c>
      <c r="D664" t="s">
        <v>71</v>
      </c>
      <c r="E664" t="s">
        <v>75</v>
      </c>
      <c r="F664">
        <v>4</v>
      </c>
      <c r="G664">
        <v>38000</v>
      </c>
      <c r="H664">
        <v>83.8</v>
      </c>
      <c r="I664">
        <v>1150</v>
      </c>
      <c r="J664">
        <v>90</v>
      </c>
      <c r="K664">
        <v>800</v>
      </c>
      <c r="L664">
        <v>1.35</v>
      </c>
    </row>
    <row r="665" spans="1:12" x14ac:dyDescent="0.25">
      <c r="A665" t="s">
        <v>354</v>
      </c>
      <c r="B665" t="s">
        <v>928</v>
      </c>
      <c r="C665" t="s">
        <v>929</v>
      </c>
      <c r="D665" t="s">
        <v>15</v>
      </c>
      <c r="E665" t="s">
        <v>1369</v>
      </c>
      <c r="F665">
        <v>4</v>
      </c>
      <c r="G665">
        <v>26000</v>
      </c>
      <c r="H665">
        <v>68.5</v>
      </c>
      <c r="I665">
        <v>900</v>
      </c>
      <c r="J665">
        <v>270</v>
      </c>
      <c r="K665">
        <v>750</v>
      </c>
      <c r="L665">
        <v>3.67</v>
      </c>
    </row>
    <row r="666" spans="1:12" x14ac:dyDescent="0.25">
      <c r="A666" t="s">
        <v>335</v>
      </c>
      <c r="B666" t="s">
        <v>930</v>
      </c>
      <c r="C666" t="s">
        <v>931</v>
      </c>
      <c r="D666" t="s">
        <v>20</v>
      </c>
      <c r="E666" t="s">
        <v>75</v>
      </c>
      <c r="F666">
        <v>4</v>
      </c>
      <c r="G666">
        <v>0</v>
      </c>
      <c r="H666">
        <v>49.8</v>
      </c>
      <c r="I666">
        <v>400</v>
      </c>
      <c r="J666">
        <v>90</v>
      </c>
      <c r="K666">
        <v>400</v>
      </c>
      <c r="L666">
        <v>4.95</v>
      </c>
    </row>
    <row r="667" spans="1:12" x14ac:dyDescent="0.25">
      <c r="A667" t="s">
        <v>155</v>
      </c>
      <c r="B667" t="s">
        <v>932</v>
      </c>
      <c r="C667" t="s">
        <v>933</v>
      </c>
      <c r="D667" t="s">
        <v>207</v>
      </c>
      <c r="E667" t="s">
        <v>16</v>
      </c>
      <c r="F667">
        <v>2</v>
      </c>
      <c r="G667">
        <v>1700</v>
      </c>
      <c r="H667">
        <v>42.4</v>
      </c>
      <c r="I667">
        <v>280</v>
      </c>
      <c r="J667">
        <v>180</v>
      </c>
      <c r="K667">
        <v>300</v>
      </c>
      <c r="L667">
        <v>82.75</v>
      </c>
    </row>
    <row r="668" spans="1:12" x14ac:dyDescent="0.25">
      <c r="A668" t="s">
        <v>351</v>
      </c>
      <c r="B668" t="s">
        <v>934</v>
      </c>
      <c r="C668" t="s">
        <v>935</v>
      </c>
      <c r="D668" t="s">
        <v>63</v>
      </c>
      <c r="E668" t="s">
        <v>16</v>
      </c>
      <c r="F668">
        <v>2</v>
      </c>
      <c r="G668">
        <v>10000</v>
      </c>
      <c r="H668">
        <v>44.8</v>
      </c>
      <c r="I668">
        <v>300</v>
      </c>
      <c r="J668">
        <v>80</v>
      </c>
      <c r="K668">
        <v>350</v>
      </c>
      <c r="L668">
        <v>35.25</v>
      </c>
    </row>
    <row r="669" spans="1:12" x14ac:dyDescent="0.25">
      <c r="A669" t="s">
        <v>366</v>
      </c>
      <c r="B669" t="s">
        <v>936</v>
      </c>
      <c r="C669" t="s">
        <v>937</v>
      </c>
      <c r="D669" t="s">
        <v>20</v>
      </c>
      <c r="E669" t="s">
        <v>1369</v>
      </c>
      <c r="F669">
        <v>4</v>
      </c>
      <c r="G669">
        <v>2400</v>
      </c>
      <c r="H669">
        <v>31.2</v>
      </c>
      <c r="I669">
        <v>220</v>
      </c>
      <c r="J669">
        <v>100</v>
      </c>
      <c r="K669">
        <v>200</v>
      </c>
      <c r="L669">
        <v>30.9</v>
      </c>
    </row>
    <row r="670" spans="1:12" x14ac:dyDescent="0.25">
      <c r="A670" t="s">
        <v>41</v>
      </c>
      <c r="B670" t="s">
        <v>41</v>
      </c>
      <c r="C670" t="s">
        <v>938</v>
      </c>
      <c r="D670" t="s">
        <v>40</v>
      </c>
      <c r="E670" t="s">
        <v>16</v>
      </c>
      <c r="F670">
        <v>2</v>
      </c>
      <c r="G670">
        <v>39000</v>
      </c>
      <c r="H670">
        <v>83.8</v>
      </c>
      <c r="I670">
        <v>1100</v>
      </c>
      <c r="J670">
        <v>90</v>
      </c>
      <c r="K670">
        <v>800</v>
      </c>
      <c r="L670">
        <v>1.35</v>
      </c>
    </row>
    <row r="671" spans="1:12" x14ac:dyDescent="0.25">
      <c r="A671" t="s">
        <v>354</v>
      </c>
      <c r="B671" t="s">
        <v>939</v>
      </c>
      <c r="C671" t="s">
        <v>940</v>
      </c>
      <c r="D671" t="s">
        <v>215</v>
      </c>
      <c r="E671" t="s">
        <v>75</v>
      </c>
      <c r="F671">
        <v>4</v>
      </c>
      <c r="G671">
        <v>23000</v>
      </c>
      <c r="H671">
        <v>65.400000000000006</v>
      </c>
      <c r="I671">
        <v>800</v>
      </c>
      <c r="J671">
        <v>270</v>
      </c>
      <c r="K671">
        <v>750</v>
      </c>
      <c r="L671">
        <v>3.67</v>
      </c>
    </row>
    <row r="672" spans="1:12" x14ac:dyDescent="0.25">
      <c r="A672" t="s">
        <v>335</v>
      </c>
      <c r="B672" t="s">
        <v>941</v>
      </c>
      <c r="C672" t="s">
        <v>942</v>
      </c>
      <c r="D672" t="s">
        <v>63</v>
      </c>
      <c r="E672" t="s">
        <v>16</v>
      </c>
      <c r="F672">
        <v>2</v>
      </c>
      <c r="G672">
        <v>0</v>
      </c>
      <c r="H672">
        <v>47.5</v>
      </c>
      <c r="I672">
        <v>350</v>
      </c>
      <c r="J672">
        <v>90</v>
      </c>
      <c r="K672">
        <v>400</v>
      </c>
      <c r="L672">
        <v>4.95</v>
      </c>
    </row>
    <row r="673" spans="1:12" x14ac:dyDescent="0.25">
      <c r="A673" t="s">
        <v>155</v>
      </c>
      <c r="B673" t="s">
        <v>943</v>
      </c>
      <c r="C673" t="s">
        <v>944</v>
      </c>
      <c r="D673" t="s">
        <v>71</v>
      </c>
      <c r="E673" t="s">
        <v>1369</v>
      </c>
      <c r="F673">
        <v>4</v>
      </c>
      <c r="G673">
        <v>1800</v>
      </c>
      <c r="H673">
        <v>41.2</v>
      </c>
      <c r="I673">
        <v>260</v>
      </c>
      <c r="J673">
        <v>180</v>
      </c>
      <c r="K673">
        <v>300</v>
      </c>
      <c r="L673">
        <v>82.75</v>
      </c>
    </row>
    <row r="674" spans="1:12" x14ac:dyDescent="0.25">
      <c r="A674" t="s">
        <v>351</v>
      </c>
      <c r="B674" t="s">
        <v>945</v>
      </c>
      <c r="C674" t="s">
        <v>935</v>
      </c>
      <c r="D674" t="s">
        <v>207</v>
      </c>
      <c r="E674" t="s">
        <v>75</v>
      </c>
      <c r="F674">
        <v>4</v>
      </c>
      <c r="G674">
        <v>9500</v>
      </c>
      <c r="H674">
        <v>43.2</v>
      </c>
      <c r="I674">
        <v>280</v>
      </c>
      <c r="J674">
        <v>80</v>
      </c>
      <c r="K674">
        <v>350</v>
      </c>
      <c r="L674">
        <v>35.25</v>
      </c>
    </row>
    <row r="675" spans="1:12" x14ac:dyDescent="0.25">
      <c r="A675" t="s">
        <v>366</v>
      </c>
      <c r="B675" t="s">
        <v>946</v>
      </c>
      <c r="C675" t="s">
        <v>947</v>
      </c>
      <c r="D675" t="s">
        <v>15</v>
      </c>
      <c r="E675" t="s">
        <v>16</v>
      </c>
      <c r="F675">
        <v>2</v>
      </c>
      <c r="G675">
        <v>2100</v>
      </c>
      <c r="H675">
        <v>29.8</v>
      </c>
      <c r="I675">
        <v>180</v>
      </c>
      <c r="J675">
        <v>100</v>
      </c>
      <c r="K675">
        <v>200</v>
      </c>
      <c r="L675">
        <v>30.9</v>
      </c>
    </row>
    <row r="676" spans="1:12" x14ac:dyDescent="0.25">
      <c r="A676" t="s">
        <v>41</v>
      </c>
      <c r="B676" t="s">
        <v>41</v>
      </c>
      <c r="C676" t="s">
        <v>407</v>
      </c>
      <c r="D676" t="s">
        <v>136</v>
      </c>
      <c r="E676" t="s">
        <v>1369</v>
      </c>
      <c r="F676">
        <v>4</v>
      </c>
      <c r="G676">
        <v>37000</v>
      </c>
      <c r="H676">
        <v>83.8</v>
      </c>
      <c r="I676">
        <v>1050</v>
      </c>
      <c r="J676">
        <v>90</v>
      </c>
      <c r="K676">
        <v>800</v>
      </c>
      <c r="L676">
        <v>1.35</v>
      </c>
    </row>
    <row r="677" spans="1:12" x14ac:dyDescent="0.25">
      <c r="A677" t="s">
        <v>354</v>
      </c>
      <c r="B677" t="s">
        <v>948</v>
      </c>
      <c r="C677" t="s">
        <v>949</v>
      </c>
      <c r="D677" t="s">
        <v>20</v>
      </c>
      <c r="E677" t="s">
        <v>16</v>
      </c>
      <c r="F677">
        <v>2</v>
      </c>
      <c r="G677">
        <v>24000</v>
      </c>
      <c r="H677">
        <v>64.2</v>
      </c>
      <c r="I677">
        <v>750</v>
      </c>
      <c r="J677">
        <v>270</v>
      </c>
      <c r="K677">
        <v>750</v>
      </c>
      <c r="L677">
        <v>3.67</v>
      </c>
    </row>
    <row r="678" spans="1:12" x14ac:dyDescent="0.25">
      <c r="A678" t="s">
        <v>335</v>
      </c>
      <c r="B678" t="s">
        <v>950</v>
      </c>
      <c r="C678" t="s">
        <v>951</v>
      </c>
      <c r="D678" t="s">
        <v>222</v>
      </c>
      <c r="E678" t="s">
        <v>1369</v>
      </c>
      <c r="F678">
        <v>4</v>
      </c>
      <c r="G678">
        <v>0</v>
      </c>
      <c r="H678">
        <v>48.9</v>
      </c>
      <c r="I678">
        <v>400</v>
      </c>
      <c r="J678">
        <v>90</v>
      </c>
      <c r="K678">
        <v>400</v>
      </c>
      <c r="L678">
        <v>4.95</v>
      </c>
    </row>
    <row r="679" spans="1:12" x14ac:dyDescent="0.25">
      <c r="A679" t="s">
        <v>155</v>
      </c>
      <c r="B679" t="s">
        <v>952</v>
      </c>
      <c r="C679" t="s">
        <v>953</v>
      </c>
      <c r="D679" t="s">
        <v>15</v>
      </c>
      <c r="E679" t="s">
        <v>16</v>
      </c>
      <c r="F679">
        <v>2</v>
      </c>
      <c r="G679">
        <v>1600</v>
      </c>
      <c r="H679">
        <v>40.5</v>
      </c>
      <c r="I679">
        <v>250</v>
      </c>
      <c r="J679">
        <v>180</v>
      </c>
      <c r="K679">
        <v>300</v>
      </c>
      <c r="L679">
        <v>82.75</v>
      </c>
    </row>
    <row r="680" spans="1:12" x14ac:dyDescent="0.25">
      <c r="A680" t="s">
        <v>351</v>
      </c>
      <c r="B680" t="s">
        <v>954</v>
      </c>
      <c r="C680" t="s">
        <v>955</v>
      </c>
      <c r="D680" t="s">
        <v>251</v>
      </c>
      <c r="E680" t="s">
        <v>16</v>
      </c>
      <c r="F680">
        <v>2</v>
      </c>
      <c r="G680">
        <v>9000</v>
      </c>
      <c r="H680">
        <v>41.8</v>
      </c>
      <c r="I680">
        <v>250</v>
      </c>
      <c r="J680">
        <v>80</v>
      </c>
      <c r="K680">
        <v>350</v>
      </c>
      <c r="L680">
        <v>35.25</v>
      </c>
    </row>
    <row r="681" spans="1:12" x14ac:dyDescent="0.25">
      <c r="A681" t="s">
        <v>366</v>
      </c>
      <c r="B681" t="s">
        <v>956</v>
      </c>
      <c r="C681" t="s">
        <v>957</v>
      </c>
      <c r="D681" t="s">
        <v>215</v>
      </c>
      <c r="E681" t="s">
        <v>75</v>
      </c>
      <c r="F681">
        <v>4</v>
      </c>
      <c r="G681">
        <v>2000</v>
      </c>
      <c r="H681">
        <v>28.5</v>
      </c>
      <c r="I681">
        <v>170</v>
      </c>
      <c r="J681">
        <v>100</v>
      </c>
      <c r="K681">
        <v>200</v>
      </c>
      <c r="L681">
        <v>30.9</v>
      </c>
    </row>
    <row r="682" spans="1:12" x14ac:dyDescent="0.25">
      <c r="A682" t="s">
        <v>41</v>
      </c>
      <c r="B682" t="s">
        <v>41</v>
      </c>
      <c r="C682" t="s">
        <v>958</v>
      </c>
      <c r="D682" t="s">
        <v>207</v>
      </c>
      <c r="E682" t="s">
        <v>75</v>
      </c>
      <c r="F682">
        <v>4</v>
      </c>
      <c r="G682">
        <v>35000</v>
      </c>
      <c r="H682">
        <v>83.8</v>
      </c>
      <c r="I682">
        <v>1000</v>
      </c>
      <c r="J682">
        <v>90</v>
      </c>
      <c r="K682">
        <v>800</v>
      </c>
      <c r="L682">
        <v>1.35</v>
      </c>
    </row>
    <row r="683" spans="1:12" x14ac:dyDescent="0.25">
      <c r="A683" t="s">
        <v>354</v>
      </c>
      <c r="B683" t="s">
        <v>959</v>
      </c>
      <c r="C683" t="s">
        <v>960</v>
      </c>
      <c r="D683" t="s">
        <v>63</v>
      </c>
      <c r="E683" t="s">
        <v>16</v>
      </c>
      <c r="F683">
        <v>2</v>
      </c>
      <c r="G683">
        <v>22000</v>
      </c>
      <c r="H683">
        <v>62.5</v>
      </c>
      <c r="I683">
        <v>700</v>
      </c>
      <c r="J683">
        <v>270</v>
      </c>
      <c r="K683">
        <v>750</v>
      </c>
      <c r="L683">
        <v>3.67</v>
      </c>
    </row>
    <row r="684" spans="1:12" x14ac:dyDescent="0.25">
      <c r="A684" t="s">
        <v>335</v>
      </c>
      <c r="B684" t="s">
        <v>961</v>
      </c>
      <c r="C684" t="s">
        <v>962</v>
      </c>
      <c r="D684" t="s">
        <v>20</v>
      </c>
      <c r="E684" t="s">
        <v>16</v>
      </c>
      <c r="F684">
        <v>2</v>
      </c>
      <c r="G684">
        <v>0</v>
      </c>
      <c r="H684">
        <v>46.8</v>
      </c>
      <c r="I684">
        <v>380</v>
      </c>
      <c r="J684">
        <v>90</v>
      </c>
      <c r="K684">
        <v>400</v>
      </c>
      <c r="L684">
        <v>4.95</v>
      </c>
    </row>
    <row r="685" spans="1:12" x14ac:dyDescent="0.25">
      <c r="A685" t="s">
        <v>155</v>
      </c>
      <c r="B685" t="s">
        <v>963</v>
      </c>
      <c r="C685" t="s">
        <v>964</v>
      </c>
      <c r="D685" t="s">
        <v>40</v>
      </c>
      <c r="E685" t="s">
        <v>1369</v>
      </c>
      <c r="F685">
        <v>4</v>
      </c>
      <c r="G685">
        <v>1900</v>
      </c>
      <c r="H685">
        <v>39.799999999999997</v>
      </c>
      <c r="I685">
        <v>240</v>
      </c>
      <c r="J685">
        <v>180</v>
      </c>
      <c r="K685">
        <v>300</v>
      </c>
      <c r="L685">
        <v>82.75</v>
      </c>
    </row>
    <row r="686" spans="1:12" x14ac:dyDescent="0.25">
      <c r="A686" t="s">
        <v>351</v>
      </c>
      <c r="B686" t="s">
        <v>965</v>
      </c>
      <c r="C686" t="s">
        <v>966</v>
      </c>
      <c r="D686" t="s">
        <v>63</v>
      </c>
      <c r="E686" t="s">
        <v>75</v>
      </c>
      <c r="F686">
        <v>4</v>
      </c>
      <c r="G686">
        <v>8500</v>
      </c>
      <c r="H686">
        <v>42.5</v>
      </c>
      <c r="I686">
        <v>270</v>
      </c>
      <c r="J686">
        <v>80</v>
      </c>
      <c r="K686">
        <v>350</v>
      </c>
      <c r="L686">
        <v>35.25</v>
      </c>
    </row>
    <row r="687" spans="1:12" x14ac:dyDescent="0.25">
      <c r="A687" t="s">
        <v>366</v>
      </c>
      <c r="B687" t="s">
        <v>967</v>
      </c>
      <c r="C687" t="s">
        <v>968</v>
      </c>
      <c r="D687" t="s">
        <v>71</v>
      </c>
      <c r="E687" t="s">
        <v>16</v>
      </c>
      <c r="F687">
        <v>2</v>
      </c>
      <c r="G687">
        <v>1900</v>
      </c>
      <c r="H687">
        <v>27.8</v>
      </c>
      <c r="I687">
        <v>160</v>
      </c>
      <c r="J687">
        <v>100</v>
      </c>
      <c r="K687">
        <v>200</v>
      </c>
      <c r="L687">
        <v>30.9</v>
      </c>
    </row>
    <row r="688" spans="1:12" x14ac:dyDescent="0.25">
      <c r="A688" t="s">
        <v>354</v>
      </c>
      <c r="B688" t="s">
        <v>969</v>
      </c>
      <c r="C688" t="s">
        <v>970</v>
      </c>
      <c r="D688" t="s">
        <v>222</v>
      </c>
      <c r="E688" t="s">
        <v>75</v>
      </c>
      <c r="F688">
        <v>4</v>
      </c>
      <c r="G688">
        <v>21000</v>
      </c>
      <c r="H688">
        <v>61.4</v>
      </c>
      <c r="I688">
        <v>650</v>
      </c>
      <c r="J688">
        <v>270</v>
      </c>
      <c r="K688">
        <v>750</v>
      </c>
      <c r="L688">
        <v>3.67</v>
      </c>
    </row>
    <row r="689" spans="1:12" x14ac:dyDescent="0.25">
      <c r="A689" t="s">
        <v>971</v>
      </c>
      <c r="B689" t="s">
        <v>972</v>
      </c>
      <c r="C689" t="s">
        <v>973</v>
      </c>
      <c r="D689" t="s">
        <v>15</v>
      </c>
      <c r="E689" t="s">
        <v>16</v>
      </c>
      <c r="F689">
        <v>2</v>
      </c>
      <c r="G689">
        <v>0</v>
      </c>
      <c r="H689">
        <v>84.5</v>
      </c>
      <c r="I689">
        <v>1200</v>
      </c>
      <c r="J689">
        <v>140</v>
      </c>
      <c r="K689">
        <v>900</v>
      </c>
      <c r="L689">
        <v>137.5</v>
      </c>
    </row>
    <row r="690" spans="1:12" x14ac:dyDescent="0.25">
      <c r="A690" t="s">
        <v>974</v>
      </c>
      <c r="B690" t="s">
        <v>975</v>
      </c>
      <c r="C690" t="s">
        <v>976</v>
      </c>
      <c r="D690" t="s">
        <v>207</v>
      </c>
      <c r="E690" t="s">
        <v>16</v>
      </c>
      <c r="F690">
        <v>2</v>
      </c>
      <c r="G690">
        <v>3500</v>
      </c>
      <c r="H690">
        <v>41.2</v>
      </c>
      <c r="I690">
        <v>400</v>
      </c>
      <c r="J690">
        <v>80</v>
      </c>
      <c r="K690">
        <v>300</v>
      </c>
      <c r="L690">
        <v>3950</v>
      </c>
    </row>
    <row r="691" spans="1:12" x14ac:dyDescent="0.25">
      <c r="A691" t="s">
        <v>160</v>
      </c>
      <c r="B691" t="s">
        <v>161</v>
      </c>
      <c r="C691" t="s">
        <v>162</v>
      </c>
      <c r="D691" t="s">
        <v>20</v>
      </c>
      <c r="E691" t="s">
        <v>1369</v>
      </c>
      <c r="F691">
        <v>4</v>
      </c>
      <c r="G691">
        <v>3000</v>
      </c>
      <c r="H691">
        <v>54.8</v>
      </c>
      <c r="I691">
        <v>650</v>
      </c>
      <c r="J691">
        <v>80</v>
      </c>
      <c r="K691">
        <v>400</v>
      </c>
      <c r="L691">
        <v>4.0999999999999996</v>
      </c>
    </row>
    <row r="692" spans="1:12" x14ac:dyDescent="0.25">
      <c r="A692" t="s">
        <v>977</v>
      </c>
      <c r="B692" t="s">
        <v>978</v>
      </c>
      <c r="C692" t="s">
        <v>979</v>
      </c>
      <c r="D692" t="s">
        <v>63</v>
      </c>
      <c r="E692" t="s">
        <v>75</v>
      </c>
      <c r="F692">
        <v>3</v>
      </c>
      <c r="G692">
        <v>2500</v>
      </c>
      <c r="H692">
        <v>45.2</v>
      </c>
      <c r="I692">
        <v>450</v>
      </c>
      <c r="J692">
        <v>120</v>
      </c>
      <c r="K692">
        <v>350</v>
      </c>
      <c r="L692">
        <v>4.6500000000000004</v>
      </c>
    </row>
    <row r="693" spans="1:12" x14ac:dyDescent="0.25">
      <c r="A693" t="s">
        <v>980</v>
      </c>
      <c r="B693" t="s">
        <v>981</v>
      </c>
      <c r="C693" t="s">
        <v>982</v>
      </c>
      <c r="D693" t="s">
        <v>40</v>
      </c>
      <c r="E693" t="s">
        <v>16</v>
      </c>
      <c r="F693">
        <v>2</v>
      </c>
      <c r="G693">
        <v>400</v>
      </c>
      <c r="H693">
        <v>83.2</v>
      </c>
      <c r="I693">
        <v>1400</v>
      </c>
      <c r="J693">
        <v>100</v>
      </c>
      <c r="K693">
        <v>800</v>
      </c>
      <c r="L693">
        <v>0.92</v>
      </c>
    </row>
    <row r="694" spans="1:12" x14ac:dyDescent="0.25">
      <c r="A694" t="s">
        <v>372</v>
      </c>
      <c r="B694" t="s">
        <v>373</v>
      </c>
      <c r="C694" t="s">
        <v>374</v>
      </c>
      <c r="D694" t="s">
        <v>215</v>
      </c>
      <c r="E694" t="s">
        <v>16</v>
      </c>
      <c r="F694">
        <v>2</v>
      </c>
      <c r="G694">
        <v>5000</v>
      </c>
      <c r="H694">
        <v>45.8</v>
      </c>
      <c r="I694">
        <v>400</v>
      </c>
      <c r="J694">
        <v>150</v>
      </c>
      <c r="K694">
        <v>250</v>
      </c>
      <c r="L694">
        <v>15600</v>
      </c>
    </row>
    <row r="695" spans="1:12" x14ac:dyDescent="0.25">
      <c r="A695" t="s">
        <v>971</v>
      </c>
      <c r="B695" t="s">
        <v>983</v>
      </c>
      <c r="C695" t="s">
        <v>984</v>
      </c>
      <c r="D695" t="s">
        <v>71</v>
      </c>
      <c r="E695" t="s">
        <v>75</v>
      </c>
      <c r="F695">
        <v>3</v>
      </c>
      <c r="G695">
        <v>0</v>
      </c>
      <c r="H695">
        <v>78.400000000000006</v>
      </c>
      <c r="I695">
        <v>900</v>
      </c>
      <c r="J695">
        <v>140</v>
      </c>
      <c r="K695">
        <v>900</v>
      </c>
      <c r="L695">
        <v>137.5</v>
      </c>
    </row>
    <row r="696" spans="1:12" x14ac:dyDescent="0.25">
      <c r="A696" t="s">
        <v>974</v>
      </c>
      <c r="B696" t="s">
        <v>985</v>
      </c>
      <c r="C696" t="s">
        <v>986</v>
      </c>
      <c r="D696" t="s">
        <v>15</v>
      </c>
      <c r="E696" t="s">
        <v>1369</v>
      </c>
      <c r="F696">
        <v>4</v>
      </c>
      <c r="G696">
        <v>4000</v>
      </c>
      <c r="H696">
        <v>38.5</v>
      </c>
      <c r="I696">
        <v>350</v>
      </c>
      <c r="J696">
        <v>80</v>
      </c>
      <c r="K696">
        <v>300</v>
      </c>
      <c r="L696">
        <v>3950</v>
      </c>
    </row>
    <row r="697" spans="1:12" x14ac:dyDescent="0.25">
      <c r="A697" t="s">
        <v>160</v>
      </c>
      <c r="B697" t="s">
        <v>987</v>
      </c>
      <c r="C697" t="s">
        <v>988</v>
      </c>
      <c r="D697" t="s">
        <v>241</v>
      </c>
      <c r="E697" t="s">
        <v>16</v>
      </c>
      <c r="F697">
        <v>2</v>
      </c>
      <c r="G697">
        <v>2800</v>
      </c>
      <c r="H697">
        <v>52.4</v>
      </c>
      <c r="I697">
        <v>600</v>
      </c>
      <c r="J697">
        <v>80</v>
      </c>
      <c r="K697">
        <v>400</v>
      </c>
      <c r="L697">
        <v>4.0999999999999996</v>
      </c>
    </row>
    <row r="698" spans="1:12" x14ac:dyDescent="0.25">
      <c r="A698" t="s">
        <v>977</v>
      </c>
      <c r="B698" t="s">
        <v>989</v>
      </c>
      <c r="C698" t="s">
        <v>990</v>
      </c>
      <c r="D698" t="s">
        <v>20</v>
      </c>
      <c r="E698" t="s">
        <v>16</v>
      </c>
      <c r="F698">
        <v>2</v>
      </c>
      <c r="G698">
        <v>2200</v>
      </c>
      <c r="H698">
        <v>43.8</v>
      </c>
      <c r="I698">
        <v>400</v>
      </c>
      <c r="J698">
        <v>120</v>
      </c>
      <c r="K698">
        <v>350</v>
      </c>
      <c r="L698">
        <v>4.6500000000000004</v>
      </c>
    </row>
    <row r="699" spans="1:12" x14ac:dyDescent="0.25">
      <c r="A699" t="s">
        <v>980</v>
      </c>
      <c r="B699" t="s">
        <v>991</v>
      </c>
      <c r="C699" t="s">
        <v>992</v>
      </c>
      <c r="D699" t="s">
        <v>251</v>
      </c>
      <c r="E699" t="s">
        <v>16</v>
      </c>
      <c r="F699">
        <v>2</v>
      </c>
      <c r="G699">
        <v>400</v>
      </c>
      <c r="H699">
        <v>79.5</v>
      </c>
      <c r="I699">
        <v>1200</v>
      </c>
      <c r="J699">
        <v>100</v>
      </c>
      <c r="K699">
        <v>800</v>
      </c>
      <c r="L699">
        <v>0.92</v>
      </c>
    </row>
    <row r="700" spans="1:12" x14ac:dyDescent="0.25">
      <c r="A700" t="s">
        <v>372</v>
      </c>
      <c r="B700" t="s">
        <v>993</v>
      </c>
      <c r="C700" t="s">
        <v>994</v>
      </c>
      <c r="D700" t="s">
        <v>63</v>
      </c>
      <c r="E700" t="s">
        <v>1369</v>
      </c>
      <c r="F700">
        <v>4</v>
      </c>
      <c r="G700">
        <v>4500</v>
      </c>
      <c r="H700">
        <v>42.4</v>
      </c>
      <c r="I700">
        <v>300</v>
      </c>
      <c r="J700">
        <v>150</v>
      </c>
      <c r="K700">
        <v>250</v>
      </c>
      <c r="L700">
        <v>15600</v>
      </c>
    </row>
    <row r="701" spans="1:12" x14ac:dyDescent="0.25">
      <c r="A701" t="s">
        <v>971</v>
      </c>
      <c r="B701" t="s">
        <v>972</v>
      </c>
      <c r="C701" t="s">
        <v>995</v>
      </c>
      <c r="D701" t="s">
        <v>136</v>
      </c>
      <c r="E701" t="s">
        <v>16</v>
      </c>
      <c r="F701">
        <v>2</v>
      </c>
      <c r="G701">
        <v>0</v>
      </c>
      <c r="H701">
        <v>84.5</v>
      </c>
      <c r="I701">
        <v>1150</v>
      </c>
      <c r="J701">
        <v>140</v>
      </c>
      <c r="K701">
        <v>900</v>
      </c>
      <c r="L701">
        <v>137.5</v>
      </c>
    </row>
    <row r="702" spans="1:12" x14ac:dyDescent="0.25">
      <c r="A702" t="s">
        <v>974</v>
      </c>
      <c r="B702" t="s">
        <v>996</v>
      </c>
      <c r="C702" t="s">
        <v>997</v>
      </c>
      <c r="D702" t="s">
        <v>222</v>
      </c>
      <c r="E702" t="s">
        <v>75</v>
      </c>
      <c r="F702">
        <v>4</v>
      </c>
      <c r="G702">
        <v>3200</v>
      </c>
      <c r="H702">
        <v>36.799999999999997</v>
      </c>
      <c r="I702">
        <v>300</v>
      </c>
      <c r="J702">
        <v>80</v>
      </c>
      <c r="K702">
        <v>300</v>
      </c>
      <c r="L702">
        <v>3950</v>
      </c>
    </row>
    <row r="703" spans="1:12" x14ac:dyDescent="0.25">
      <c r="A703" t="s">
        <v>160</v>
      </c>
      <c r="B703" t="s">
        <v>998</v>
      </c>
      <c r="C703" t="s">
        <v>999</v>
      </c>
      <c r="D703" t="s">
        <v>40</v>
      </c>
      <c r="E703" t="s">
        <v>16</v>
      </c>
      <c r="F703">
        <v>2</v>
      </c>
      <c r="G703">
        <v>2600</v>
      </c>
      <c r="H703">
        <v>50.5</v>
      </c>
      <c r="I703">
        <v>550</v>
      </c>
      <c r="J703">
        <v>80</v>
      </c>
      <c r="K703">
        <v>400</v>
      </c>
      <c r="L703">
        <v>4.0999999999999996</v>
      </c>
    </row>
    <row r="704" spans="1:12" x14ac:dyDescent="0.25">
      <c r="A704" t="s">
        <v>977</v>
      </c>
      <c r="B704" t="s">
        <v>1000</v>
      </c>
      <c r="C704" t="s">
        <v>1001</v>
      </c>
      <c r="D704" t="s">
        <v>207</v>
      </c>
      <c r="E704" t="s">
        <v>1369</v>
      </c>
      <c r="F704">
        <v>4</v>
      </c>
      <c r="G704">
        <v>2400</v>
      </c>
      <c r="H704">
        <v>42.5</v>
      </c>
      <c r="I704">
        <v>380</v>
      </c>
      <c r="J704">
        <v>120</v>
      </c>
      <c r="K704">
        <v>350</v>
      </c>
      <c r="L704">
        <v>4.6500000000000004</v>
      </c>
    </row>
    <row r="705" spans="1:12" x14ac:dyDescent="0.25">
      <c r="A705" t="s">
        <v>980</v>
      </c>
      <c r="B705" t="s">
        <v>1002</v>
      </c>
      <c r="C705" t="s">
        <v>1003</v>
      </c>
      <c r="D705" t="s">
        <v>15</v>
      </c>
      <c r="E705" t="s">
        <v>75</v>
      </c>
      <c r="F705">
        <v>3</v>
      </c>
      <c r="G705">
        <v>400</v>
      </c>
      <c r="H705">
        <v>78.400000000000006</v>
      </c>
      <c r="I705">
        <v>1100</v>
      </c>
      <c r="J705">
        <v>100</v>
      </c>
      <c r="K705">
        <v>800</v>
      </c>
      <c r="L705">
        <v>0.92</v>
      </c>
    </row>
    <row r="706" spans="1:12" x14ac:dyDescent="0.25">
      <c r="A706" t="s">
        <v>372</v>
      </c>
      <c r="B706" t="s">
        <v>1004</v>
      </c>
      <c r="C706" t="s">
        <v>1005</v>
      </c>
      <c r="D706" t="s">
        <v>20</v>
      </c>
      <c r="E706" t="s">
        <v>16</v>
      </c>
      <c r="F706">
        <v>2</v>
      </c>
      <c r="G706">
        <v>4000</v>
      </c>
      <c r="H706">
        <v>40.200000000000003</v>
      </c>
      <c r="I706">
        <v>250</v>
      </c>
      <c r="J706">
        <v>150</v>
      </c>
      <c r="K706">
        <v>250</v>
      </c>
      <c r="L706">
        <v>15600</v>
      </c>
    </row>
    <row r="707" spans="1:12" x14ac:dyDescent="0.25">
      <c r="A707" t="s">
        <v>971</v>
      </c>
      <c r="B707" t="s">
        <v>1006</v>
      </c>
      <c r="C707" t="s">
        <v>1007</v>
      </c>
      <c r="D707" t="s">
        <v>1008</v>
      </c>
      <c r="E707" t="s">
        <v>16</v>
      </c>
      <c r="F707">
        <v>2</v>
      </c>
      <c r="G707">
        <v>0</v>
      </c>
      <c r="H707">
        <v>82.1</v>
      </c>
      <c r="I707">
        <v>1000</v>
      </c>
      <c r="J707">
        <v>140</v>
      </c>
      <c r="K707">
        <v>900</v>
      </c>
      <c r="L707">
        <v>137.5</v>
      </c>
    </row>
    <row r="708" spans="1:12" x14ac:dyDescent="0.25">
      <c r="A708" t="s">
        <v>974</v>
      </c>
      <c r="B708" t="s">
        <v>1009</v>
      </c>
      <c r="C708" t="s">
        <v>1010</v>
      </c>
      <c r="D708" t="s">
        <v>63</v>
      </c>
      <c r="E708" t="s">
        <v>16</v>
      </c>
      <c r="F708">
        <v>2</v>
      </c>
      <c r="G708">
        <v>3800</v>
      </c>
      <c r="H708">
        <v>35.4</v>
      </c>
      <c r="I708">
        <v>280</v>
      </c>
      <c r="J708">
        <v>80</v>
      </c>
      <c r="K708">
        <v>300</v>
      </c>
      <c r="L708">
        <v>3950</v>
      </c>
    </row>
    <row r="709" spans="1:12" x14ac:dyDescent="0.25">
      <c r="A709" t="s">
        <v>160</v>
      </c>
      <c r="B709" t="s">
        <v>1011</v>
      </c>
      <c r="C709" t="s">
        <v>1012</v>
      </c>
      <c r="D709" t="s">
        <v>15</v>
      </c>
      <c r="E709" t="s">
        <v>1369</v>
      </c>
      <c r="F709">
        <v>4</v>
      </c>
      <c r="G709">
        <v>2700</v>
      </c>
      <c r="H709">
        <v>51.2</v>
      </c>
      <c r="I709">
        <v>580</v>
      </c>
      <c r="J709">
        <v>80</v>
      </c>
      <c r="K709">
        <v>400</v>
      </c>
      <c r="L709">
        <v>4.0999999999999996</v>
      </c>
    </row>
    <row r="710" spans="1:12" x14ac:dyDescent="0.25">
      <c r="A710" t="s">
        <v>977</v>
      </c>
      <c r="B710" t="s">
        <v>1013</v>
      </c>
      <c r="C710" t="s">
        <v>1014</v>
      </c>
      <c r="D710" t="s">
        <v>215</v>
      </c>
      <c r="E710" t="s">
        <v>16</v>
      </c>
      <c r="F710">
        <v>2</v>
      </c>
      <c r="G710">
        <v>2100</v>
      </c>
      <c r="H710">
        <v>41.8</v>
      </c>
      <c r="I710">
        <v>350</v>
      </c>
      <c r="J710">
        <v>120</v>
      </c>
      <c r="K710">
        <v>350</v>
      </c>
      <c r="L710">
        <v>4.6500000000000004</v>
      </c>
    </row>
    <row r="711" spans="1:12" x14ac:dyDescent="0.25">
      <c r="A711" t="s">
        <v>980</v>
      </c>
      <c r="B711" t="s">
        <v>1015</v>
      </c>
      <c r="C711" t="s">
        <v>1016</v>
      </c>
      <c r="D711" t="s">
        <v>71</v>
      </c>
      <c r="E711" t="s">
        <v>16</v>
      </c>
      <c r="F711">
        <v>2</v>
      </c>
      <c r="G711">
        <v>400</v>
      </c>
      <c r="H711">
        <v>81.5</v>
      </c>
      <c r="I711">
        <v>1300</v>
      </c>
      <c r="J711">
        <v>100</v>
      </c>
      <c r="K711">
        <v>800</v>
      </c>
      <c r="L711">
        <v>0.92</v>
      </c>
    </row>
    <row r="712" spans="1:12" x14ac:dyDescent="0.25">
      <c r="A712" t="s">
        <v>372</v>
      </c>
      <c r="B712" t="s">
        <v>1017</v>
      </c>
      <c r="C712" t="s">
        <v>1018</v>
      </c>
      <c r="D712" t="s">
        <v>207</v>
      </c>
      <c r="E712" t="s">
        <v>75</v>
      </c>
      <c r="F712">
        <v>4</v>
      </c>
      <c r="G712">
        <v>3800</v>
      </c>
      <c r="H712">
        <v>41.5</v>
      </c>
      <c r="I712">
        <v>280</v>
      </c>
      <c r="J712">
        <v>150</v>
      </c>
      <c r="K712">
        <v>250</v>
      </c>
      <c r="L712">
        <v>15600</v>
      </c>
    </row>
    <row r="713" spans="1:12" x14ac:dyDescent="0.25">
      <c r="A713" t="s">
        <v>971</v>
      </c>
      <c r="B713" t="s">
        <v>1019</v>
      </c>
      <c r="C713" t="s">
        <v>1020</v>
      </c>
      <c r="D713" t="s">
        <v>1021</v>
      </c>
      <c r="E713" t="s">
        <v>75</v>
      </c>
      <c r="F713">
        <v>3</v>
      </c>
      <c r="G713">
        <v>0</v>
      </c>
      <c r="H713">
        <v>81.2</v>
      </c>
      <c r="I713">
        <v>950</v>
      </c>
      <c r="J713">
        <v>140</v>
      </c>
      <c r="K713">
        <v>900</v>
      </c>
      <c r="L713">
        <v>137.5</v>
      </c>
    </row>
    <row r="714" spans="1:12" x14ac:dyDescent="0.25">
      <c r="A714" t="s">
        <v>974</v>
      </c>
      <c r="B714" t="s">
        <v>1022</v>
      </c>
      <c r="C714" t="s">
        <v>1023</v>
      </c>
      <c r="D714" t="s">
        <v>20</v>
      </c>
      <c r="E714" t="s">
        <v>1369</v>
      </c>
      <c r="F714">
        <v>4</v>
      </c>
      <c r="G714">
        <v>3500</v>
      </c>
      <c r="H714">
        <v>34.799999999999997</v>
      </c>
      <c r="I714">
        <v>260</v>
      </c>
      <c r="J714">
        <v>80</v>
      </c>
      <c r="K714">
        <v>300</v>
      </c>
      <c r="L714">
        <v>3950</v>
      </c>
    </row>
    <row r="715" spans="1:12" x14ac:dyDescent="0.25">
      <c r="A715" t="s">
        <v>160</v>
      </c>
      <c r="B715" t="s">
        <v>1024</v>
      </c>
      <c r="C715" t="s">
        <v>1025</v>
      </c>
      <c r="D715" t="s">
        <v>300</v>
      </c>
      <c r="E715" t="s">
        <v>16</v>
      </c>
      <c r="F715">
        <v>2</v>
      </c>
      <c r="G715">
        <v>2500</v>
      </c>
      <c r="H715">
        <v>49.8</v>
      </c>
      <c r="I715">
        <v>520</v>
      </c>
      <c r="J715">
        <v>80</v>
      </c>
      <c r="K715">
        <v>400</v>
      </c>
      <c r="L715">
        <v>4.0999999999999996</v>
      </c>
    </row>
    <row r="716" spans="1:12" x14ac:dyDescent="0.25">
      <c r="A716" t="s">
        <v>977</v>
      </c>
      <c r="B716" t="s">
        <v>1026</v>
      </c>
      <c r="C716" t="s">
        <v>1027</v>
      </c>
      <c r="D716" t="s">
        <v>63</v>
      </c>
      <c r="E716" t="s">
        <v>75</v>
      </c>
      <c r="F716">
        <v>4</v>
      </c>
      <c r="G716">
        <v>2000</v>
      </c>
      <c r="H716">
        <v>40.5</v>
      </c>
      <c r="I716">
        <v>330</v>
      </c>
      <c r="J716">
        <v>120</v>
      </c>
      <c r="K716">
        <v>350</v>
      </c>
      <c r="L716">
        <v>4.6500000000000004</v>
      </c>
    </row>
    <row r="717" spans="1:12" x14ac:dyDescent="0.25">
      <c r="A717" t="s">
        <v>980</v>
      </c>
      <c r="B717" t="s">
        <v>1028</v>
      </c>
      <c r="C717" t="s">
        <v>1029</v>
      </c>
      <c r="D717" t="s">
        <v>222</v>
      </c>
      <c r="E717" t="s">
        <v>16</v>
      </c>
      <c r="F717">
        <v>2</v>
      </c>
      <c r="G717">
        <v>400</v>
      </c>
      <c r="H717">
        <v>77.8</v>
      </c>
      <c r="I717">
        <v>1150</v>
      </c>
      <c r="J717">
        <v>100</v>
      </c>
      <c r="K717">
        <v>800</v>
      </c>
      <c r="L717">
        <v>0.92</v>
      </c>
    </row>
    <row r="718" spans="1:12" x14ac:dyDescent="0.25">
      <c r="A718" t="s">
        <v>372</v>
      </c>
      <c r="B718" t="s">
        <v>1030</v>
      </c>
      <c r="C718" t="s">
        <v>1031</v>
      </c>
      <c r="D718" t="s">
        <v>40</v>
      </c>
      <c r="E718" t="s">
        <v>16</v>
      </c>
      <c r="F718">
        <v>2</v>
      </c>
      <c r="G718">
        <v>3500</v>
      </c>
      <c r="H718">
        <v>39.799999999999997</v>
      </c>
      <c r="I718">
        <v>240</v>
      </c>
      <c r="J718">
        <v>150</v>
      </c>
      <c r="K718">
        <v>250</v>
      </c>
      <c r="L718">
        <v>15600</v>
      </c>
    </row>
    <row r="719" spans="1:12" x14ac:dyDescent="0.25">
      <c r="A719" t="s">
        <v>160</v>
      </c>
      <c r="B719" t="s">
        <v>1032</v>
      </c>
      <c r="C719" t="s">
        <v>1033</v>
      </c>
      <c r="D719" t="s">
        <v>207</v>
      </c>
      <c r="E719" t="s">
        <v>16</v>
      </c>
      <c r="F719">
        <v>2</v>
      </c>
      <c r="G719">
        <v>2400</v>
      </c>
      <c r="H719">
        <v>48.5</v>
      </c>
      <c r="I719">
        <v>500</v>
      </c>
      <c r="J719">
        <v>80</v>
      </c>
      <c r="K719">
        <v>400</v>
      </c>
      <c r="L719">
        <v>4.0999999999999996</v>
      </c>
    </row>
    <row r="720" spans="1:12" x14ac:dyDescent="0.25">
      <c r="A720" t="s">
        <v>977</v>
      </c>
      <c r="B720" t="s">
        <v>1034</v>
      </c>
      <c r="C720" t="s">
        <v>1035</v>
      </c>
      <c r="D720" t="s">
        <v>71</v>
      </c>
      <c r="E720" t="s">
        <v>16</v>
      </c>
      <c r="F720">
        <v>2</v>
      </c>
      <c r="G720">
        <v>1900</v>
      </c>
      <c r="H720">
        <v>39.799999999999997</v>
      </c>
      <c r="I720">
        <v>320</v>
      </c>
      <c r="J720">
        <v>120</v>
      </c>
      <c r="K720">
        <v>350</v>
      </c>
      <c r="L720">
        <v>4.6500000000000004</v>
      </c>
    </row>
    <row r="721" spans="1:12" x14ac:dyDescent="0.25">
      <c r="A721" t="s">
        <v>980</v>
      </c>
      <c r="B721" t="s">
        <v>1036</v>
      </c>
      <c r="C721" t="s">
        <v>1037</v>
      </c>
      <c r="D721" t="s">
        <v>456</v>
      </c>
      <c r="E721" t="s">
        <v>75</v>
      </c>
      <c r="F721">
        <v>3</v>
      </c>
      <c r="G721">
        <v>400</v>
      </c>
      <c r="H721">
        <v>76.5</v>
      </c>
      <c r="I721">
        <v>1100</v>
      </c>
      <c r="J721">
        <v>100</v>
      </c>
      <c r="K721">
        <v>800</v>
      </c>
      <c r="L721">
        <v>0.92</v>
      </c>
    </row>
    <row r="722" spans="1:12" x14ac:dyDescent="0.25">
      <c r="A722" t="s">
        <v>372</v>
      </c>
      <c r="B722" t="s">
        <v>1038</v>
      </c>
      <c r="C722" t="s">
        <v>1039</v>
      </c>
      <c r="D722" t="s">
        <v>15</v>
      </c>
      <c r="E722" t="s">
        <v>1369</v>
      </c>
      <c r="F722">
        <v>4</v>
      </c>
      <c r="G722">
        <v>3200</v>
      </c>
      <c r="H722">
        <v>38.5</v>
      </c>
      <c r="I722">
        <v>220</v>
      </c>
      <c r="J722">
        <v>150</v>
      </c>
      <c r="K722">
        <v>250</v>
      </c>
      <c r="L722">
        <v>15600</v>
      </c>
    </row>
    <row r="723" spans="1:12" x14ac:dyDescent="0.25">
      <c r="A723" t="s">
        <v>971</v>
      </c>
      <c r="B723" t="s">
        <v>1040</v>
      </c>
      <c r="C723" t="s">
        <v>1041</v>
      </c>
      <c r="D723" t="s">
        <v>1042</v>
      </c>
      <c r="E723" t="s">
        <v>16</v>
      </c>
      <c r="F723">
        <v>2</v>
      </c>
      <c r="G723">
        <v>0</v>
      </c>
      <c r="H723">
        <v>79.8</v>
      </c>
      <c r="I723">
        <v>900</v>
      </c>
      <c r="J723">
        <v>140</v>
      </c>
      <c r="K723">
        <v>900</v>
      </c>
      <c r="L723">
        <v>137.5</v>
      </c>
    </row>
    <row r="724" spans="1:12" x14ac:dyDescent="0.25">
      <c r="A724" t="s">
        <v>974</v>
      </c>
      <c r="B724" t="s">
        <v>1043</v>
      </c>
      <c r="C724" t="s">
        <v>1044</v>
      </c>
      <c r="D724" t="s">
        <v>215</v>
      </c>
      <c r="E724" t="s">
        <v>16</v>
      </c>
      <c r="F724">
        <v>2</v>
      </c>
      <c r="G724">
        <v>3300</v>
      </c>
      <c r="H724">
        <v>35.200000000000003</v>
      </c>
      <c r="I724">
        <v>290</v>
      </c>
      <c r="J724">
        <v>80</v>
      </c>
      <c r="K724">
        <v>300</v>
      </c>
      <c r="L724">
        <v>3950</v>
      </c>
    </row>
    <row r="725" spans="1:12" x14ac:dyDescent="0.25">
      <c r="A725" t="s">
        <v>160</v>
      </c>
      <c r="B725" t="s">
        <v>1045</v>
      </c>
      <c r="C725" t="s">
        <v>1046</v>
      </c>
      <c r="D725" t="s">
        <v>63</v>
      </c>
      <c r="E725" t="s">
        <v>75</v>
      </c>
      <c r="F725">
        <v>3</v>
      </c>
      <c r="G725">
        <v>2300</v>
      </c>
      <c r="H725">
        <v>47.8</v>
      </c>
      <c r="I725">
        <v>480</v>
      </c>
      <c r="J725">
        <v>80</v>
      </c>
      <c r="K725">
        <v>400</v>
      </c>
      <c r="L725">
        <v>4.0999999999999996</v>
      </c>
    </row>
    <row r="726" spans="1:12" x14ac:dyDescent="0.25">
      <c r="A726" t="s">
        <v>977</v>
      </c>
      <c r="B726" t="s">
        <v>1047</v>
      </c>
      <c r="C726" t="s">
        <v>1048</v>
      </c>
      <c r="D726" t="s">
        <v>241</v>
      </c>
      <c r="E726" t="s">
        <v>1369</v>
      </c>
      <c r="F726">
        <v>4</v>
      </c>
      <c r="G726">
        <v>2200</v>
      </c>
      <c r="H726">
        <v>38.9</v>
      </c>
      <c r="I726">
        <v>300</v>
      </c>
      <c r="J726">
        <v>120</v>
      </c>
      <c r="K726">
        <v>350</v>
      </c>
      <c r="L726">
        <v>4.6500000000000004</v>
      </c>
    </row>
    <row r="727" spans="1:12" x14ac:dyDescent="0.25">
      <c r="A727" t="s">
        <v>980</v>
      </c>
      <c r="B727" t="s">
        <v>1049</v>
      </c>
      <c r="C727" t="s">
        <v>1050</v>
      </c>
      <c r="D727" t="s">
        <v>24</v>
      </c>
      <c r="E727" t="s">
        <v>16</v>
      </c>
      <c r="F727">
        <v>2</v>
      </c>
      <c r="G727">
        <v>400</v>
      </c>
      <c r="H727">
        <v>75.400000000000006</v>
      </c>
      <c r="I727">
        <v>1050</v>
      </c>
      <c r="J727">
        <v>100</v>
      </c>
      <c r="K727">
        <v>800</v>
      </c>
      <c r="L727">
        <v>0.92</v>
      </c>
    </row>
    <row r="728" spans="1:12" x14ac:dyDescent="0.25">
      <c r="A728" t="s">
        <v>372</v>
      </c>
      <c r="B728" t="s">
        <v>1051</v>
      </c>
      <c r="C728" t="s">
        <v>1052</v>
      </c>
      <c r="D728" t="s">
        <v>222</v>
      </c>
      <c r="E728" t="s">
        <v>16</v>
      </c>
      <c r="F728">
        <v>2</v>
      </c>
      <c r="G728">
        <v>3000</v>
      </c>
      <c r="H728">
        <v>37.9</v>
      </c>
      <c r="I728">
        <v>200</v>
      </c>
      <c r="J728">
        <v>150</v>
      </c>
      <c r="K728">
        <v>250</v>
      </c>
      <c r="L728">
        <v>15600</v>
      </c>
    </row>
    <row r="729" spans="1:12" x14ac:dyDescent="0.25">
      <c r="A729" t="s">
        <v>1053</v>
      </c>
      <c r="B729" t="s">
        <v>1054</v>
      </c>
      <c r="C729" t="s">
        <v>1055</v>
      </c>
      <c r="D729" t="s">
        <v>15</v>
      </c>
      <c r="E729" t="s">
        <v>16</v>
      </c>
      <c r="F729">
        <v>2</v>
      </c>
      <c r="G729">
        <v>1500</v>
      </c>
      <c r="H729">
        <v>35.799999999999997</v>
      </c>
      <c r="I729">
        <v>250</v>
      </c>
      <c r="J729">
        <v>60</v>
      </c>
      <c r="K729">
        <v>200</v>
      </c>
      <c r="L729">
        <v>3.15</v>
      </c>
    </row>
    <row r="730" spans="1:12" x14ac:dyDescent="0.25">
      <c r="A730" t="s">
        <v>1056</v>
      </c>
      <c r="B730" t="s">
        <v>1057</v>
      </c>
      <c r="C730" t="s">
        <v>1058</v>
      </c>
      <c r="D730" t="s">
        <v>20</v>
      </c>
      <c r="E730" t="s">
        <v>16</v>
      </c>
      <c r="F730">
        <v>2</v>
      </c>
      <c r="G730">
        <v>8000</v>
      </c>
      <c r="H730">
        <v>65.400000000000006</v>
      </c>
      <c r="I730">
        <v>600</v>
      </c>
      <c r="J730">
        <v>100</v>
      </c>
      <c r="K730">
        <v>500</v>
      </c>
      <c r="L730">
        <v>0.92</v>
      </c>
    </row>
    <row r="731" spans="1:12" x14ac:dyDescent="0.25">
      <c r="A731" t="s">
        <v>1059</v>
      </c>
      <c r="B731" t="s">
        <v>1060</v>
      </c>
      <c r="C731" t="s">
        <v>1061</v>
      </c>
      <c r="D731" t="s">
        <v>207</v>
      </c>
      <c r="E731" t="s">
        <v>1369</v>
      </c>
      <c r="F731">
        <v>4</v>
      </c>
      <c r="G731">
        <v>4000</v>
      </c>
      <c r="H731">
        <v>58.9</v>
      </c>
      <c r="I731">
        <v>450</v>
      </c>
      <c r="J731">
        <v>80</v>
      </c>
      <c r="K731">
        <v>400</v>
      </c>
      <c r="L731">
        <v>7.35</v>
      </c>
    </row>
    <row r="732" spans="1:12" x14ac:dyDescent="0.25">
      <c r="A732" t="s">
        <v>1062</v>
      </c>
      <c r="B732" t="s">
        <v>1063</v>
      </c>
      <c r="C732" t="s">
        <v>1064</v>
      </c>
      <c r="D732" t="s">
        <v>63</v>
      </c>
      <c r="E732" t="s">
        <v>75</v>
      </c>
      <c r="F732">
        <v>4</v>
      </c>
      <c r="G732">
        <v>6000</v>
      </c>
      <c r="H732">
        <v>42.5</v>
      </c>
      <c r="I732">
        <v>350</v>
      </c>
      <c r="J732">
        <v>100</v>
      </c>
      <c r="K732">
        <v>300</v>
      </c>
      <c r="L732">
        <v>56.8</v>
      </c>
    </row>
    <row r="733" spans="1:12" x14ac:dyDescent="0.25">
      <c r="A733" t="s">
        <v>1065</v>
      </c>
      <c r="B733" t="s">
        <v>1066</v>
      </c>
      <c r="C733" t="s">
        <v>1067</v>
      </c>
      <c r="D733" t="s">
        <v>215</v>
      </c>
      <c r="E733" t="s">
        <v>16</v>
      </c>
      <c r="F733">
        <v>2</v>
      </c>
      <c r="G733">
        <v>2000</v>
      </c>
      <c r="H733">
        <v>41.2</v>
      </c>
      <c r="I733">
        <v>300</v>
      </c>
      <c r="J733">
        <v>70</v>
      </c>
      <c r="K733">
        <v>250</v>
      </c>
      <c r="L733">
        <v>10.15</v>
      </c>
    </row>
    <row r="734" spans="1:12" x14ac:dyDescent="0.25">
      <c r="A734" t="s">
        <v>1068</v>
      </c>
      <c r="B734" t="s">
        <v>1069</v>
      </c>
      <c r="C734" t="s">
        <v>1070</v>
      </c>
      <c r="D734" t="s">
        <v>71</v>
      </c>
      <c r="E734" t="s">
        <v>16</v>
      </c>
      <c r="F734">
        <v>2</v>
      </c>
      <c r="G734">
        <v>8500</v>
      </c>
      <c r="H734">
        <v>44.8</v>
      </c>
      <c r="I734">
        <v>400</v>
      </c>
      <c r="J734">
        <v>120</v>
      </c>
      <c r="K734">
        <v>350</v>
      </c>
      <c r="L734">
        <v>3.75</v>
      </c>
    </row>
    <row r="735" spans="1:12" x14ac:dyDescent="0.25">
      <c r="A735" t="s">
        <v>369</v>
      </c>
      <c r="B735" t="s">
        <v>370</v>
      </c>
      <c r="C735" t="s">
        <v>371</v>
      </c>
      <c r="D735" t="s">
        <v>15</v>
      </c>
      <c r="E735" t="s">
        <v>1369</v>
      </c>
      <c r="F735">
        <v>4</v>
      </c>
      <c r="G735">
        <v>0</v>
      </c>
      <c r="H735">
        <v>42.5</v>
      </c>
      <c r="I735">
        <v>350</v>
      </c>
      <c r="J735">
        <v>90</v>
      </c>
      <c r="K735">
        <v>280</v>
      </c>
      <c r="L735">
        <v>275</v>
      </c>
    </row>
    <row r="736" spans="1:12" x14ac:dyDescent="0.25">
      <c r="A736" t="s">
        <v>1053</v>
      </c>
      <c r="B736" t="s">
        <v>1071</v>
      </c>
      <c r="C736" t="s">
        <v>1072</v>
      </c>
      <c r="D736" t="s">
        <v>40</v>
      </c>
      <c r="E736" t="s">
        <v>16</v>
      </c>
      <c r="F736">
        <v>2</v>
      </c>
      <c r="G736">
        <v>1400</v>
      </c>
      <c r="H736">
        <v>33.200000000000003</v>
      </c>
      <c r="I736">
        <v>200</v>
      </c>
      <c r="J736">
        <v>60</v>
      </c>
      <c r="K736">
        <v>200</v>
      </c>
      <c r="L736">
        <v>3.15</v>
      </c>
    </row>
    <row r="737" spans="1:12" x14ac:dyDescent="0.25">
      <c r="A737" t="s">
        <v>1056</v>
      </c>
      <c r="B737" t="s">
        <v>1073</v>
      </c>
      <c r="C737" t="s">
        <v>1074</v>
      </c>
      <c r="D737" t="s">
        <v>241</v>
      </c>
      <c r="E737" t="s">
        <v>75</v>
      </c>
      <c r="F737">
        <v>4</v>
      </c>
      <c r="G737">
        <v>7500</v>
      </c>
      <c r="H737">
        <v>62.8</v>
      </c>
      <c r="I737">
        <v>550</v>
      </c>
      <c r="J737">
        <v>100</v>
      </c>
      <c r="K737">
        <v>500</v>
      </c>
      <c r="L737">
        <v>0.92</v>
      </c>
    </row>
    <row r="738" spans="1:12" x14ac:dyDescent="0.25">
      <c r="A738" t="s">
        <v>1059</v>
      </c>
      <c r="B738" t="s">
        <v>1075</v>
      </c>
      <c r="C738" t="s">
        <v>1076</v>
      </c>
      <c r="D738" t="s">
        <v>251</v>
      </c>
      <c r="E738" t="s">
        <v>16</v>
      </c>
      <c r="F738">
        <v>2</v>
      </c>
      <c r="G738">
        <v>3800</v>
      </c>
      <c r="H738">
        <v>56.4</v>
      </c>
      <c r="I738">
        <v>400</v>
      </c>
      <c r="J738">
        <v>80</v>
      </c>
      <c r="K738">
        <v>400</v>
      </c>
      <c r="L738">
        <v>7.35</v>
      </c>
    </row>
    <row r="739" spans="1:12" x14ac:dyDescent="0.25">
      <c r="A739" t="s">
        <v>1062</v>
      </c>
      <c r="B739" t="s">
        <v>1077</v>
      </c>
      <c r="C739" t="s">
        <v>1078</v>
      </c>
      <c r="D739" t="s">
        <v>222</v>
      </c>
      <c r="E739" t="s">
        <v>16</v>
      </c>
      <c r="F739">
        <v>2</v>
      </c>
      <c r="G739">
        <v>5500</v>
      </c>
      <c r="H739">
        <v>40.200000000000003</v>
      </c>
      <c r="I739">
        <v>300</v>
      </c>
      <c r="J739">
        <v>100</v>
      </c>
      <c r="K739">
        <v>300</v>
      </c>
      <c r="L739">
        <v>56.8</v>
      </c>
    </row>
    <row r="740" spans="1:12" x14ac:dyDescent="0.25">
      <c r="A740" t="s">
        <v>1065</v>
      </c>
      <c r="B740" t="s">
        <v>1079</v>
      </c>
      <c r="C740" t="s">
        <v>1080</v>
      </c>
      <c r="D740" t="s">
        <v>63</v>
      </c>
      <c r="E740" t="s">
        <v>1369</v>
      </c>
      <c r="F740">
        <v>4</v>
      </c>
      <c r="G740">
        <v>2200</v>
      </c>
      <c r="H740">
        <v>43.5</v>
      </c>
      <c r="I740">
        <v>350</v>
      </c>
      <c r="J740">
        <v>70</v>
      </c>
      <c r="K740">
        <v>250</v>
      </c>
      <c r="L740">
        <v>10.15</v>
      </c>
    </row>
    <row r="741" spans="1:12" x14ac:dyDescent="0.25">
      <c r="A741" t="s">
        <v>1068</v>
      </c>
      <c r="B741" t="s">
        <v>1081</v>
      </c>
      <c r="C741" t="s">
        <v>1082</v>
      </c>
      <c r="D741" t="s">
        <v>207</v>
      </c>
      <c r="E741" t="s">
        <v>75</v>
      </c>
      <c r="F741">
        <v>4</v>
      </c>
      <c r="G741">
        <v>7000</v>
      </c>
      <c r="H741">
        <v>41.2</v>
      </c>
      <c r="I741">
        <v>300</v>
      </c>
      <c r="J741">
        <v>120</v>
      </c>
      <c r="K741">
        <v>350</v>
      </c>
      <c r="L741">
        <v>3.75</v>
      </c>
    </row>
    <row r="742" spans="1:12" x14ac:dyDescent="0.25">
      <c r="A742" t="s">
        <v>369</v>
      </c>
      <c r="B742" t="s">
        <v>1083</v>
      </c>
      <c r="C742" t="s">
        <v>1084</v>
      </c>
      <c r="D742" t="s">
        <v>20</v>
      </c>
      <c r="E742" t="s">
        <v>16</v>
      </c>
      <c r="F742">
        <v>2</v>
      </c>
      <c r="G742">
        <v>0</v>
      </c>
      <c r="H742">
        <v>39.799999999999997</v>
      </c>
      <c r="I742">
        <v>280</v>
      </c>
      <c r="J742">
        <v>90</v>
      </c>
      <c r="K742">
        <v>280</v>
      </c>
      <c r="L742">
        <v>275</v>
      </c>
    </row>
    <row r="743" spans="1:12" x14ac:dyDescent="0.25">
      <c r="A743" t="s">
        <v>1053</v>
      </c>
      <c r="B743" t="s">
        <v>1085</v>
      </c>
      <c r="C743" t="s">
        <v>1086</v>
      </c>
      <c r="D743" t="s">
        <v>500</v>
      </c>
      <c r="E743" t="s">
        <v>75</v>
      </c>
      <c r="F743">
        <v>3</v>
      </c>
      <c r="G743">
        <v>1300</v>
      </c>
      <c r="H743">
        <v>32.5</v>
      </c>
      <c r="I743">
        <v>180</v>
      </c>
      <c r="J743">
        <v>60</v>
      </c>
      <c r="K743">
        <v>200</v>
      </c>
      <c r="L743">
        <v>3.15</v>
      </c>
    </row>
    <row r="744" spans="1:12" x14ac:dyDescent="0.25">
      <c r="A744" t="s">
        <v>1056</v>
      </c>
      <c r="B744" t="s">
        <v>1087</v>
      </c>
      <c r="C744" t="s">
        <v>1088</v>
      </c>
      <c r="D744" t="s">
        <v>40</v>
      </c>
      <c r="E744" t="s">
        <v>1369</v>
      </c>
      <c r="F744">
        <v>4</v>
      </c>
      <c r="G744">
        <v>8200</v>
      </c>
      <c r="H744">
        <v>61.5</v>
      </c>
      <c r="I744">
        <v>500</v>
      </c>
      <c r="J744">
        <v>100</v>
      </c>
      <c r="K744">
        <v>500</v>
      </c>
      <c r="L744">
        <v>0.92</v>
      </c>
    </row>
    <row r="745" spans="1:12" x14ac:dyDescent="0.25">
      <c r="A745" t="s">
        <v>1059</v>
      </c>
      <c r="B745" t="s">
        <v>1089</v>
      </c>
      <c r="C745" t="s">
        <v>1090</v>
      </c>
      <c r="D745" t="s">
        <v>215</v>
      </c>
      <c r="E745" t="s">
        <v>16</v>
      </c>
      <c r="F745">
        <v>2</v>
      </c>
      <c r="G745">
        <v>3500</v>
      </c>
      <c r="H745">
        <v>54.8</v>
      </c>
      <c r="I745">
        <v>380</v>
      </c>
      <c r="J745">
        <v>80</v>
      </c>
      <c r="K745">
        <v>400</v>
      </c>
      <c r="L745">
        <v>7.35</v>
      </c>
    </row>
    <row r="746" spans="1:12" x14ac:dyDescent="0.25">
      <c r="A746" t="s">
        <v>1062</v>
      </c>
      <c r="B746" t="s">
        <v>1091</v>
      </c>
      <c r="C746" t="s">
        <v>1092</v>
      </c>
      <c r="D746" t="s">
        <v>15</v>
      </c>
      <c r="E746" t="s">
        <v>75</v>
      </c>
      <c r="F746">
        <v>4</v>
      </c>
      <c r="G746">
        <v>5000</v>
      </c>
      <c r="H746">
        <v>38.5</v>
      </c>
      <c r="I746">
        <v>280</v>
      </c>
      <c r="J746">
        <v>100</v>
      </c>
      <c r="K746">
        <v>300</v>
      </c>
      <c r="L746">
        <v>56.8</v>
      </c>
    </row>
    <row r="747" spans="1:12" x14ac:dyDescent="0.25">
      <c r="A747" t="s">
        <v>1065</v>
      </c>
      <c r="B747" t="s">
        <v>1093</v>
      </c>
      <c r="C747" t="s">
        <v>1094</v>
      </c>
      <c r="D747" t="s">
        <v>71</v>
      </c>
      <c r="E747" t="s">
        <v>16</v>
      </c>
      <c r="F747">
        <v>2</v>
      </c>
      <c r="G747">
        <v>1800</v>
      </c>
      <c r="H747">
        <v>39.799999999999997</v>
      </c>
      <c r="I747">
        <v>250</v>
      </c>
      <c r="J747">
        <v>70</v>
      </c>
      <c r="K747">
        <v>250</v>
      </c>
      <c r="L747">
        <v>10.15</v>
      </c>
    </row>
    <row r="748" spans="1:12" x14ac:dyDescent="0.25">
      <c r="A748" t="s">
        <v>1068</v>
      </c>
      <c r="B748" t="s">
        <v>1095</v>
      </c>
      <c r="C748" t="s">
        <v>1096</v>
      </c>
      <c r="D748" t="s">
        <v>241</v>
      </c>
      <c r="E748" t="s">
        <v>1369</v>
      </c>
      <c r="F748">
        <v>4</v>
      </c>
      <c r="G748">
        <v>7500</v>
      </c>
      <c r="H748">
        <v>40.5</v>
      </c>
      <c r="I748">
        <v>280</v>
      </c>
      <c r="J748">
        <v>120</v>
      </c>
      <c r="K748">
        <v>350</v>
      </c>
      <c r="L748">
        <v>3.75</v>
      </c>
    </row>
    <row r="749" spans="1:12" x14ac:dyDescent="0.25">
      <c r="A749" t="s">
        <v>369</v>
      </c>
      <c r="B749" t="s">
        <v>1097</v>
      </c>
      <c r="C749" t="s">
        <v>1098</v>
      </c>
      <c r="D749" t="s">
        <v>63</v>
      </c>
      <c r="E749" t="s">
        <v>16</v>
      </c>
      <c r="F749">
        <v>2</v>
      </c>
      <c r="G749">
        <v>0</v>
      </c>
      <c r="H749">
        <v>38.5</v>
      </c>
      <c r="I749">
        <v>260</v>
      </c>
      <c r="J749">
        <v>90</v>
      </c>
      <c r="K749">
        <v>280</v>
      </c>
      <c r="L749">
        <v>275</v>
      </c>
    </row>
    <row r="750" spans="1:12" x14ac:dyDescent="0.25">
      <c r="A750" t="s">
        <v>1053</v>
      </c>
      <c r="B750" t="s">
        <v>1099</v>
      </c>
      <c r="C750" t="s">
        <v>1100</v>
      </c>
      <c r="D750" t="s">
        <v>20</v>
      </c>
      <c r="E750" t="s">
        <v>1369</v>
      </c>
      <c r="F750">
        <v>4</v>
      </c>
      <c r="G750">
        <v>1600</v>
      </c>
      <c r="H750">
        <v>31.8</v>
      </c>
      <c r="I750">
        <v>170</v>
      </c>
      <c r="J750">
        <v>60</v>
      </c>
      <c r="K750">
        <v>200</v>
      </c>
      <c r="L750">
        <v>3.15</v>
      </c>
    </row>
    <row r="751" spans="1:12" x14ac:dyDescent="0.25">
      <c r="A751" t="s">
        <v>1056</v>
      </c>
      <c r="B751" t="s">
        <v>1101</v>
      </c>
      <c r="C751" t="s">
        <v>1102</v>
      </c>
      <c r="D751" t="s">
        <v>207</v>
      </c>
      <c r="E751" t="s">
        <v>16</v>
      </c>
      <c r="F751">
        <v>2</v>
      </c>
      <c r="G751">
        <v>7800</v>
      </c>
      <c r="H751">
        <v>59.8</v>
      </c>
      <c r="I751">
        <v>480</v>
      </c>
      <c r="J751">
        <v>100</v>
      </c>
      <c r="K751">
        <v>500</v>
      </c>
      <c r="L751">
        <v>0.92</v>
      </c>
    </row>
    <row r="752" spans="1:12" x14ac:dyDescent="0.25">
      <c r="A752" t="s">
        <v>1059</v>
      </c>
      <c r="B752" t="s">
        <v>1103</v>
      </c>
      <c r="C752" t="s">
        <v>1104</v>
      </c>
      <c r="D752" t="s">
        <v>15</v>
      </c>
      <c r="E752" t="s">
        <v>75</v>
      </c>
      <c r="F752">
        <v>3</v>
      </c>
      <c r="G752">
        <v>3200</v>
      </c>
      <c r="H752">
        <v>52.5</v>
      </c>
      <c r="I752">
        <v>350</v>
      </c>
      <c r="J752">
        <v>80</v>
      </c>
      <c r="K752">
        <v>400</v>
      </c>
      <c r="L752">
        <v>7.35</v>
      </c>
    </row>
    <row r="753" spans="1:12" x14ac:dyDescent="0.25">
      <c r="A753" t="s">
        <v>1062</v>
      </c>
      <c r="B753" t="s">
        <v>1105</v>
      </c>
      <c r="C753" t="s">
        <v>1106</v>
      </c>
      <c r="D753" t="s">
        <v>215</v>
      </c>
      <c r="E753" t="s">
        <v>16</v>
      </c>
      <c r="F753">
        <v>2</v>
      </c>
      <c r="G753">
        <v>4800</v>
      </c>
      <c r="H753">
        <v>37.200000000000003</v>
      </c>
      <c r="I753">
        <v>260</v>
      </c>
      <c r="J753">
        <v>100</v>
      </c>
      <c r="K753">
        <v>300</v>
      </c>
      <c r="L753">
        <v>56.8</v>
      </c>
    </row>
    <row r="754" spans="1:12" x14ac:dyDescent="0.25">
      <c r="A754" t="s">
        <v>1065</v>
      </c>
      <c r="B754" t="s">
        <v>1107</v>
      </c>
      <c r="C754" t="s">
        <v>1108</v>
      </c>
      <c r="D754" t="s">
        <v>40</v>
      </c>
      <c r="E754" t="s">
        <v>1369</v>
      </c>
      <c r="F754">
        <v>4</v>
      </c>
      <c r="G754">
        <v>2100</v>
      </c>
      <c r="H754">
        <v>40.5</v>
      </c>
      <c r="I754">
        <v>280</v>
      </c>
      <c r="J754">
        <v>70</v>
      </c>
      <c r="K754">
        <v>250</v>
      </c>
      <c r="L754">
        <v>10.15</v>
      </c>
    </row>
    <row r="755" spans="1:12" x14ac:dyDescent="0.25">
      <c r="A755" t="s">
        <v>1068</v>
      </c>
      <c r="B755" t="s">
        <v>1109</v>
      </c>
      <c r="C755" t="s">
        <v>1110</v>
      </c>
      <c r="D755" t="s">
        <v>71</v>
      </c>
      <c r="E755" t="s">
        <v>16</v>
      </c>
      <c r="F755">
        <v>2</v>
      </c>
      <c r="G755">
        <v>6800</v>
      </c>
      <c r="H755">
        <v>39.799999999999997</v>
      </c>
      <c r="I755">
        <v>260</v>
      </c>
      <c r="J755">
        <v>120</v>
      </c>
      <c r="K755">
        <v>350</v>
      </c>
      <c r="L755">
        <v>3.75</v>
      </c>
    </row>
    <row r="756" spans="1:12" x14ac:dyDescent="0.25">
      <c r="A756" t="s">
        <v>369</v>
      </c>
      <c r="B756" t="s">
        <v>1111</v>
      </c>
      <c r="C756" t="s">
        <v>1112</v>
      </c>
      <c r="D756" t="s">
        <v>241</v>
      </c>
      <c r="E756" t="s">
        <v>75</v>
      </c>
      <c r="F756">
        <v>4</v>
      </c>
      <c r="G756">
        <v>0</v>
      </c>
      <c r="H756">
        <v>37.5</v>
      </c>
      <c r="I756">
        <v>240</v>
      </c>
      <c r="J756">
        <v>90</v>
      </c>
      <c r="K756">
        <v>280</v>
      </c>
      <c r="L756">
        <v>275</v>
      </c>
    </row>
    <row r="757" spans="1:12" x14ac:dyDescent="0.25">
      <c r="A757" t="s">
        <v>1053</v>
      </c>
      <c r="B757" t="s">
        <v>1113</v>
      </c>
      <c r="C757" t="s">
        <v>1114</v>
      </c>
      <c r="D757" t="s">
        <v>63</v>
      </c>
      <c r="E757" t="s">
        <v>16</v>
      </c>
      <c r="F757">
        <v>2</v>
      </c>
      <c r="G757">
        <v>1400</v>
      </c>
      <c r="H757">
        <v>30.5</v>
      </c>
      <c r="I757">
        <v>160</v>
      </c>
      <c r="J757">
        <v>60</v>
      </c>
      <c r="K757">
        <v>200</v>
      </c>
      <c r="L757">
        <v>3.15</v>
      </c>
    </row>
    <row r="758" spans="1:12" x14ac:dyDescent="0.25">
      <c r="A758" t="s">
        <v>1059</v>
      </c>
      <c r="B758" t="s">
        <v>1115</v>
      </c>
      <c r="C758" t="s">
        <v>1116</v>
      </c>
      <c r="D758" t="s">
        <v>222</v>
      </c>
      <c r="E758" t="s">
        <v>1369</v>
      </c>
      <c r="F758">
        <v>4</v>
      </c>
      <c r="G758">
        <v>3600</v>
      </c>
      <c r="H758">
        <v>53.2</v>
      </c>
      <c r="I758">
        <v>370</v>
      </c>
      <c r="J758">
        <v>80</v>
      </c>
      <c r="K758">
        <v>400</v>
      </c>
      <c r="L758">
        <v>7.35</v>
      </c>
    </row>
    <row r="759" spans="1:12" x14ac:dyDescent="0.25">
      <c r="A759" t="s">
        <v>1056</v>
      </c>
      <c r="B759" t="s">
        <v>1117</v>
      </c>
      <c r="C759" t="s">
        <v>1118</v>
      </c>
      <c r="D759" t="s">
        <v>20</v>
      </c>
      <c r="E759" t="s">
        <v>75</v>
      </c>
      <c r="F759">
        <v>3</v>
      </c>
      <c r="G759">
        <v>7400</v>
      </c>
      <c r="H759">
        <v>58.5</v>
      </c>
      <c r="I759">
        <v>450</v>
      </c>
      <c r="J759">
        <v>100</v>
      </c>
      <c r="K759">
        <v>500</v>
      </c>
      <c r="L759">
        <v>0.92</v>
      </c>
    </row>
    <row r="760" spans="1:12" x14ac:dyDescent="0.25">
      <c r="A760" t="s">
        <v>1062</v>
      </c>
      <c r="B760" t="s">
        <v>1119</v>
      </c>
      <c r="C760" t="s">
        <v>1120</v>
      </c>
      <c r="D760" t="s">
        <v>15</v>
      </c>
      <c r="E760" t="s">
        <v>1369</v>
      </c>
      <c r="F760">
        <v>4</v>
      </c>
      <c r="G760">
        <v>4500</v>
      </c>
      <c r="H760">
        <v>36.799999999999997</v>
      </c>
      <c r="I760">
        <v>250</v>
      </c>
      <c r="J760">
        <v>100</v>
      </c>
      <c r="K760">
        <v>300</v>
      </c>
      <c r="L760">
        <v>56.8</v>
      </c>
    </row>
    <row r="761" spans="1:12" x14ac:dyDescent="0.25">
      <c r="A761" t="s">
        <v>1065</v>
      </c>
      <c r="B761" t="s">
        <v>1121</v>
      </c>
      <c r="C761" t="s">
        <v>1122</v>
      </c>
      <c r="D761" t="s">
        <v>207</v>
      </c>
      <c r="E761" t="s">
        <v>16</v>
      </c>
      <c r="F761">
        <v>2</v>
      </c>
      <c r="G761">
        <v>1900</v>
      </c>
      <c r="H761">
        <v>38.9</v>
      </c>
      <c r="I761">
        <v>260</v>
      </c>
      <c r="J761">
        <v>70</v>
      </c>
      <c r="K761">
        <v>250</v>
      </c>
      <c r="L761">
        <v>10.15</v>
      </c>
    </row>
    <row r="762" spans="1:12" x14ac:dyDescent="0.25">
      <c r="A762" t="s">
        <v>1068</v>
      </c>
      <c r="B762" t="s">
        <v>1123</v>
      </c>
      <c r="C762" t="s">
        <v>1124</v>
      </c>
      <c r="D762" t="s">
        <v>215</v>
      </c>
      <c r="E762" t="s">
        <v>16</v>
      </c>
      <c r="F762">
        <v>2</v>
      </c>
      <c r="G762">
        <v>7200</v>
      </c>
      <c r="H762">
        <v>38.5</v>
      </c>
      <c r="I762">
        <v>250</v>
      </c>
      <c r="J762">
        <v>120</v>
      </c>
      <c r="K762">
        <v>350</v>
      </c>
      <c r="L762">
        <v>3.75</v>
      </c>
    </row>
    <row r="763" spans="1:12" x14ac:dyDescent="0.25">
      <c r="A763" t="s">
        <v>369</v>
      </c>
      <c r="B763" t="s">
        <v>1125</v>
      </c>
      <c r="C763" t="s">
        <v>1126</v>
      </c>
      <c r="D763" t="s">
        <v>71</v>
      </c>
      <c r="E763" t="s">
        <v>1369</v>
      </c>
      <c r="F763">
        <v>4</v>
      </c>
      <c r="G763">
        <v>0</v>
      </c>
      <c r="H763">
        <v>36.799999999999997</v>
      </c>
      <c r="I763">
        <v>230</v>
      </c>
      <c r="J763">
        <v>90</v>
      </c>
      <c r="K763">
        <v>280</v>
      </c>
      <c r="L763">
        <v>275</v>
      </c>
    </row>
    <row r="764" spans="1:12" x14ac:dyDescent="0.25">
      <c r="A764" t="s">
        <v>1053</v>
      </c>
      <c r="B764" t="s">
        <v>1127</v>
      </c>
      <c r="C764" t="s">
        <v>1128</v>
      </c>
      <c r="D764" t="s">
        <v>40</v>
      </c>
      <c r="E764" t="s">
        <v>75</v>
      </c>
      <c r="F764">
        <v>3</v>
      </c>
      <c r="G764">
        <v>1200</v>
      </c>
      <c r="H764">
        <v>29.8</v>
      </c>
      <c r="I764">
        <v>150</v>
      </c>
      <c r="J764">
        <v>60</v>
      </c>
      <c r="K764">
        <v>200</v>
      </c>
      <c r="L764">
        <v>3.15</v>
      </c>
    </row>
    <row r="765" spans="1:12" x14ac:dyDescent="0.25">
      <c r="A765" t="s">
        <v>1056</v>
      </c>
      <c r="B765" t="s">
        <v>1129</v>
      </c>
      <c r="C765" t="s">
        <v>1130</v>
      </c>
      <c r="D765" t="s">
        <v>63</v>
      </c>
      <c r="E765" t="s">
        <v>16</v>
      </c>
      <c r="F765">
        <v>2</v>
      </c>
      <c r="G765">
        <v>7600</v>
      </c>
      <c r="H765">
        <v>57.8</v>
      </c>
      <c r="I765">
        <v>430</v>
      </c>
      <c r="J765">
        <v>100</v>
      </c>
      <c r="K765">
        <v>500</v>
      </c>
      <c r="L765">
        <v>0.92</v>
      </c>
    </row>
    <row r="766" spans="1:12" x14ac:dyDescent="0.25">
      <c r="A766" t="s">
        <v>1059</v>
      </c>
      <c r="B766" t="s">
        <v>1131</v>
      </c>
      <c r="C766" t="s">
        <v>1132</v>
      </c>
      <c r="D766" t="s">
        <v>241</v>
      </c>
      <c r="E766" t="s">
        <v>16</v>
      </c>
      <c r="F766">
        <v>2</v>
      </c>
      <c r="G766">
        <v>3400</v>
      </c>
      <c r="H766">
        <v>54.5</v>
      </c>
      <c r="I766">
        <v>390</v>
      </c>
      <c r="J766">
        <v>80</v>
      </c>
      <c r="K766">
        <v>400</v>
      </c>
      <c r="L766">
        <v>7.35</v>
      </c>
    </row>
    <row r="767" spans="1:12" x14ac:dyDescent="0.25">
      <c r="A767" t="s">
        <v>1065</v>
      </c>
      <c r="B767" t="s">
        <v>1133</v>
      </c>
      <c r="C767" t="s">
        <v>1134</v>
      </c>
      <c r="D767" t="s">
        <v>15</v>
      </c>
      <c r="E767" t="s">
        <v>75</v>
      </c>
      <c r="F767">
        <v>4</v>
      </c>
      <c r="G767">
        <v>1700</v>
      </c>
      <c r="H767">
        <v>37.5</v>
      </c>
      <c r="I767">
        <v>240</v>
      </c>
      <c r="J767">
        <v>70</v>
      </c>
      <c r="K767">
        <v>250</v>
      </c>
      <c r="L767">
        <v>10.15</v>
      </c>
    </row>
    <row r="768" spans="1:12" x14ac:dyDescent="0.25">
      <c r="A768" t="s">
        <v>1068</v>
      </c>
      <c r="B768" t="s">
        <v>1135</v>
      </c>
      <c r="C768" t="s">
        <v>1136</v>
      </c>
      <c r="D768" t="s">
        <v>251</v>
      </c>
      <c r="E768" t="s">
        <v>1369</v>
      </c>
      <c r="F768">
        <v>4</v>
      </c>
      <c r="G768">
        <v>6500</v>
      </c>
      <c r="H768">
        <v>37.799999999999997</v>
      </c>
      <c r="I768">
        <v>240</v>
      </c>
      <c r="J768">
        <v>120</v>
      </c>
      <c r="K768">
        <v>350</v>
      </c>
      <c r="L768">
        <v>3.75</v>
      </c>
    </row>
    <row r="769" spans="1:12" x14ac:dyDescent="0.25">
      <c r="A769" t="s">
        <v>1137</v>
      </c>
      <c r="B769" t="s">
        <v>1138</v>
      </c>
      <c r="C769" t="s">
        <v>1139</v>
      </c>
      <c r="D769" t="s">
        <v>15</v>
      </c>
      <c r="E769" t="s">
        <v>16</v>
      </c>
      <c r="F769">
        <v>2</v>
      </c>
      <c r="G769">
        <v>8500</v>
      </c>
      <c r="H769">
        <v>45.8</v>
      </c>
      <c r="I769">
        <v>400</v>
      </c>
      <c r="J769">
        <v>100</v>
      </c>
      <c r="K769">
        <v>300</v>
      </c>
      <c r="L769">
        <v>1</v>
      </c>
    </row>
    <row r="770" spans="1:12" x14ac:dyDescent="0.25">
      <c r="A770" t="s">
        <v>1140</v>
      </c>
      <c r="B770" t="s">
        <v>1141</v>
      </c>
      <c r="C770" t="s">
        <v>1142</v>
      </c>
      <c r="D770" t="s">
        <v>20</v>
      </c>
      <c r="E770" t="s">
        <v>16</v>
      </c>
      <c r="F770">
        <v>2</v>
      </c>
      <c r="G770">
        <v>20000</v>
      </c>
      <c r="H770">
        <v>58.9</v>
      </c>
      <c r="I770">
        <v>600</v>
      </c>
      <c r="J770">
        <v>150</v>
      </c>
      <c r="K770">
        <v>500</v>
      </c>
      <c r="L770">
        <v>15000</v>
      </c>
    </row>
    <row r="771" spans="1:12" x14ac:dyDescent="0.25">
      <c r="A771" t="s">
        <v>1143</v>
      </c>
      <c r="B771" t="s">
        <v>1144</v>
      </c>
      <c r="C771" t="s">
        <v>1145</v>
      </c>
      <c r="D771" t="s">
        <v>207</v>
      </c>
      <c r="E771" t="s">
        <v>75</v>
      </c>
      <c r="F771">
        <v>4</v>
      </c>
      <c r="G771">
        <v>7000</v>
      </c>
      <c r="H771">
        <v>65.400000000000006</v>
      </c>
      <c r="I771">
        <v>700</v>
      </c>
      <c r="J771">
        <v>130</v>
      </c>
      <c r="K771">
        <v>600</v>
      </c>
      <c r="L771">
        <v>0.38</v>
      </c>
    </row>
    <row r="772" spans="1:12" x14ac:dyDescent="0.25">
      <c r="A772" t="s">
        <v>1146</v>
      </c>
      <c r="B772" t="s">
        <v>1147</v>
      </c>
      <c r="C772" t="s">
        <v>1148</v>
      </c>
      <c r="D772" t="s">
        <v>63</v>
      </c>
      <c r="E772" t="s">
        <v>1369</v>
      </c>
      <c r="F772">
        <v>4</v>
      </c>
      <c r="G772">
        <v>0</v>
      </c>
      <c r="H772">
        <v>52.4</v>
      </c>
      <c r="I772">
        <v>450</v>
      </c>
      <c r="J772">
        <v>90</v>
      </c>
      <c r="K772">
        <v>350</v>
      </c>
      <c r="L772">
        <v>39.5</v>
      </c>
    </row>
    <row r="773" spans="1:12" x14ac:dyDescent="0.25">
      <c r="A773" t="s">
        <v>1149</v>
      </c>
      <c r="B773" t="s">
        <v>1150</v>
      </c>
      <c r="C773" t="s">
        <v>1151</v>
      </c>
      <c r="D773" t="s">
        <v>215</v>
      </c>
      <c r="E773" t="s">
        <v>16</v>
      </c>
      <c r="F773">
        <v>2</v>
      </c>
      <c r="G773">
        <v>3500</v>
      </c>
      <c r="H773">
        <v>48.5</v>
      </c>
      <c r="I773">
        <v>400</v>
      </c>
      <c r="J773">
        <v>110</v>
      </c>
      <c r="K773">
        <v>300</v>
      </c>
      <c r="L773">
        <v>1.85</v>
      </c>
    </row>
    <row r="774" spans="1:12" x14ac:dyDescent="0.25">
      <c r="A774" t="s">
        <v>1152</v>
      </c>
      <c r="B774" t="s">
        <v>1153</v>
      </c>
      <c r="C774" t="s">
        <v>1154</v>
      </c>
      <c r="D774" t="s">
        <v>71</v>
      </c>
      <c r="E774" t="s">
        <v>16</v>
      </c>
      <c r="F774">
        <v>2</v>
      </c>
      <c r="G774">
        <v>4500</v>
      </c>
      <c r="H774">
        <v>42.1</v>
      </c>
      <c r="I774">
        <v>300</v>
      </c>
      <c r="J774">
        <v>120</v>
      </c>
      <c r="K774">
        <v>250</v>
      </c>
      <c r="L774">
        <v>12</v>
      </c>
    </row>
    <row r="775" spans="1:12" x14ac:dyDescent="0.25">
      <c r="A775" t="s">
        <v>1155</v>
      </c>
      <c r="B775" t="s">
        <v>1156</v>
      </c>
      <c r="C775" t="s">
        <v>1157</v>
      </c>
      <c r="D775" t="s">
        <v>15</v>
      </c>
      <c r="E775" t="s">
        <v>75</v>
      </c>
      <c r="F775">
        <v>3</v>
      </c>
      <c r="G775">
        <v>1200</v>
      </c>
      <c r="H775">
        <v>38.5</v>
      </c>
      <c r="I775">
        <v>250</v>
      </c>
      <c r="J775">
        <v>80</v>
      </c>
      <c r="K775">
        <v>200</v>
      </c>
      <c r="L775">
        <v>137.5</v>
      </c>
    </row>
    <row r="776" spans="1:12" x14ac:dyDescent="0.25">
      <c r="A776" t="s">
        <v>1158</v>
      </c>
      <c r="B776" t="s">
        <v>1159</v>
      </c>
      <c r="C776" t="s">
        <v>1160</v>
      </c>
      <c r="D776" t="s">
        <v>40</v>
      </c>
      <c r="E776" t="s">
        <v>16</v>
      </c>
      <c r="F776">
        <v>2</v>
      </c>
      <c r="G776">
        <v>7500</v>
      </c>
      <c r="H776">
        <v>51.2</v>
      </c>
      <c r="I776">
        <v>600</v>
      </c>
      <c r="J776">
        <v>100</v>
      </c>
      <c r="K776">
        <v>400</v>
      </c>
      <c r="L776">
        <v>1</v>
      </c>
    </row>
    <row r="777" spans="1:12" x14ac:dyDescent="0.25">
      <c r="A777" t="s">
        <v>1137</v>
      </c>
      <c r="B777" t="s">
        <v>1161</v>
      </c>
      <c r="C777" t="s">
        <v>1162</v>
      </c>
      <c r="D777" t="s">
        <v>241</v>
      </c>
      <c r="E777" t="s">
        <v>1369</v>
      </c>
      <c r="F777">
        <v>4</v>
      </c>
      <c r="G777">
        <v>7800</v>
      </c>
      <c r="H777">
        <v>43.2</v>
      </c>
      <c r="I777">
        <v>350</v>
      </c>
      <c r="J777">
        <v>100</v>
      </c>
      <c r="K777">
        <v>300</v>
      </c>
      <c r="L777">
        <v>1</v>
      </c>
    </row>
    <row r="778" spans="1:12" x14ac:dyDescent="0.25">
      <c r="A778" t="s">
        <v>1140</v>
      </c>
      <c r="B778" t="s">
        <v>1163</v>
      </c>
      <c r="C778" t="s">
        <v>1164</v>
      </c>
      <c r="D778" t="s">
        <v>251</v>
      </c>
      <c r="E778" t="s">
        <v>16</v>
      </c>
      <c r="F778">
        <v>2</v>
      </c>
      <c r="G778">
        <v>18000</v>
      </c>
      <c r="H778">
        <v>55.4</v>
      </c>
      <c r="I778">
        <v>500</v>
      </c>
      <c r="J778">
        <v>150</v>
      </c>
      <c r="K778">
        <v>500</v>
      </c>
      <c r="L778">
        <v>15000</v>
      </c>
    </row>
    <row r="779" spans="1:12" x14ac:dyDescent="0.25">
      <c r="A779" t="s">
        <v>1143</v>
      </c>
      <c r="B779" t="s">
        <v>1165</v>
      </c>
      <c r="C779" t="s">
        <v>1166</v>
      </c>
      <c r="D779" t="s">
        <v>222</v>
      </c>
      <c r="E779" t="s">
        <v>16</v>
      </c>
      <c r="F779">
        <v>2</v>
      </c>
      <c r="G779">
        <v>8000</v>
      </c>
      <c r="H779">
        <v>63.2</v>
      </c>
      <c r="I779">
        <v>650</v>
      </c>
      <c r="J779">
        <v>130</v>
      </c>
      <c r="K779">
        <v>600</v>
      </c>
      <c r="L779">
        <v>0.38</v>
      </c>
    </row>
    <row r="780" spans="1:12" x14ac:dyDescent="0.25">
      <c r="A780" t="s">
        <v>1146</v>
      </c>
      <c r="B780" t="s">
        <v>1167</v>
      </c>
      <c r="C780" t="s">
        <v>1168</v>
      </c>
      <c r="D780" t="s">
        <v>15</v>
      </c>
      <c r="E780" t="s">
        <v>16</v>
      </c>
      <c r="F780">
        <v>2</v>
      </c>
      <c r="G780">
        <v>6500</v>
      </c>
      <c r="H780">
        <v>48.5</v>
      </c>
      <c r="I780">
        <v>380</v>
      </c>
      <c r="J780">
        <v>90</v>
      </c>
      <c r="K780">
        <v>350</v>
      </c>
      <c r="L780">
        <v>39.5</v>
      </c>
    </row>
    <row r="781" spans="1:12" x14ac:dyDescent="0.25">
      <c r="A781" t="s">
        <v>1149</v>
      </c>
      <c r="B781" t="s">
        <v>1169</v>
      </c>
      <c r="C781" t="s">
        <v>1170</v>
      </c>
      <c r="D781" t="s">
        <v>20</v>
      </c>
      <c r="E781" t="s">
        <v>75</v>
      </c>
      <c r="F781">
        <v>3</v>
      </c>
      <c r="G781">
        <v>3200</v>
      </c>
      <c r="H781">
        <v>45.8</v>
      </c>
      <c r="I781">
        <v>350</v>
      </c>
      <c r="J781">
        <v>110</v>
      </c>
      <c r="K781">
        <v>300</v>
      </c>
      <c r="L781">
        <v>1.85</v>
      </c>
    </row>
    <row r="782" spans="1:12" x14ac:dyDescent="0.25">
      <c r="A782" t="s">
        <v>1152</v>
      </c>
      <c r="B782" t="s">
        <v>1171</v>
      </c>
      <c r="C782" t="s">
        <v>1172</v>
      </c>
      <c r="D782" t="s">
        <v>207</v>
      </c>
      <c r="E782" t="s">
        <v>1369</v>
      </c>
      <c r="F782">
        <v>4</v>
      </c>
      <c r="G782">
        <v>4200</v>
      </c>
      <c r="H782">
        <v>39.799999999999997</v>
      </c>
      <c r="I782">
        <v>250</v>
      </c>
      <c r="J782">
        <v>120</v>
      </c>
      <c r="K782">
        <v>250</v>
      </c>
      <c r="L782">
        <v>12</v>
      </c>
    </row>
    <row r="783" spans="1:12" x14ac:dyDescent="0.25">
      <c r="A783" t="s">
        <v>1155</v>
      </c>
      <c r="B783" t="s">
        <v>1173</v>
      </c>
      <c r="C783" t="s">
        <v>1174</v>
      </c>
      <c r="D783" t="s">
        <v>63</v>
      </c>
      <c r="E783" t="s">
        <v>16</v>
      </c>
      <c r="F783">
        <v>2</v>
      </c>
      <c r="G783">
        <v>1100</v>
      </c>
      <c r="H783">
        <v>36.4</v>
      </c>
      <c r="I783">
        <v>220</v>
      </c>
      <c r="J783">
        <v>80</v>
      </c>
      <c r="K783">
        <v>200</v>
      </c>
      <c r="L783">
        <v>137.5</v>
      </c>
    </row>
    <row r="784" spans="1:12" x14ac:dyDescent="0.25">
      <c r="A784" t="s">
        <v>1158</v>
      </c>
      <c r="B784" t="s">
        <v>1175</v>
      </c>
      <c r="C784" t="s">
        <v>1176</v>
      </c>
      <c r="D784" t="s">
        <v>71</v>
      </c>
      <c r="E784" t="s">
        <v>75</v>
      </c>
      <c r="F784">
        <v>4</v>
      </c>
      <c r="G784">
        <v>6800</v>
      </c>
      <c r="H784">
        <v>47.5</v>
      </c>
      <c r="I784">
        <v>450</v>
      </c>
      <c r="J784">
        <v>100</v>
      </c>
      <c r="K784">
        <v>400</v>
      </c>
      <c r="L784">
        <v>1</v>
      </c>
    </row>
    <row r="785" spans="1:12" x14ac:dyDescent="0.25">
      <c r="A785" t="s">
        <v>1137</v>
      </c>
      <c r="B785" t="s">
        <v>1177</v>
      </c>
      <c r="C785" t="s">
        <v>1178</v>
      </c>
      <c r="D785" t="s">
        <v>215</v>
      </c>
      <c r="E785" t="s">
        <v>16</v>
      </c>
      <c r="F785">
        <v>2</v>
      </c>
      <c r="G785">
        <v>7200</v>
      </c>
      <c r="H785">
        <v>42.5</v>
      </c>
      <c r="I785">
        <v>320</v>
      </c>
      <c r="J785">
        <v>100</v>
      </c>
      <c r="K785">
        <v>300</v>
      </c>
      <c r="L785">
        <v>1</v>
      </c>
    </row>
    <row r="786" spans="1:12" x14ac:dyDescent="0.25">
      <c r="A786" t="s">
        <v>1140</v>
      </c>
      <c r="B786" t="s">
        <v>1179</v>
      </c>
      <c r="C786" t="s">
        <v>1180</v>
      </c>
      <c r="D786" t="s">
        <v>15</v>
      </c>
      <c r="E786" t="s">
        <v>1369</v>
      </c>
      <c r="F786">
        <v>4</v>
      </c>
      <c r="G786">
        <v>2000</v>
      </c>
      <c r="H786">
        <v>52.1</v>
      </c>
      <c r="I786">
        <v>400</v>
      </c>
      <c r="J786">
        <v>150</v>
      </c>
      <c r="K786">
        <v>500</v>
      </c>
      <c r="L786">
        <v>15000</v>
      </c>
    </row>
    <row r="787" spans="1:12" x14ac:dyDescent="0.25">
      <c r="A787" t="s">
        <v>1143</v>
      </c>
      <c r="B787" t="s">
        <v>1181</v>
      </c>
      <c r="C787" t="s">
        <v>1182</v>
      </c>
      <c r="D787" t="s">
        <v>241</v>
      </c>
      <c r="E787" t="s">
        <v>75</v>
      </c>
      <c r="F787">
        <v>4</v>
      </c>
      <c r="G787">
        <v>6500</v>
      </c>
      <c r="H787">
        <v>61.8</v>
      </c>
      <c r="I787">
        <v>600</v>
      </c>
      <c r="J787">
        <v>130</v>
      </c>
      <c r="K787">
        <v>600</v>
      </c>
      <c r="L787">
        <v>0.38</v>
      </c>
    </row>
    <row r="788" spans="1:12" x14ac:dyDescent="0.25">
      <c r="A788" t="s">
        <v>1146</v>
      </c>
      <c r="B788" t="s">
        <v>1183</v>
      </c>
      <c r="C788" t="s">
        <v>1184</v>
      </c>
      <c r="D788" t="s">
        <v>20</v>
      </c>
      <c r="E788" t="s">
        <v>16</v>
      </c>
      <c r="F788">
        <v>2</v>
      </c>
      <c r="G788">
        <v>7000</v>
      </c>
      <c r="H788">
        <v>49.2</v>
      </c>
      <c r="I788">
        <v>400</v>
      </c>
      <c r="J788">
        <v>90</v>
      </c>
      <c r="K788">
        <v>350</v>
      </c>
      <c r="L788">
        <v>39.5</v>
      </c>
    </row>
    <row r="789" spans="1:12" x14ac:dyDescent="0.25">
      <c r="A789" t="s">
        <v>1149</v>
      </c>
      <c r="B789" t="s">
        <v>1185</v>
      </c>
      <c r="C789" t="s">
        <v>1186</v>
      </c>
      <c r="D789" t="s">
        <v>63</v>
      </c>
      <c r="E789" t="s">
        <v>16</v>
      </c>
      <c r="F789">
        <v>2</v>
      </c>
      <c r="G789">
        <v>3100</v>
      </c>
      <c r="H789">
        <v>44.2</v>
      </c>
      <c r="I789">
        <v>330</v>
      </c>
      <c r="J789">
        <v>110</v>
      </c>
      <c r="K789">
        <v>300</v>
      </c>
      <c r="L789">
        <v>1.85</v>
      </c>
    </row>
    <row r="790" spans="1:12" x14ac:dyDescent="0.25">
      <c r="A790" t="s">
        <v>1152</v>
      </c>
      <c r="B790" t="s">
        <v>1187</v>
      </c>
      <c r="C790" t="s">
        <v>1188</v>
      </c>
      <c r="D790" t="s">
        <v>222</v>
      </c>
      <c r="E790" t="s">
        <v>16</v>
      </c>
      <c r="F790">
        <v>2</v>
      </c>
      <c r="G790">
        <v>4000</v>
      </c>
      <c r="H790">
        <v>38.5</v>
      </c>
      <c r="I790">
        <v>230</v>
      </c>
      <c r="J790">
        <v>120</v>
      </c>
      <c r="K790">
        <v>250</v>
      </c>
      <c r="L790">
        <v>12</v>
      </c>
    </row>
    <row r="791" spans="1:12" x14ac:dyDescent="0.25">
      <c r="A791" t="s">
        <v>1155</v>
      </c>
      <c r="B791" t="s">
        <v>1189</v>
      </c>
      <c r="C791" t="s">
        <v>1190</v>
      </c>
      <c r="D791" t="s">
        <v>71</v>
      </c>
      <c r="E791" t="s">
        <v>1369</v>
      </c>
      <c r="F791">
        <v>4</v>
      </c>
      <c r="G791">
        <v>1300</v>
      </c>
      <c r="H791">
        <v>35.799999999999997</v>
      </c>
      <c r="I791">
        <v>200</v>
      </c>
      <c r="J791">
        <v>80</v>
      </c>
      <c r="K791">
        <v>200</v>
      </c>
      <c r="L791">
        <v>137.5</v>
      </c>
    </row>
    <row r="792" spans="1:12" x14ac:dyDescent="0.25">
      <c r="A792" t="s">
        <v>1158</v>
      </c>
      <c r="B792" t="s">
        <v>1077</v>
      </c>
      <c r="C792" t="s">
        <v>1191</v>
      </c>
      <c r="D792" t="s">
        <v>15</v>
      </c>
      <c r="E792" t="s">
        <v>16</v>
      </c>
      <c r="F792">
        <v>2</v>
      </c>
      <c r="G792">
        <v>6500</v>
      </c>
      <c r="H792">
        <v>45.8</v>
      </c>
      <c r="I792">
        <v>400</v>
      </c>
      <c r="J792">
        <v>100</v>
      </c>
      <c r="K792">
        <v>400</v>
      </c>
      <c r="L792">
        <v>1</v>
      </c>
    </row>
    <row r="793" spans="1:12" x14ac:dyDescent="0.25">
      <c r="A793" t="s">
        <v>1137</v>
      </c>
      <c r="B793" t="s">
        <v>1192</v>
      </c>
      <c r="C793" t="s">
        <v>1193</v>
      </c>
      <c r="D793" t="s">
        <v>40</v>
      </c>
      <c r="E793" t="s">
        <v>75</v>
      </c>
      <c r="F793">
        <v>3</v>
      </c>
      <c r="G793">
        <v>6800</v>
      </c>
      <c r="H793">
        <v>41.2</v>
      </c>
      <c r="I793">
        <v>300</v>
      </c>
      <c r="J793">
        <v>100</v>
      </c>
      <c r="K793">
        <v>300</v>
      </c>
      <c r="L793">
        <v>1</v>
      </c>
    </row>
    <row r="794" spans="1:12" x14ac:dyDescent="0.25">
      <c r="A794" t="s">
        <v>1140</v>
      </c>
      <c r="B794" t="s">
        <v>1194</v>
      </c>
      <c r="C794" t="s">
        <v>1195</v>
      </c>
      <c r="D794" t="s">
        <v>207</v>
      </c>
      <c r="E794" t="s">
        <v>16</v>
      </c>
      <c r="F794">
        <v>2</v>
      </c>
      <c r="G794">
        <v>16000</v>
      </c>
      <c r="H794">
        <v>54.5</v>
      </c>
      <c r="I794">
        <v>450</v>
      </c>
      <c r="J794">
        <v>150</v>
      </c>
      <c r="K794">
        <v>500</v>
      </c>
      <c r="L794">
        <v>15000</v>
      </c>
    </row>
    <row r="795" spans="1:12" x14ac:dyDescent="0.25">
      <c r="A795" t="s">
        <v>1143</v>
      </c>
      <c r="B795" t="s">
        <v>1196</v>
      </c>
      <c r="C795" t="s">
        <v>1197</v>
      </c>
      <c r="D795" t="s">
        <v>20</v>
      </c>
      <c r="E795" t="s">
        <v>1369</v>
      </c>
      <c r="F795">
        <v>4</v>
      </c>
      <c r="G795">
        <v>9000</v>
      </c>
      <c r="H795">
        <v>62.4</v>
      </c>
      <c r="I795">
        <v>620</v>
      </c>
      <c r="J795">
        <v>130</v>
      </c>
      <c r="K795">
        <v>600</v>
      </c>
      <c r="L795">
        <v>0.38</v>
      </c>
    </row>
    <row r="796" spans="1:12" x14ac:dyDescent="0.25">
      <c r="A796" t="s">
        <v>1146</v>
      </c>
      <c r="B796" t="s">
        <v>1198</v>
      </c>
      <c r="C796" t="s">
        <v>1199</v>
      </c>
      <c r="D796" t="s">
        <v>215</v>
      </c>
      <c r="E796" t="s">
        <v>75</v>
      </c>
      <c r="F796">
        <v>4</v>
      </c>
      <c r="G796">
        <v>0</v>
      </c>
      <c r="H796">
        <v>47.8</v>
      </c>
      <c r="I796">
        <v>350</v>
      </c>
      <c r="J796">
        <v>90</v>
      </c>
      <c r="K796">
        <v>350</v>
      </c>
      <c r="L796">
        <v>39.5</v>
      </c>
    </row>
    <row r="797" spans="1:12" x14ac:dyDescent="0.25">
      <c r="A797" t="s">
        <v>1149</v>
      </c>
      <c r="B797" t="s">
        <v>1200</v>
      </c>
      <c r="C797" t="s">
        <v>1201</v>
      </c>
      <c r="D797" t="s">
        <v>15</v>
      </c>
      <c r="E797" t="s">
        <v>16</v>
      </c>
      <c r="F797">
        <v>2</v>
      </c>
      <c r="G797">
        <v>2900</v>
      </c>
      <c r="H797">
        <v>43.5</v>
      </c>
      <c r="I797">
        <v>320</v>
      </c>
      <c r="J797">
        <v>110</v>
      </c>
      <c r="K797">
        <v>300</v>
      </c>
      <c r="L797">
        <v>1.85</v>
      </c>
    </row>
    <row r="798" spans="1:12" x14ac:dyDescent="0.25">
      <c r="A798" t="s">
        <v>1152</v>
      </c>
      <c r="B798" t="s">
        <v>1202</v>
      </c>
      <c r="C798" t="s">
        <v>1203</v>
      </c>
      <c r="D798" t="s">
        <v>241</v>
      </c>
      <c r="E798" t="s">
        <v>1369</v>
      </c>
      <c r="F798">
        <v>4</v>
      </c>
      <c r="G798">
        <v>3800</v>
      </c>
      <c r="H798">
        <v>36.799999999999997</v>
      </c>
      <c r="I798">
        <v>200</v>
      </c>
      <c r="J798">
        <v>120</v>
      </c>
      <c r="K798">
        <v>250</v>
      </c>
      <c r="L798">
        <v>12</v>
      </c>
    </row>
    <row r="799" spans="1:12" x14ac:dyDescent="0.25">
      <c r="A799" t="s">
        <v>1155</v>
      </c>
      <c r="B799" t="s">
        <v>1204</v>
      </c>
      <c r="C799" t="s">
        <v>1205</v>
      </c>
      <c r="D799" t="s">
        <v>63</v>
      </c>
      <c r="E799" t="s">
        <v>16</v>
      </c>
      <c r="F799">
        <v>2</v>
      </c>
      <c r="G799">
        <v>1000</v>
      </c>
      <c r="H799">
        <v>34.5</v>
      </c>
      <c r="I799">
        <v>180</v>
      </c>
      <c r="J799">
        <v>80</v>
      </c>
      <c r="K799">
        <v>200</v>
      </c>
      <c r="L799">
        <v>137.5</v>
      </c>
    </row>
    <row r="800" spans="1:12" x14ac:dyDescent="0.25">
      <c r="A800" t="s">
        <v>1158</v>
      </c>
      <c r="B800" t="s">
        <v>1206</v>
      </c>
      <c r="C800" t="s">
        <v>1207</v>
      </c>
      <c r="D800" t="s">
        <v>71</v>
      </c>
      <c r="E800" t="s">
        <v>75</v>
      </c>
      <c r="F800">
        <v>3</v>
      </c>
      <c r="G800">
        <v>6200</v>
      </c>
      <c r="H800">
        <v>44.2</v>
      </c>
      <c r="I800">
        <v>380</v>
      </c>
      <c r="J800">
        <v>100</v>
      </c>
      <c r="K800">
        <v>400</v>
      </c>
      <c r="L800">
        <v>1</v>
      </c>
    </row>
    <row r="801" spans="1:12" x14ac:dyDescent="0.25">
      <c r="A801" t="s">
        <v>1137</v>
      </c>
      <c r="B801" t="s">
        <v>1208</v>
      </c>
      <c r="C801" t="s">
        <v>1209</v>
      </c>
      <c r="D801" t="s">
        <v>222</v>
      </c>
      <c r="E801" t="s">
        <v>1369</v>
      </c>
      <c r="F801">
        <v>4</v>
      </c>
      <c r="G801">
        <v>6500</v>
      </c>
      <c r="H801">
        <v>40.5</v>
      </c>
      <c r="I801">
        <v>280</v>
      </c>
      <c r="J801">
        <v>100</v>
      </c>
      <c r="K801">
        <v>300</v>
      </c>
      <c r="L801">
        <v>1</v>
      </c>
    </row>
    <row r="802" spans="1:12" x14ac:dyDescent="0.25">
      <c r="A802" t="s">
        <v>1140</v>
      </c>
      <c r="B802" t="s">
        <v>1210</v>
      </c>
      <c r="C802" t="s">
        <v>1211</v>
      </c>
      <c r="D802" t="s">
        <v>15</v>
      </c>
      <c r="E802" t="s">
        <v>75</v>
      </c>
      <c r="F802">
        <v>4</v>
      </c>
      <c r="G802">
        <v>15000</v>
      </c>
      <c r="H802">
        <v>51.8</v>
      </c>
      <c r="I802">
        <v>420</v>
      </c>
      <c r="J802">
        <v>150</v>
      </c>
      <c r="K802">
        <v>500</v>
      </c>
      <c r="L802">
        <v>15000</v>
      </c>
    </row>
    <row r="803" spans="1:12" x14ac:dyDescent="0.25">
      <c r="A803" t="s">
        <v>1143</v>
      </c>
      <c r="B803" t="s">
        <v>1212</v>
      </c>
      <c r="C803" t="s">
        <v>1213</v>
      </c>
      <c r="D803" t="s">
        <v>251</v>
      </c>
      <c r="E803" t="s">
        <v>16</v>
      </c>
      <c r="F803">
        <v>2</v>
      </c>
      <c r="G803">
        <v>7500</v>
      </c>
      <c r="H803">
        <v>61.5</v>
      </c>
      <c r="I803">
        <v>580</v>
      </c>
      <c r="J803">
        <v>130</v>
      </c>
      <c r="K803">
        <v>600</v>
      </c>
      <c r="L803">
        <v>0.38</v>
      </c>
    </row>
    <row r="804" spans="1:12" x14ac:dyDescent="0.25">
      <c r="A804" t="s">
        <v>1146</v>
      </c>
      <c r="B804" t="s">
        <v>1214</v>
      </c>
      <c r="C804" t="s">
        <v>1215</v>
      </c>
      <c r="D804" t="s">
        <v>207</v>
      </c>
      <c r="E804" t="s">
        <v>16</v>
      </c>
      <c r="F804">
        <v>2</v>
      </c>
      <c r="G804">
        <v>0</v>
      </c>
      <c r="H804">
        <v>46.5</v>
      </c>
      <c r="I804">
        <v>330</v>
      </c>
      <c r="J804">
        <v>90</v>
      </c>
      <c r="K804">
        <v>350</v>
      </c>
      <c r="L804">
        <v>39.5</v>
      </c>
    </row>
    <row r="805" spans="1:12" x14ac:dyDescent="0.25">
      <c r="A805" t="s">
        <v>1149</v>
      </c>
      <c r="B805" t="s">
        <v>1216</v>
      </c>
      <c r="C805" t="s">
        <v>1217</v>
      </c>
      <c r="D805" t="s">
        <v>40</v>
      </c>
      <c r="E805" t="s">
        <v>1369</v>
      </c>
      <c r="F805">
        <v>4</v>
      </c>
      <c r="G805">
        <v>3300</v>
      </c>
      <c r="H805">
        <v>42.8</v>
      </c>
      <c r="I805">
        <v>300</v>
      </c>
      <c r="J805">
        <v>110</v>
      </c>
      <c r="K805">
        <v>300</v>
      </c>
      <c r="L805">
        <v>1.85</v>
      </c>
    </row>
    <row r="806" spans="1:12" x14ac:dyDescent="0.25">
      <c r="A806" t="s">
        <v>1152</v>
      </c>
      <c r="B806" t="s">
        <v>1218</v>
      </c>
      <c r="C806" t="s">
        <v>1219</v>
      </c>
      <c r="D806" t="s">
        <v>20</v>
      </c>
      <c r="E806" t="s">
        <v>16</v>
      </c>
      <c r="F806">
        <v>2</v>
      </c>
      <c r="G806">
        <v>3500</v>
      </c>
      <c r="H806">
        <v>35.4</v>
      </c>
      <c r="I806">
        <v>180</v>
      </c>
      <c r="J806">
        <v>120</v>
      </c>
      <c r="K806">
        <v>250</v>
      </c>
      <c r="L806">
        <v>12</v>
      </c>
    </row>
    <row r="807" spans="1:12" x14ac:dyDescent="0.25">
      <c r="A807" t="s">
        <v>1155</v>
      </c>
      <c r="B807" t="s">
        <v>1220</v>
      </c>
      <c r="C807" t="s">
        <v>1221</v>
      </c>
      <c r="D807" t="s">
        <v>215</v>
      </c>
      <c r="E807" t="s">
        <v>75</v>
      </c>
      <c r="F807">
        <v>3</v>
      </c>
      <c r="G807">
        <v>900</v>
      </c>
      <c r="H807">
        <v>33.200000000000003</v>
      </c>
      <c r="I807">
        <v>160</v>
      </c>
      <c r="J807">
        <v>80</v>
      </c>
      <c r="K807">
        <v>200</v>
      </c>
      <c r="L807">
        <v>137.5</v>
      </c>
    </row>
    <row r="808" spans="1:12" x14ac:dyDescent="0.25">
      <c r="A808" t="s">
        <v>1158</v>
      </c>
      <c r="B808" t="s">
        <v>1222</v>
      </c>
      <c r="C808" t="s">
        <v>1223</v>
      </c>
      <c r="D808" t="s">
        <v>15</v>
      </c>
      <c r="E808" t="s">
        <v>16</v>
      </c>
      <c r="F808">
        <v>2</v>
      </c>
      <c r="G808">
        <v>6000</v>
      </c>
      <c r="H808">
        <v>43.5</v>
      </c>
      <c r="I808">
        <v>350</v>
      </c>
      <c r="J808">
        <v>100</v>
      </c>
      <c r="K808">
        <v>400</v>
      </c>
      <c r="L808">
        <v>1</v>
      </c>
    </row>
    <row r="809" spans="1:12" x14ac:dyDescent="0.25">
      <c r="A809" t="s">
        <v>1224</v>
      </c>
      <c r="B809" t="s">
        <v>1225</v>
      </c>
      <c r="C809" t="s">
        <v>1226</v>
      </c>
      <c r="D809" t="s">
        <v>15</v>
      </c>
      <c r="E809" t="s">
        <v>16</v>
      </c>
      <c r="F809">
        <v>2</v>
      </c>
      <c r="G809">
        <v>2500</v>
      </c>
      <c r="H809">
        <v>42.5</v>
      </c>
      <c r="I809">
        <v>250</v>
      </c>
      <c r="J809">
        <v>100</v>
      </c>
      <c r="K809">
        <v>200</v>
      </c>
      <c r="L809">
        <v>109.5</v>
      </c>
    </row>
    <row r="810" spans="1:12" x14ac:dyDescent="0.25">
      <c r="A810" t="s">
        <v>1227</v>
      </c>
      <c r="B810" t="s">
        <v>1228</v>
      </c>
      <c r="C810" t="s">
        <v>1229</v>
      </c>
      <c r="D810" t="s">
        <v>20</v>
      </c>
      <c r="E810" t="s">
        <v>16</v>
      </c>
      <c r="F810">
        <v>2</v>
      </c>
      <c r="G810">
        <v>3500</v>
      </c>
      <c r="H810">
        <v>71.2</v>
      </c>
      <c r="I810">
        <v>800</v>
      </c>
      <c r="J810">
        <v>140</v>
      </c>
      <c r="K810">
        <v>700</v>
      </c>
      <c r="L810">
        <v>0.31</v>
      </c>
    </row>
    <row r="811" spans="1:12" x14ac:dyDescent="0.25">
      <c r="A811" t="s">
        <v>1230</v>
      </c>
      <c r="B811" t="s">
        <v>1231</v>
      </c>
      <c r="C811" t="s">
        <v>1232</v>
      </c>
      <c r="D811" t="s">
        <v>207</v>
      </c>
      <c r="E811" t="s">
        <v>75</v>
      </c>
      <c r="F811">
        <v>4</v>
      </c>
      <c r="G811">
        <v>3800</v>
      </c>
      <c r="H811">
        <v>45.8</v>
      </c>
      <c r="I811">
        <v>400</v>
      </c>
      <c r="J811">
        <v>120</v>
      </c>
      <c r="K811">
        <v>300</v>
      </c>
      <c r="L811">
        <v>36.799999999999997</v>
      </c>
    </row>
    <row r="812" spans="1:12" x14ac:dyDescent="0.25">
      <c r="A812" t="s">
        <v>1233</v>
      </c>
      <c r="B812" t="s">
        <v>1234</v>
      </c>
      <c r="C812" t="s">
        <v>1235</v>
      </c>
      <c r="D812" t="s">
        <v>63</v>
      </c>
      <c r="E812" t="s">
        <v>1369</v>
      </c>
      <c r="F812">
        <v>4</v>
      </c>
      <c r="G812">
        <v>4500</v>
      </c>
      <c r="H812">
        <v>62.4</v>
      </c>
      <c r="I812">
        <v>500</v>
      </c>
      <c r="J812">
        <v>80</v>
      </c>
      <c r="K812">
        <v>450</v>
      </c>
      <c r="L812">
        <v>0.92</v>
      </c>
    </row>
    <row r="813" spans="1:12" x14ac:dyDescent="0.25">
      <c r="A813" t="s">
        <v>1236</v>
      </c>
      <c r="B813" t="s">
        <v>1237</v>
      </c>
      <c r="C813" t="s">
        <v>1238</v>
      </c>
      <c r="D813" t="s">
        <v>215</v>
      </c>
      <c r="E813" t="s">
        <v>16</v>
      </c>
      <c r="F813">
        <v>2</v>
      </c>
      <c r="G813">
        <v>2800</v>
      </c>
      <c r="H813">
        <v>48.5</v>
      </c>
      <c r="I813">
        <v>350</v>
      </c>
      <c r="J813">
        <v>90</v>
      </c>
      <c r="K813">
        <v>320</v>
      </c>
      <c r="L813">
        <v>108.5</v>
      </c>
    </row>
    <row r="814" spans="1:12" x14ac:dyDescent="0.25">
      <c r="A814" t="s">
        <v>1239</v>
      </c>
      <c r="B814" t="s">
        <v>1240</v>
      </c>
      <c r="C814" t="s">
        <v>1241</v>
      </c>
      <c r="D814" t="s">
        <v>71</v>
      </c>
      <c r="E814" t="s">
        <v>16</v>
      </c>
      <c r="F814">
        <v>2</v>
      </c>
      <c r="G814">
        <v>3000</v>
      </c>
      <c r="H814">
        <v>51.2</v>
      </c>
      <c r="I814">
        <v>400</v>
      </c>
      <c r="J814">
        <v>150</v>
      </c>
      <c r="K814">
        <v>280</v>
      </c>
      <c r="L814">
        <v>42150</v>
      </c>
    </row>
    <row r="815" spans="1:12" x14ac:dyDescent="0.25">
      <c r="A815" t="s">
        <v>1242</v>
      </c>
      <c r="B815" t="s">
        <v>1243</v>
      </c>
      <c r="C815" t="s">
        <v>1244</v>
      </c>
      <c r="D815" t="s">
        <v>15</v>
      </c>
      <c r="E815" t="s">
        <v>75</v>
      </c>
      <c r="F815">
        <v>4</v>
      </c>
      <c r="G815">
        <v>4200</v>
      </c>
      <c r="H815">
        <v>44.5</v>
      </c>
      <c r="I815">
        <v>300</v>
      </c>
      <c r="J815">
        <v>160</v>
      </c>
      <c r="K815">
        <v>250</v>
      </c>
      <c r="L815">
        <v>12300</v>
      </c>
    </row>
    <row r="816" spans="1:12" x14ac:dyDescent="0.25">
      <c r="A816" t="s">
        <v>1245</v>
      </c>
      <c r="B816" t="s">
        <v>1246</v>
      </c>
      <c r="C816" t="s">
        <v>1247</v>
      </c>
      <c r="D816" t="s">
        <v>241</v>
      </c>
      <c r="E816" t="s">
        <v>16</v>
      </c>
      <c r="F816">
        <v>2</v>
      </c>
      <c r="G816">
        <v>5500</v>
      </c>
      <c r="H816">
        <v>46.8</v>
      </c>
      <c r="I816">
        <v>400</v>
      </c>
      <c r="J816">
        <v>110</v>
      </c>
      <c r="K816">
        <v>300</v>
      </c>
      <c r="L816">
        <v>1</v>
      </c>
    </row>
    <row r="817" spans="1:12" x14ac:dyDescent="0.25">
      <c r="A817" t="s">
        <v>1224</v>
      </c>
      <c r="B817" t="s">
        <v>1248</v>
      </c>
      <c r="C817" t="s">
        <v>1249</v>
      </c>
      <c r="D817" t="s">
        <v>40</v>
      </c>
      <c r="E817" t="s">
        <v>1369</v>
      </c>
      <c r="F817">
        <v>4</v>
      </c>
      <c r="G817">
        <v>2200</v>
      </c>
      <c r="H817">
        <v>39.799999999999997</v>
      </c>
      <c r="I817">
        <v>200</v>
      </c>
      <c r="J817">
        <v>100</v>
      </c>
      <c r="K817">
        <v>200</v>
      </c>
      <c r="L817">
        <v>109.5</v>
      </c>
    </row>
    <row r="818" spans="1:12" x14ac:dyDescent="0.25">
      <c r="A818" t="s">
        <v>1227</v>
      </c>
      <c r="B818" t="s">
        <v>1250</v>
      </c>
      <c r="C818" t="s">
        <v>1251</v>
      </c>
      <c r="D818" t="s">
        <v>251</v>
      </c>
      <c r="E818" t="s">
        <v>16</v>
      </c>
      <c r="F818">
        <v>2</v>
      </c>
      <c r="G818">
        <v>15000</v>
      </c>
      <c r="H818">
        <v>68.5</v>
      </c>
      <c r="I818">
        <v>750</v>
      </c>
      <c r="J818">
        <v>140</v>
      </c>
      <c r="K818">
        <v>700</v>
      </c>
      <c r="L818">
        <v>0.31</v>
      </c>
    </row>
    <row r="819" spans="1:12" x14ac:dyDescent="0.25">
      <c r="A819" t="s">
        <v>1230</v>
      </c>
      <c r="B819" t="s">
        <v>1252</v>
      </c>
      <c r="C819" t="s">
        <v>1253</v>
      </c>
      <c r="D819" t="s">
        <v>15</v>
      </c>
      <c r="E819" t="s">
        <v>16</v>
      </c>
      <c r="F819">
        <v>2</v>
      </c>
      <c r="G819">
        <v>3500</v>
      </c>
      <c r="H819">
        <v>43.2</v>
      </c>
      <c r="I819">
        <v>350</v>
      </c>
      <c r="J819">
        <v>120</v>
      </c>
      <c r="K819">
        <v>300</v>
      </c>
      <c r="L819">
        <v>36.799999999999997</v>
      </c>
    </row>
    <row r="820" spans="1:12" x14ac:dyDescent="0.25">
      <c r="A820" t="s">
        <v>1233</v>
      </c>
      <c r="B820" t="s">
        <v>1254</v>
      </c>
      <c r="C820" t="s">
        <v>1255</v>
      </c>
      <c r="D820" t="s">
        <v>20</v>
      </c>
      <c r="E820" t="s">
        <v>16</v>
      </c>
      <c r="F820">
        <v>2</v>
      </c>
      <c r="G820">
        <v>4200</v>
      </c>
      <c r="H820">
        <v>58.5</v>
      </c>
      <c r="I820">
        <v>450</v>
      </c>
      <c r="J820">
        <v>80</v>
      </c>
      <c r="K820">
        <v>450</v>
      </c>
      <c r="L820">
        <v>0.92</v>
      </c>
    </row>
    <row r="821" spans="1:12" x14ac:dyDescent="0.25">
      <c r="A821" t="s">
        <v>1236</v>
      </c>
      <c r="B821" t="s">
        <v>1256</v>
      </c>
      <c r="C821" t="s">
        <v>1257</v>
      </c>
      <c r="D821" t="s">
        <v>207</v>
      </c>
      <c r="E821" t="s">
        <v>1369</v>
      </c>
      <c r="F821">
        <v>4</v>
      </c>
      <c r="G821">
        <v>2600</v>
      </c>
      <c r="H821">
        <v>45.8</v>
      </c>
      <c r="I821">
        <v>320</v>
      </c>
      <c r="J821">
        <v>90</v>
      </c>
      <c r="K821">
        <v>320</v>
      </c>
      <c r="L821">
        <v>108.5</v>
      </c>
    </row>
    <row r="822" spans="1:12" x14ac:dyDescent="0.25">
      <c r="A822" t="s">
        <v>1239</v>
      </c>
      <c r="B822" t="s">
        <v>1258</v>
      </c>
      <c r="C822" t="s">
        <v>1259</v>
      </c>
      <c r="D822" t="s">
        <v>215</v>
      </c>
      <c r="E822" t="s">
        <v>75</v>
      </c>
      <c r="F822">
        <v>3</v>
      </c>
      <c r="G822">
        <v>2800</v>
      </c>
      <c r="H822">
        <v>48.5</v>
      </c>
      <c r="I822">
        <v>350</v>
      </c>
      <c r="J822">
        <v>150</v>
      </c>
      <c r="K822">
        <v>280</v>
      </c>
      <c r="L822">
        <v>42150</v>
      </c>
    </row>
    <row r="823" spans="1:12" x14ac:dyDescent="0.25">
      <c r="A823" t="s">
        <v>1242</v>
      </c>
      <c r="B823" t="s">
        <v>1260</v>
      </c>
      <c r="C823" t="s">
        <v>1261</v>
      </c>
      <c r="D823" t="s">
        <v>71</v>
      </c>
      <c r="E823" t="s">
        <v>16</v>
      </c>
      <c r="F823">
        <v>2</v>
      </c>
      <c r="G823">
        <v>3800</v>
      </c>
      <c r="H823">
        <v>41.2</v>
      </c>
      <c r="I823">
        <v>250</v>
      </c>
      <c r="J823">
        <v>160</v>
      </c>
      <c r="K823">
        <v>250</v>
      </c>
      <c r="L823">
        <v>12300</v>
      </c>
    </row>
    <row r="824" spans="1:12" x14ac:dyDescent="0.25">
      <c r="A824" t="s">
        <v>1245</v>
      </c>
      <c r="B824" t="s">
        <v>1262</v>
      </c>
      <c r="C824" t="s">
        <v>1184</v>
      </c>
      <c r="D824" t="s">
        <v>63</v>
      </c>
      <c r="E824" t="s">
        <v>75</v>
      </c>
      <c r="F824">
        <v>4</v>
      </c>
      <c r="G824">
        <v>5000</v>
      </c>
      <c r="H824">
        <v>44.5</v>
      </c>
      <c r="I824">
        <v>350</v>
      </c>
      <c r="J824">
        <v>110</v>
      </c>
      <c r="K824">
        <v>300</v>
      </c>
      <c r="L824">
        <v>1</v>
      </c>
    </row>
    <row r="825" spans="1:12" x14ac:dyDescent="0.25">
      <c r="A825" t="s">
        <v>1224</v>
      </c>
      <c r="B825" t="s">
        <v>1263</v>
      </c>
      <c r="C825" t="s">
        <v>1264</v>
      </c>
      <c r="D825" t="s">
        <v>241</v>
      </c>
      <c r="E825" t="s">
        <v>16</v>
      </c>
      <c r="F825">
        <v>2</v>
      </c>
      <c r="G825">
        <v>2100</v>
      </c>
      <c r="H825">
        <v>38.5</v>
      </c>
      <c r="I825">
        <v>180</v>
      </c>
      <c r="J825">
        <v>100</v>
      </c>
      <c r="K825">
        <v>200</v>
      </c>
      <c r="L825">
        <v>109.5</v>
      </c>
    </row>
    <row r="826" spans="1:12" x14ac:dyDescent="0.25">
      <c r="A826" t="s">
        <v>1227</v>
      </c>
      <c r="B826" t="s">
        <v>1265</v>
      </c>
      <c r="C826" t="s">
        <v>1266</v>
      </c>
      <c r="D826" t="s">
        <v>40</v>
      </c>
      <c r="E826" t="s">
        <v>1369</v>
      </c>
      <c r="F826">
        <v>4</v>
      </c>
      <c r="G826">
        <v>14000</v>
      </c>
      <c r="H826">
        <v>66.8</v>
      </c>
      <c r="I826">
        <v>700</v>
      </c>
      <c r="J826">
        <v>140</v>
      </c>
      <c r="K826">
        <v>700</v>
      </c>
      <c r="L826">
        <v>0.31</v>
      </c>
    </row>
    <row r="827" spans="1:12" x14ac:dyDescent="0.25">
      <c r="A827" t="s">
        <v>1230</v>
      </c>
      <c r="B827" t="s">
        <v>1267</v>
      </c>
      <c r="C827" t="s">
        <v>1268</v>
      </c>
      <c r="D827" t="s">
        <v>20</v>
      </c>
      <c r="E827" t="s">
        <v>16</v>
      </c>
      <c r="F827">
        <v>2</v>
      </c>
      <c r="G827">
        <v>3400</v>
      </c>
      <c r="H827">
        <v>42.5</v>
      </c>
      <c r="I827">
        <v>330</v>
      </c>
      <c r="J827">
        <v>120</v>
      </c>
      <c r="K827">
        <v>300</v>
      </c>
      <c r="L827">
        <v>36.799999999999997</v>
      </c>
    </row>
    <row r="828" spans="1:12" x14ac:dyDescent="0.25">
      <c r="A828" t="s">
        <v>1233</v>
      </c>
      <c r="B828" t="s">
        <v>1269</v>
      </c>
      <c r="C828" t="s">
        <v>1270</v>
      </c>
      <c r="D828" t="s">
        <v>222</v>
      </c>
      <c r="E828" t="s">
        <v>75</v>
      </c>
      <c r="F828">
        <v>3</v>
      </c>
      <c r="G828">
        <v>4000</v>
      </c>
      <c r="H828">
        <v>57.2</v>
      </c>
      <c r="I828">
        <v>420</v>
      </c>
      <c r="J828">
        <v>80</v>
      </c>
      <c r="K828">
        <v>450</v>
      </c>
      <c r="L828">
        <v>0.92</v>
      </c>
    </row>
    <row r="829" spans="1:12" x14ac:dyDescent="0.25">
      <c r="A829" t="s">
        <v>1236</v>
      </c>
      <c r="B829" t="s">
        <v>1271</v>
      </c>
      <c r="C829" t="s">
        <v>1272</v>
      </c>
      <c r="D829" t="s">
        <v>63</v>
      </c>
      <c r="E829" t="s">
        <v>16</v>
      </c>
      <c r="F829">
        <v>2</v>
      </c>
      <c r="G829">
        <v>2500</v>
      </c>
      <c r="H829">
        <v>44.2</v>
      </c>
      <c r="I829">
        <v>300</v>
      </c>
      <c r="J829">
        <v>90</v>
      </c>
      <c r="K829">
        <v>320</v>
      </c>
      <c r="L829">
        <v>108.5</v>
      </c>
    </row>
    <row r="830" spans="1:12" x14ac:dyDescent="0.25">
      <c r="A830" t="s">
        <v>1239</v>
      </c>
      <c r="B830" t="s">
        <v>1273</v>
      </c>
      <c r="C830" t="s">
        <v>1274</v>
      </c>
      <c r="D830" t="s">
        <v>71</v>
      </c>
      <c r="E830" t="s">
        <v>1369</v>
      </c>
      <c r="F830">
        <v>4</v>
      </c>
      <c r="G830">
        <v>2900</v>
      </c>
      <c r="H830">
        <v>47.8</v>
      </c>
      <c r="I830">
        <v>320</v>
      </c>
      <c r="J830">
        <v>150</v>
      </c>
      <c r="K830">
        <v>280</v>
      </c>
      <c r="L830">
        <v>42150</v>
      </c>
    </row>
    <row r="831" spans="1:12" x14ac:dyDescent="0.25">
      <c r="A831" t="s">
        <v>1242</v>
      </c>
      <c r="B831" t="s">
        <v>1275</v>
      </c>
      <c r="C831" t="s">
        <v>1276</v>
      </c>
      <c r="D831" t="s">
        <v>15</v>
      </c>
      <c r="E831" t="s">
        <v>75</v>
      </c>
      <c r="F831">
        <v>4</v>
      </c>
      <c r="G831">
        <v>3500</v>
      </c>
      <c r="H831">
        <v>39.799999999999997</v>
      </c>
      <c r="I831">
        <v>220</v>
      </c>
      <c r="J831">
        <v>160</v>
      </c>
      <c r="K831">
        <v>250</v>
      </c>
      <c r="L831">
        <v>12300</v>
      </c>
    </row>
    <row r="832" spans="1:12" x14ac:dyDescent="0.25">
      <c r="A832" t="s">
        <v>1245</v>
      </c>
      <c r="B832" t="s">
        <v>1277</v>
      </c>
      <c r="C832" t="s">
        <v>1278</v>
      </c>
      <c r="D832" t="s">
        <v>215</v>
      </c>
      <c r="E832" t="s">
        <v>16</v>
      </c>
      <c r="F832">
        <v>2</v>
      </c>
      <c r="G832">
        <v>4800</v>
      </c>
      <c r="H832">
        <v>43.2</v>
      </c>
      <c r="I832">
        <v>320</v>
      </c>
      <c r="J832">
        <v>110</v>
      </c>
      <c r="K832">
        <v>300</v>
      </c>
      <c r="L832">
        <v>1</v>
      </c>
    </row>
    <row r="833" spans="1:12" x14ac:dyDescent="0.25">
      <c r="A833" t="s">
        <v>1224</v>
      </c>
      <c r="B833" t="s">
        <v>1279</v>
      </c>
      <c r="C833" t="s">
        <v>1280</v>
      </c>
      <c r="D833" t="s">
        <v>207</v>
      </c>
      <c r="E833" t="s">
        <v>16</v>
      </c>
      <c r="F833">
        <v>2</v>
      </c>
      <c r="G833">
        <v>2000</v>
      </c>
      <c r="H833">
        <v>37.200000000000003</v>
      </c>
      <c r="I833">
        <v>170</v>
      </c>
      <c r="J833">
        <v>100</v>
      </c>
      <c r="K833">
        <v>200</v>
      </c>
      <c r="L833">
        <v>109.5</v>
      </c>
    </row>
    <row r="834" spans="1:12" x14ac:dyDescent="0.25">
      <c r="A834" t="s">
        <v>1227</v>
      </c>
      <c r="B834" t="s">
        <v>1281</v>
      </c>
      <c r="C834" t="s">
        <v>1282</v>
      </c>
      <c r="D834" t="s">
        <v>20</v>
      </c>
      <c r="E834" t="s">
        <v>75</v>
      </c>
      <c r="F834">
        <v>3</v>
      </c>
      <c r="G834">
        <v>13500</v>
      </c>
      <c r="H834">
        <v>65.400000000000006</v>
      </c>
      <c r="I834">
        <v>680</v>
      </c>
      <c r="J834">
        <v>140</v>
      </c>
      <c r="K834">
        <v>700</v>
      </c>
      <c r="L834">
        <v>0.31</v>
      </c>
    </row>
    <row r="835" spans="1:12" x14ac:dyDescent="0.25">
      <c r="A835" t="s">
        <v>1230</v>
      </c>
      <c r="B835" t="s">
        <v>1283</v>
      </c>
      <c r="C835" t="s">
        <v>1284</v>
      </c>
      <c r="D835" t="s">
        <v>40</v>
      </c>
      <c r="E835" t="s">
        <v>1369</v>
      </c>
      <c r="F835">
        <v>4</v>
      </c>
      <c r="G835">
        <v>3600</v>
      </c>
      <c r="H835">
        <v>41.8</v>
      </c>
      <c r="I835">
        <v>320</v>
      </c>
      <c r="J835">
        <v>120</v>
      </c>
      <c r="K835">
        <v>300</v>
      </c>
      <c r="L835">
        <v>36.799999999999997</v>
      </c>
    </row>
    <row r="836" spans="1:12" x14ac:dyDescent="0.25">
      <c r="A836" t="s">
        <v>1233</v>
      </c>
      <c r="B836" t="s">
        <v>1285</v>
      </c>
      <c r="C836" t="s">
        <v>1286</v>
      </c>
      <c r="D836" t="s">
        <v>15</v>
      </c>
      <c r="E836" t="s">
        <v>16</v>
      </c>
      <c r="F836">
        <v>2</v>
      </c>
      <c r="G836">
        <v>4100</v>
      </c>
      <c r="H836">
        <v>56.5</v>
      </c>
      <c r="I836">
        <v>400</v>
      </c>
      <c r="J836">
        <v>80</v>
      </c>
      <c r="K836">
        <v>450</v>
      </c>
      <c r="L836">
        <v>0.92</v>
      </c>
    </row>
    <row r="837" spans="1:12" x14ac:dyDescent="0.25">
      <c r="A837" t="s">
        <v>1236</v>
      </c>
      <c r="B837" t="s">
        <v>1287</v>
      </c>
      <c r="C837" t="s">
        <v>1288</v>
      </c>
      <c r="D837" t="s">
        <v>251</v>
      </c>
      <c r="E837" t="s">
        <v>75</v>
      </c>
      <c r="F837">
        <v>4</v>
      </c>
      <c r="G837">
        <v>2400</v>
      </c>
      <c r="H837">
        <v>43.5</v>
      </c>
      <c r="I837">
        <v>280</v>
      </c>
      <c r="J837">
        <v>90</v>
      </c>
      <c r="K837">
        <v>320</v>
      </c>
      <c r="L837">
        <v>108.5</v>
      </c>
    </row>
    <row r="838" spans="1:12" x14ac:dyDescent="0.25">
      <c r="A838" t="s">
        <v>1239</v>
      </c>
      <c r="B838" t="s">
        <v>1289</v>
      </c>
      <c r="C838" t="s">
        <v>1290</v>
      </c>
      <c r="D838" t="s">
        <v>241</v>
      </c>
      <c r="E838" t="s">
        <v>16</v>
      </c>
      <c r="F838">
        <v>2</v>
      </c>
      <c r="G838">
        <v>2700</v>
      </c>
      <c r="H838">
        <v>46.8</v>
      </c>
      <c r="I838">
        <v>300</v>
      </c>
      <c r="J838">
        <v>150</v>
      </c>
      <c r="K838">
        <v>280</v>
      </c>
      <c r="L838">
        <v>42150</v>
      </c>
    </row>
    <row r="839" spans="1:12" x14ac:dyDescent="0.25">
      <c r="A839" t="s">
        <v>1242</v>
      </c>
      <c r="B839" t="s">
        <v>1291</v>
      </c>
      <c r="C839" t="s">
        <v>1292</v>
      </c>
      <c r="D839" t="s">
        <v>222</v>
      </c>
      <c r="E839" t="s">
        <v>16</v>
      </c>
      <c r="F839">
        <v>2</v>
      </c>
      <c r="G839">
        <v>3400</v>
      </c>
      <c r="H839">
        <v>38.5</v>
      </c>
      <c r="I839">
        <v>200</v>
      </c>
      <c r="J839">
        <v>160</v>
      </c>
      <c r="K839">
        <v>250</v>
      </c>
      <c r="L839">
        <v>12300</v>
      </c>
    </row>
    <row r="840" spans="1:12" x14ac:dyDescent="0.25">
      <c r="A840" t="s">
        <v>1245</v>
      </c>
      <c r="B840" t="s">
        <v>1293</v>
      </c>
      <c r="C840" t="s">
        <v>1294</v>
      </c>
      <c r="D840" t="s">
        <v>20</v>
      </c>
      <c r="E840" t="s">
        <v>75</v>
      </c>
      <c r="F840">
        <v>3</v>
      </c>
      <c r="G840">
        <v>4500</v>
      </c>
      <c r="H840">
        <v>42.8</v>
      </c>
      <c r="I840">
        <v>300</v>
      </c>
      <c r="J840">
        <v>110</v>
      </c>
      <c r="K840">
        <v>300</v>
      </c>
      <c r="L840">
        <v>1</v>
      </c>
    </row>
    <row r="841" spans="1:12" x14ac:dyDescent="0.25">
      <c r="A841" t="s">
        <v>1224</v>
      </c>
      <c r="B841" t="s">
        <v>1295</v>
      </c>
      <c r="C841" t="s">
        <v>1296</v>
      </c>
      <c r="D841" t="s">
        <v>63</v>
      </c>
      <c r="E841" t="s">
        <v>1369</v>
      </c>
      <c r="F841">
        <v>4</v>
      </c>
      <c r="G841">
        <v>2300</v>
      </c>
      <c r="H841">
        <v>36.799999999999997</v>
      </c>
      <c r="I841">
        <v>160</v>
      </c>
      <c r="J841">
        <v>100</v>
      </c>
      <c r="K841">
        <v>200</v>
      </c>
      <c r="L841">
        <v>109.5</v>
      </c>
    </row>
    <row r="842" spans="1:12" x14ac:dyDescent="0.25">
      <c r="A842" t="s">
        <v>1227</v>
      </c>
      <c r="B842" t="s">
        <v>1297</v>
      </c>
      <c r="C842" t="s">
        <v>1298</v>
      </c>
      <c r="D842" t="s">
        <v>207</v>
      </c>
      <c r="E842" t="s">
        <v>16</v>
      </c>
      <c r="F842">
        <v>2</v>
      </c>
      <c r="G842">
        <v>13000</v>
      </c>
      <c r="H842">
        <v>64.5</v>
      </c>
      <c r="I842">
        <v>650</v>
      </c>
      <c r="J842">
        <v>140</v>
      </c>
      <c r="K842">
        <v>700</v>
      </c>
      <c r="L842">
        <v>0.31</v>
      </c>
    </row>
    <row r="843" spans="1:12" x14ac:dyDescent="0.25">
      <c r="A843" t="s">
        <v>1230</v>
      </c>
      <c r="B843" t="s">
        <v>1299</v>
      </c>
      <c r="C843" t="s">
        <v>1300</v>
      </c>
      <c r="D843" t="s">
        <v>71</v>
      </c>
      <c r="E843" t="s">
        <v>16</v>
      </c>
      <c r="F843">
        <v>2</v>
      </c>
      <c r="G843">
        <v>3300</v>
      </c>
      <c r="H843">
        <v>40.5</v>
      </c>
      <c r="I843">
        <v>300</v>
      </c>
      <c r="J843">
        <v>120</v>
      </c>
      <c r="K843">
        <v>300</v>
      </c>
      <c r="L843">
        <v>36.799999999999997</v>
      </c>
    </row>
    <row r="844" spans="1:12" x14ac:dyDescent="0.25">
      <c r="A844" t="s">
        <v>1233</v>
      </c>
      <c r="B844" t="s">
        <v>1301</v>
      </c>
      <c r="C844" t="s">
        <v>1302</v>
      </c>
      <c r="D844" t="s">
        <v>215</v>
      </c>
      <c r="E844" t="s">
        <v>75</v>
      </c>
      <c r="F844">
        <v>3</v>
      </c>
      <c r="G844">
        <v>3900</v>
      </c>
      <c r="H844">
        <v>55.4</v>
      </c>
      <c r="I844">
        <v>380</v>
      </c>
      <c r="J844">
        <v>80</v>
      </c>
      <c r="K844">
        <v>450</v>
      </c>
      <c r="L844">
        <v>0.92</v>
      </c>
    </row>
    <row r="845" spans="1:12" x14ac:dyDescent="0.25">
      <c r="A845" t="s">
        <v>1236</v>
      </c>
      <c r="B845" t="s">
        <v>1303</v>
      </c>
      <c r="C845" t="s">
        <v>1304</v>
      </c>
      <c r="D845" t="s">
        <v>15</v>
      </c>
      <c r="E845" t="s">
        <v>16</v>
      </c>
      <c r="F845">
        <v>2</v>
      </c>
      <c r="G845">
        <v>2300</v>
      </c>
      <c r="H845">
        <v>42.8</v>
      </c>
      <c r="I845">
        <v>270</v>
      </c>
      <c r="J845">
        <v>90</v>
      </c>
      <c r="K845">
        <v>320</v>
      </c>
      <c r="L845">
        <v>108.5</v>
      </c>
    </row>
    <row r="846" spans="1:12" x14ac:dyDescent="0.25">
      <c r="A846" t="s">
        <v>1239</v>
      </c>
      <c r="B846" t="s">
        <v>1305</v>
      </c>
      <c r="C846" t="s">
        <v>1306</v>
      </c>
      <c r="D846" t="s">
        <v>40</v>
      </c>
      <c r="E846" t="s">
        <v>1369</v>
      </c>
      <c r="F846">
        <v>4</v>
      </c>
      <c r="G846">
        <v>2600</v>
      </c>
      <c r="H846">
        <v>45.5</v>
      </c>
      <c r="I846">
        <v>280</v>
      </c>
      <c r="J846">
        <v>150</v>
      </c>
      <c r="K846">
        <v>280</v>
      </c>
      <c r="L846">
        <v>42150</v>
      </c>
    </row>
    <row r="847" spans="1:12" x14ac:dyDescent="0.25">
      <c r="A847" t="s">
        <v>1242</v>
      </c>
      <c r="B847" t="s">
        <v>1307</v>
      </c>
      <c r="C847" t="s">
        <v>1308</v>
      </c>
      <c r="D847" t="s">
        <v>241</v>
      </c>
      <c r="E847" t="s">
        <v>16</v>
      </c>
      <c r="F847">
        <v>2</v>
      </c>
      <c r="G847">
        <v>3200</v>
      </c>
      <c r="H847">
        <v>37.799999999999997</v>
      </c>
      <c r="I847">
        <v>180</v>
      </c>
      <c r="J847">
        <v>160</v>
      </c>
      <c r="K847">
        <v>250</v>
      </c>
      <c r="L847">
        <v>12300</v>
      </c>
    </row>
    <row r="848" spans="1:12" x14ac:dyDescent="0.25">
      <c r="A848" t="s">
        <v>1245</v>
      </c>
      <c r="B848" t="s">
        <v>1309</v>
      </c>
      <c r="C848" t="s">
        <v>1310</v>
      </c>
      <c r="D848" t="s">
        <v>63</v>
      </c>
      <c r="E848" t="s">
        <v>75</v>
      </c>
      <c r="F848">
        <v>4</v>
      </c>
      <c r="G848">
        <v>4200</v>
      </c>
      <c r="H848">
        <v>42.1</v>
      </c>
      <c r="I848">
        <v>280</v>
      </c>
      <c r="J848">
        <v>110</v>
      </c>
      <c r="K848">
        <v>300</v>
      </c>
      <c r="L848">
        <v>1</v>
      </c>
    </row>
    <row r="849" spans="1:12" x14ac:dyDescent="0.25">
      <c r="A849" t="s">
        <v>167</v>
      </c>
      <c r="B849" t="s">
        <v>168</v>
      </c>
      <c r="C849" t="s">
        <v>169</v>
      </c>
      <c r="D849" t="s">
        <v>15</v>
      </c>
      <c r="E849" t="s">
        <v>16</v>
      </c>
      <c r="F849">
        <v>2</v>
      </c>
      <c r="G849">
        <v>8500</v>
      </c>
      <c r="H849">
        <v>55.4</v>
      </c>
      <c r="I849">
        <v>500</v>
      </c>
      <c r="J849">
        <v>120</v>
      </c>
      <c r="K849">
        <v>400</v>
      </c>
      <c r="L849">
        <v>4.6500000000000004</v>
      </c>
    </row>
    <row r="850" spans="1:12" x14ac:dyDescent="0.25">
      <c r="A850" t="s">
        <v>375</v>
      </c>
      <c r="B850" t="s">
        <v>376</v>
      </c>
      <c r="C850" t="s">
        <v>377</v>
      </c>
      <c r="D850" t="s">
        <v>20</v>
      </c>
      <c r="E850" t="s">
        <v>1369</v>
      </c>
      <c r="F850">
        <v>4</v>
      </c>
      <c r="G850">
        <v>5000</v>
      </c>
      <c r="H850">
        <v>72.5</v>
      </c>
      <c r="I850">
        <v>800</v>
      </c>
      <c r="J850">
        <v>200</v>
      </c>
      <c r="K850">
        <v>800</v>
      </c>
      <c r="L850">
        <v>3.75</v>
      </c>
    </row>
    <row r="851" spans="1:12" x14ac:dyDescent="0.25">
      <c r="A851" t="s">
        <v>12</v>
      </c>
      <c r="B851" t="s">
        <v>122</v>
      </c>
      <c r="C851" t="s">
        <v>14</v>
      </c>
      <c r="D851" t="s">
        <v>40</v>
      </c>
      <c r="E851" t="s">
        <v>16</v>
      </c>
      <c r="F851">
        <v>2</v>
      </c>
      <c r="G851">
        <v>58000</v>
      </c>
      <c r="H851">
        <v>82.1</v>
      </c>
      <c r="I851">
        <v>2200</v>
      </c>
      <c r="J851">
        <v>160</v>
      </c>
      <c r="K851">
        <v>1500</v>
      </c>
      <c r="L851">
        <v>1</v>
      </c>
    </row>
    <row r="852" spans="1:12" x14ac:dyDescent="0.25">
      <c r="A852" t="s">
        <v>17</v>
      </c>
      <c r="B852" t="s">
        <v>18</v>
      </c>
      <c r="C852" t="s">
        <v>1311</v>
      </c>
      <c r="D852" t="s">
        <v>63</v>
      </c>
      <c r="E852" t="s">
        <v>16</v>
      </c>
      <c r="F852">
        <v>2</v>
      </c>
      <c r="G852">
        <v>42000</v>
      </c>
      <c r="H852">
        <v>75.3</v>
      </c>
      <c r="I852">
        <v>1800</v>
      </c>
      <c r="J852">
        <v>485</v>
      </c>
      <c r="K852">
        <v>800</v>
      </c>
      <c r="L852">
        <v>0.79</v>
      </c>
    </row>
    <row r="853" spans="1:12" x14ac:dyDescent="0.25">
      <c r="A853" t="s">
        <v>183</v>
      </c>
      <c r="B853" t="s">
        <v>770</v>
      </c>
      <c r="C853" t="s">
        <v>1312</v>
      </c>
      <c r="D853" t="s">
        <v>207</v>
      </c>
      <c r="E853" t="s">
        <v>1369</v>
      </c>
      <c r="F853">
        <v>4</v>
      </c>
      <c r="G853">
        <v>3500</v>
      </c>
      <c r="H853">
        <v>71.400000000000006</v>
      </c>
      <c r="I853">
        <v>1100</v>
      </c>
      <c r="J853">
        <v>80</v>
      </c>
      <c r="K853">
        <v>750</v>
      </c>
      <c r="L853">
        <v>0.92</v>
      </c>
    </row>
    <row r="854" spans="1:12" x14ac:dyDescent="0.25">
      <c r="A854" t="s">
        <v>186</v>
      </c>
      <c r="B854" t="s">
        <v>187</v>
      </c>
      <c r="C854" t="s">
        <v>188</v>
      </c>
      <c r="D854" t="s">
        <v>71</v>
      </c>
      <c r="E854" t="s">
        <v>16</v>
      </c>
      <c r="F854">
        <v>2</v>
      </c>
      <c r="G854">
        <v>4000</v>
      </c>
      <c r="H854">
        <v>73.2</v>
      </c>
      <c r="I854">
        <v>1200</v>
      </c>
      <c r="J854">
        <v>120</v>
      </c>
      <c r="K854">
        <v>700</v>
      </c>
      <c r="L854">
        <v>0.92</v>
      </c>
    </row>
    <row r="855" spans="1:12" x14ac:dyDescent="0.25">
      <c r="A855" t="s">
        <v>44</v>
      </c>
      <c r="B855" t="s">
        <v>45</v>
      </c>
      <c r="C855" t="s">
        <v>46</v>
      </c>
      <c r="D855" t="s">
        <v>15</v>
      </c>
      <c r="E855" t="s">
        <v>16</v>
      </c>
      <c r="F855">
        <v>2</v>
      </c>
      <c r="G855">
        <v>4500</v>
      </c>
      <c r="H855">
        <v>84.3</v>
      </c>
      <c r="I855">
        <v>1800</v>
      </c>
      <c r="J855">
        <v>99</v>
      </c>
      <c r="K855">
        <v>850</v>
      </c>
      <c r="L855">
        <v>0.92</v>
      </c>
    </row>
    <row r="856" spans="1:12" x14ac:dyDescent="0.25">
      <c r="A856" t="s">
        <v>167</v>
      </c>
      <c r="B856" t="s">
        <v>1313</v>
      </c>
      <c r="C856" t="s">
        <v>1314</v>
      </c>
      <c r="D856" t="s">
        <v>215</v>
      </c>
      <c r="E856" t="s">
        <v>75</v>
      </c>
      <c r="F856">
        <v>3</v>
      </c>
      <c r="G856">
        <v>7500</v>
      </c>
      <c r="H856">
        <v>52.1</v>
      </c>
      <c r="I856">
        <v>450</v>
      </c>
      <c r="J856">
        <v>120</v>
      </c>
      <c r="K856">
        <v>400</v>
      </c>
      <c r="L856">
        <v>4.6500000000000004</v>
      </c>
    </row>
    <row r="857" spans="1:12" x14ac:dyDescent="0.25">
      <c r="A857" t="s">
        <v>375</v>
      </c>
      <c r="B857" t="s">
        <v>1315</v>
      </c>
      <c r="C857" t="s">
        <v>1316</v>
      </c>
      <c r="D857" t="s">
        <v>251</v>
      </c>
      <c r="E857" t="s">
        <v>16</v>
      </c>
      <c r="F857">
        <v>2</v>
      </c>
      <c r="G857">
        <v>4800</v>
      </c>
      <c r="H857">
        <v>70.2</v>
      </c>
      <c r="I857">
        <v>750</v>
      </c>
      <c r="J857">
        <v>200</v>
      </c>
      <c r="K857">
        <v>800</v>
      </c>
      <c r="L857">
        <v>3.75</v>
      </c>
    </row>
    <row r="858" spans="1:12" x14ac:dyDescent="0.25">
      <c r="A858" t="s">
        <v>12</v>
      </c>
      <c r="B858" t="s">
        <v>120</v>
      </c>
      <c r="C858" t="s">
        <v>121</v>
      </c>
      <c r="D858" t="s">
        <v>15</v>
      </c>
      <c r="E858" t="s">
        <v>1369</v>
      </c>
      <c r="F858">
        <v>5</v>
      </c>
      <c r="G858">
        <v>52000</v>
      </c>
      <c r="H858">
        <v>84.3</v>
      </c>
      <c r="I858">
        <v>2300</v>
      </c>
      <c r="J858">
        <v>160</v>
      </c>
      <c r="K858">
        <v>1500</v>
      </c>
      <c r="L858">
        <v>1</v>
      </c>
    </row>
    <row r="859" spans="1:12" x14ac:dyDescent="0.25">
      <c r="A859" t="s">
        <v>17</v>
      </c>
      <c r="B859" t="s">
        <v>13</v>
      </c>
      <c r="C859" t="s">
        <v>127</v>
      </c>
      <c r="D859" t="s">
        <v>40</v>
      </c>
      <c r="E859" t="s">
        <v>1369</v>
      </c>
      <c r="F859">
        <v>4</v>
      </c>
      <c r="G859">
        <v>45000</v>
      </c>
      <c r="H859">
        <v>71.5</v>
      </c>
      <c r="I859">
        <v>1600</v>
      </c>
      <c r="J859">
        <v>485</v>
      </c>
      <c r="K859">
        <v>800</v>
      </c>
      <c r="L859">
        <v>0.79</v>
      </c>
    </row>
    <row r="860" spans="1:12" x14ac:dyDescent="0.25">
      <c r="A860" t="s">
        <v>183</v>
      </c>
      <c r="B860" t="s">
        <v>184</v>
      </c>
      <c r="C860" t="s">
        <v>1317</v>
      </c>
      <c r="D860" t="s">
        <v>20</v>
      </c>
      <c r="E860" t="s">
        <v>16</v>
      </c>
      <c r="F860">
        <v>2</v>
      </c>
      <c r="G860">
        <v>3800</v>
      </c>
      <c r="H860">
        <v>73.599999999999994</v>
      </c>
      <c r="I860">
        <v>1000</v>
      </c>
      <c r="J860">
        <v>80</v>
      </c>
      <c r="K860">
        <v>750</v>
      </c>
      <c r="L860">
        <v>0.92</v>
      </c>
    </row>
    <row r="861" spans="1:12" x14ac:dyDescent="0.25">
      <c r="A861" t="s">
        <v>186</v>
      </c>
      <c r="B861" t="s">
        <v>774</v>
      </c>
      <c r="C861" t="s">
        <v>775</v>
      </c>
      <c r="D861" t="s">
        <v>207</v>
      </c>
      <c r="E861" t="s">
        <v>75</v>
      </c>
      <c r="F861">
        <v>3</v>
      </c>
      <c r="G861">
        <v>3500</v>
      </c>
      <c r="H861">
        <v>71.2</v>
      </c>
      <c r="I861">
        <v>1100</v>
      </c>
      <c r="J861">
        <v>120</v>
      </c>
      <c r="K861">
        <v>700</v>
      </c>
      <c r="L861">
        <v>0.92</v>
      </c>
    </row>
    <row r="862" spans="1:12" x14ac:dyDescent="0.25">
      <c r="A862" t="s">
        <v>44</v>
      </c>
      <c r="B862" t="s">
        <v>420</v>
      </c>
      <c r="C862" t="s">
        <v>1318</v>
      </c>
      <c r="D862" t="s">
        <v>63</v>
      </c>
      <c r="E862" t="s">
        <v>16</v>
      </c>
      <c r="F862">
        <v>2</v>
      </c>
      <c r="G862">
        <v>4200</v>
      </c>
      <c r="H862">
        <v>75.599999999999994</v>
      </c>
      <c r="I862">
        <v>1200</v>
      </c>
      <c r="J862">
        <v>99</v>
      </c>
      <c r="K862">
        <v>850</v>
      </c>
      <c r="L862">
        <v>0.92</v>
      </c>
    </row>
    <row r="863" spans="1:12" x14ac:dyDescent="0.25">
      <c r="A863" t="s">
        <v>167</v>
      </c>
      <c r="B863" t="s">
        <v>1319</v>
      </c>
      <c r="C863" t="s">
        <v>1320</v>
      </c>
      <c r="D863" t="s">
        <v>71</v>
      </c>
      <c r="E863" t="s">
        <v>1369</v>
      </c>
      <c r="F863">
        <v>4</v>
      </c>
      <c r="G863">
        <v>8000</v>
      </c>
      <c r="H863">
        <v>51.8</v>
      </c>
      <c r="I863">
        <v>400</v>
      </c>
      <c r="J863">
        <v>120</v>
      </c>
      <c r="K863">
        <v>400</v>
      </c>
      <c r="L863">
        <v>4.6500000000000004</v>
      </c>
    </row>
    <row r="864" spans="1:12" x14ac:dyDescent="0.25">
      <c r="A864" t="s">
        <v>375</v>
      </c>
      <c r="B864" t="s">
        <v>1321</v>
      </c>
      <c r="C864" t="s">
        <v>1322</v>
      </c>
      <c r="D864" t="s">
        <v>15</v>
      </c>
      <c r="E864" t="s">
        <v>16</v>
      </c>
      <c r="F864">
        <v>2</v>
      </c>
      <c r="G864">
        <v>4500</v>
      </c>
      <c r="H864">
        <v>68.5</v>
      </c>
      <c r="I864">
        <v>700</v>
      </c>
      <c r="J864">
        <v>200</v>
      </c>
      <c r="K864">
        <v>800</v>
      </c>
      <c r="L864">
        <v>3.75</v>
      </c>
    </row>
    <row r="865" spans="1:12" x14ac:dyDescent="0.25">
      <c r="A865" t="s">
        <v>12</v>
      </c>
      <c r="B865" t="s">
        <v>170</v>
      </c>
      <c r="C865" t="s">
        <v>171</v>
      </c>
      <c r="D865" t="s">
        <v>20</v>
      </c>
      <c r="E865" t="s">
        <v>16</v>
      </c>
      <c r="F865">
        <v>2</v>
      </c>
      <c r="G865">
        <v>54000</v>
      </c>
      <c r="H865">
        <v>83.2</v>
      </c>
      <c r="I865">
        <v>2000</v>
      </c>
      <c r="J865">
        <v>160</v>
      </c>
      <c r="K865">
        <v>1500</v>
      </c>
      <c r="L865">
        <v>1</v>
      </c>
    </row>
    <row r="866" spans="1:12" x14ac:dyDescent="0.25">
      <c r="A866" t="s">
        <v>17</v>
      </c>
      <c r="B866" t="s">
        <v>125</v>
      </c>
      <c r="C866" t="s">
        <v>126</v>
      </c>
      <c r="D866" t="s">
        <v>207</v>
      </c>
      <c r="E866" t="s">
        <v>16</v>
      </c>
      <c r="F866">
        <v>2</v>
      </c>
      <c r="G866">
        <v>40000</v>
      </c>
      <c r="H866">
        <v>71.5</v>
      </c>
      <c r="I866">
        <v>1400</v>
      </c>
      <c r="J866">
        <v>485</v>
      </c>
      <c r="K866">
        <v>800</v>
      </c>
      <c r="L866">
        <v>0.79</v>
      </c>
    </row>
    <row r="867" spans="1:12" x14ac:dyDescent="0.25">
      <c r="A867" t="s">
        <v>183</v>
      </c>
      <c r="B867" t="s">
        <v>782</v>
      </c>
      <c r="C867" t="s">
        <v>1323</v>
      </c>
      <c r="D867" t="s">
        <v>215</v>
      </c>
      <c r="E867" t="s">
        <v>1369</v>
      </c>
      <c r="F867">
        <v>4</v>
      </c>
      <c r="G867">
        <v>3200</v>
      </c>
      <c r="H867">
        <v>68.5</v>
      </c>
      <c r="I867">
        <v>800</v>
      </c>
      <c r="J867">
        <v>80</v>
      </c>
      <c r="K867">
        <v>750</v>
      </c>
      <c r="L867">
        <v>0.92</v>
      </c>
    </row>
    <row r="868" spans="1:12" x14ac:dyDescent="0.25">
      <c r="A868" t="s">
        <v>186</v>
      </c>
      <c r="B868" t="s">
        <v>784</v>
      </c>
      <c r="C868" t="s">
        <v>785</v>
      </c>
      <c r="D868" t="s">
        <v>40</v>
      </c>
      <c r="E868" t="s">
        <v>16</v>
      </c>
      <c r="F868">
        <v>2</v>
      </c>
      <c r="G868">
        <v>3800</v>
      </c>
      <c r="H868">
        <v>69.8</v>
      </c>
      <c r="I868">
        <v>900</v>
      </c>
      <c r="J868">
        <v>120</v>
      </c>
      <c r="K868">
        <v>700</v>
      </c>
      <c r="L868">
        <v>0.92</v>
      </c>
    </row>
    <row r="869" spans="1:12" x14ac:dyDescent="0.25">
      <c r="A869" t="s">
        <v>44</v>
      </c>
      <c r="B869" t="s">
        <v>418</v>
      </c>
      <c r="C869" t="s">
        <v>419</v>
      </c>
      <c r="D869" t="s">
        <v>251</v>
      </c>
      <c r="E869" t="s">
        <v>1369</v>
      </c>
      <c r="F869">
        <v>4</v>
      </c>
      <c r="G869">
        <v>4300</v>
      </c>
      <c r="H869">
        <v>72.099999999999994</v>
      </c>
      <c r="I869">
        <v>1000</v>
      </c>
      <c r="J869">
        <v>99</v>
      </c>
      <c r="K869">
        <v>850</v>
      </c>
      <c r="L869">
        <v>0.92</v>
      </c>
    </row>
    <row r="870" spans="1:12" x14ac:dyDescent="0.25">
      <c r="A870" t="s">
        <v>167</v>
      </c>
      <c r="B870" t="s">
        <v>1324</v>
      </c>
      <c r="C870" t="s">
        <v>1325</v>
      </c>
      <c r="D870" t="s">
        <v>15</v>
      </c>
      <c r="E870" t="s">
        <v>16</v>
      </c>
      <c r="F870">
        <v>2</v>
      </c>
      <c r="G870">
        <v>7000</v>
      </c>
      <c r="H870">
        <v>49.5</v>
      </c>
      <c r="I870">
        <v>380</v>
      </c>
      <c r="J870">
        <v>120</v>
      </c>
      <c r="K870">
        <v>400</v>
      </c>
      <c r="L870">
        <v>4.6500000000000004</v>
      </c>
    </row>
    <row r="871" spans="1:12" x14ac:dyDescent="0.25">
      <c r="A871" t="s">
        <v>375</v>
      </c>
      <c r="B871" t="s">
        <v>1326</v>
      </c>
      <c r="C871" t="s">
        <v>1327</v>
      </c>
      <c r="D871" t="s">
        <v>241</v>
      </c>
      <c r="E871" t="s">
        <v>75</v>
      </c>
      <c r="F871">
        <v>4</v>
      </c>
      <c r="G871">
        <v>4200</v>
      </c>
      <c r="H871">
        <v>65.400000000000006</v>
      </c>
      <c r="I871">
        <v>650</v>
      </c>
      <c r="J871">
        <v>200</v>
      </c>
      <c r="K871">
        <v>800</v>
      </c>
      <c r="L871">
        <v>3.75</v>
      </c>
    </row>
    <row r="872" spans="1:12" x14ac:dyDescent="0.25">
      <c r="A872" t="s">
        <v>12</v>
      </c>
      <c r="B872" t="s">
        <v>123</v>
      </c>
      <c r="C872" t="s">
        <v>1328</v>
      </c>
      <c r="D872" t="s">
        <v>136</v>
      </c>
      <c r="E872" t="s">
        <v>1369</v>
      </c>
      <c r="F872">
        <v>5</v>
      </c>
      <c r="G872">
        <v>56000</v>
      </c>
      <c r="H872">
        <v>82.1</v>
      </c>
      <c r="I872">
        <v>2100</v>
      </c>
      <c r="J872">
        <v>160</v>
      </c>
      <c r="K872">
        <v>1500</v>
      </c>
      <c r="L872">
        <v>1</v>
      </c>
    </row>
    <row r="873" spans="1:12" x14ac:dyDescent="0.25">
      <c r="A873" t="s">
        <v>17</v>
      </c>
      <c r="B873" t="s">
        <v>529</v>
      </c>
      <c r="C873" t="s">
        <v>530</v>
      </c>
      <c r="D873" t="s">
        <v>20</v>
      </c>
      <c r="E873" t="s">
        <v>16</v>
      </c>
      <c r="F873">
        <v>2</v>
      </c>
      <c r="G873">
        <v>38000</v>
      </c>
      <c r="H873">
        <v>67.8</v>
      </c>
      <c r="I873">
        <v>1100</v>
      </c>
      <c r="J873">
        <v>485</v>
      </c>
      <c r="K873">
        <v>800</v>
      </c>
      <c r="L873">
        <v>0.79</v>
      </c>
    </row>
    <row r="874" spans="1:12" x14ac:dyDescent="0.25">
      <c r="A874" t="s">
        <v>183</v>
      </c>
      <c r="B874" t="s">
        <v>793</v>
      </c>
      <c r="C874" t="s">
        <v>794</v>
      </c>
      <c r="D874" t="s">
        <v>63</v>
      </c>
      <c r="E874" t="s">
        <v>16</v>
      </c>
      <c r="F874">
        <v>2</v>
      </c>
      <c r="G874">
        <v>3000</v>
      </c>
      <c r="H874">
        <v>65.400000000000006</v>
      </c>
      <c r="I874">
        <v>750</v>
      </c>
      <c r="J874">
        <v>80</v>
      </c>
      <c r="K874">
        <v>750</v>
      </c>
      <c r="L874">
        <v>0.92</v>
      </c>
    </row>
    <row r="875" spans="1:12" x14ac:dyDescent="0.25">
      <c r="A875" t="s">
        <v>186</v>
      </c>
      <c r="B875" t="s">
        <v>795</v>
      </c>
      <c r="C875" t="s">
        <v>796</v>
      </c>
      <c r="D875" t="s">
        <v>215</v>
      </c>
      <c r="E875" t="s">
        <v>1369</v>
      </c>
      <c r="F875">
        <v>4</v>
      </c>
      <c r="G875">
        <v>3600</v>
      </c>
      <c r="H875">
        <v>70.5</v>
      </c>
      <c r="I875">
        <v>950</v>
      </c>
      <c r="J875">
        <v>120</v>
      </c>
      <c r="K875">
        <v>700</v>
      </c>
      <c r="L875">
        <v>0.92</v>
      </c>
    </row>
    <row r="876" spans="1:12" x14ac:dyDescent="0.25">
      <c r="A876" t="s">
        <v>44</v>
      </c>
      <c r="B876" t="s">
        <v>1329</v>
      </c>
      <c r="C876" t="s">
        <v>1330</v>
      </c>
      <c r="D876" t="s">
        <v>40</v>
      </c>
      <c r="E876" t="s">
        <v>16</v>
      </c>
      <c r="F876">
        <v>2</v>
      </c>
      <c r="G876">
        <v>4100</v>
      </c>
      <c r="H876">
        <v>73.5</v>
      </c>
      <c r="I876">
        <v>1100</v>
      </c>
      <c r="J876">
        <v>99</v>
      </c>
      <c r="K876">
        <v>850</v>
      </c>
      <c r="L876">
        <v>0.92</v>
      </c>
    </row>
    <row r="877" spans="1:12" x14ac:dyDescent="0.25">
      <c r="A877" t="s">
        <v>167</v>
      </c>
      <c r="B877" t="s">
        <v>1331</v>
      </c>
      <c r="C877" t="s">
        <v>1332</v>
      </c>
      <c r="D877" t="s">
        <v>71</v>
      </c>
      <c r="E877" t="s">
        <v>75</v>
      </c>
      <c r="F877">
        <v>3</v>
      </c>
      <c r="G877">
        <v>7800</v>
      </c>
      <c r="H877">
        <v>53.2</v>
      </c>
      <c r="I877">
        <v>450</v>
      </c>
      <c r="J877">
        <v>120</v>
      </c>
      <c r="K877">
        <v>400</v>
      </c>
      <c r="L877">
        <v>4.6500000000000004</v>
      </c>
    </row>
    <row r="878" spans="1:12" x14ac:dyDescent="0.25">
      <c r="A878" t="s">
        <v>375</v>
      </c>
      <c r="B878" t="s">
        <v>1333</v>
      </c>
      <c r="C878" t="s">
        <v>1334</v>
      </c>
      <c r="D878" t="s">
        <v>15</v>
      </c>
      <c r="E878" t="s">
        <v>16</v>
      </c>
      <c r="F878">
        <v>2</v>
      </c>
      <c r="G878">
        <v>4600</v>
      </c>
      <c r="H878">
        <v>67.8</v>
      </c>
      <c r="I878">
        <v>680</v>
      </c>
      <c r="J878">
        <v>200</v>
      </c>
      <c r="K878">
        <v>800</v>
      </c>
      <c r="L878">
        <v>3.75</v>
      </c>
    </row>
    <row r="879" spans="1:12" x14ac:dyDescent="0.25">
      <c r="A879" t="s">
        <v>12</v>
      </c>
      <c r="B879" t="s">
        <v>357</v>
      </c>
      <c r="C879" t="s">
        <v>358</v>
      </c>
      <c r="D879" t="s">
        <v>20</v>
      </c>
      <c r="E879" t="s">
        <v>16</v>
      </c>
      <c r="F879">
        <v>2</v>
      </c>
      <c r="G879">
        <v>62000</v>
      </c>
      <c r="H879">
        <v>100</v>
      </c>
      <c r="I879">
        <v>2500</v>
      </c>
      <c r="J879">
        <v>160</v>
      </c>
      <c r="K879">
        <v>1500</v>
      </c>
      <c r="L879">
        <v>1</v>
      </c>
    </row>
    <row r="880" spans="1:12" x14ac:dyDescent="0.25">
      <c r="A880" t="s">
        <v>17</v>
      </c>
      <c r="B880" t="s">
        <v>172</v>
      </c>
      <c r="C880" t="s">
        <v>173</v>
      </c>
      <c r="D880" t="s">
        <v>207</v>
      </c>
      <c r="E880" t="s">
        <v>1369</v>
      </c>
      <c r="F880">
        <v>4</v>
      </c>
      <c r="G880">
        <v>35000</v>
      </c>
      <c r="H880">
        <v>65.400000000000006</v>
      </c>
      <c r="I880">
        <v>900</v>
      </c>
      <c r="J880">
        <v>485</v>
      </c>
      <c r="K880">
        <v>800</v>
      </c>
      <c r="L880">
        <v>0.79</v>
      </c>
    </row>
    <row r="881" spans="1:12" x14ac:dyDescent="0.25">
      <c r="A881" t="s">
        <v>183</v>
      </c>
      <c r="B881" t="s">
        <v>813</v>
      </c>
      <c r="C881" t="s">
        <v>1335</v>
      </c>
      <c r="D881" t="s">
        <v>15</v>
      </c>
      <c r="E881" t="s">
        <v>75</v>
      </c>
      <c r="F881">
        <v>3</v>
      </c>
      <c r="G881">
        <v>2800</v>
      </c>
      <c r="H881">
        <v>64.5</v>
      </c>
      <c r="I881">
        <v>700</v>
      </c>
      <c r="J881">
        <v>80</v>
      </c>
      <c r="K881">
        <v>750</v>
      </c>
      <c r="L881">
        <v>0.92</v>
      </c>
    </row>
    <row r="882" spans="1:12" x14ac:dyDescent="0.25">
      <c r="A882" t="s">
        <v>186</v>
      </c>
      <c r="B882" t="s">
        <v>805</v>
      </c>
      <c r="C882" t="s">
        <v>806</v>
      </c>
      <c r="D882" t="s">
        <v>251</v>
      </c>
      <c r="E882" t="s">
        <v>16</v>
      </c>
      <c r="F882">
        <v>2</v>
      </c>
      <c r="G882">
        <v>3500</v>
      </c>
      <c r="H882">
        <v>71.2</v>
      </c>
      <c r="I882">
        <v>1000</v>
      </c>
      <c r="J882">
        <v>120</v>
      </c>
      <c r="K882">
        <v>700</v>
      </c>
      <c r="L882">
        <v>0.92</v>
      </c>
    </row>
    <row r="883" spans="1:12" x14ac:dyDescent="0.25">
      <c r="A883" t="s">
        <v>44</v>
      </c>
      <c r="B883" t="s">
        <v>426</v>
      </c>
      <c r="C883" t="s">
        <v>427</v>
      </c>
      <c r="D883" t="s">
        <v>215</v>
      </c>
      <c r="E883" t="s">
        <v>1369</v>
      </c>
      <c r="F883">
        <v>4</v>
      </c>
      <c r="G883">
        <v>4300</v>
      </c>
      <c r="H883">
        <v>72.099999999999994</v>
      </c>
      <c r="I883">
        <v>1000</v>
      </c>
      <c r="J883">
        <v>99</v>
      </c>
      <c r="K883">
        <v>850</v>
      </c>
      <c r="L883">
        <v>0.92</v>
      </c>
    </row>
    <row r="884" spans="1:12" x14ac:dyDescent="0.25">
      <c r="A884" t="s">
        <v>167</v>
      </c>
      <c r="B884" t="s">
        <v>1336</v>
      </c>
      <c r="C884" t="s">
        <v>1337</v>
      </c>
      <c r="D884" t="s">
        <v>40</v>
      </c>
      <c r="E884" t="s">
        <v>16</v>
      </c>
      <c r="F884">
        <v>2</v>
      </c>
      <c r="G884">
        <v>7200</v>
      </c>
      <c r="H884">
        <v>51.5</v>
      </c>
      <c r="I884">
        <v>420</v>
      </c>
      <c r="J884">
        <v>120</v>
      </c>
      <c r="K884">
        <v>400</v>
      </c>
      <c r="L884">
        <v>4.6500000000000004</v>
      </c>
    </row>
    <row r="885" spans="1:12" x14ac:dyDescent="0.25">
      <c r="A885" t="s">
        <v>375</v>
      </c>
      <c r="B885" t="s">
        <v>1338</v>
      </c>
      <c r="C885" t="s">
        <v>1339</v>
      </c>
      <c r="D885" t="s">
        <v>241</v>
      </c>
      <c r="E885" t="s">
        <v>16</v>
      </c>
      <c r="F885">
        <v>2</v>
      </c>
      <c r="G885">
        <v>4400</v>
      </c>
      <c r="H885">
        <v>64.5</v>
      </c>
      <c r="I885">
        <v>600</v>
      </c>
      <c r="J885">
        <v>200</v>
      </c>
      <c r="K885">
        <v>800</v>
      </c>
      <c r="L885">
        <v>3.75</v>
      </c>
    </row>
    <row r="886" spans="1:12" x14ac:dyDescent="0.25">
      <c r="A886" t="s">
        <v>12</v>
      </c>
      <c r="B886" t="s">
        <v>510</v>
      </c>
      <c r="C886" t="s">
        <v>511</v>
      </c>
      <c r="D886" t="s">
        <v>63</v>
      </c>
      <c r="E886" t="s">
        <v>1369</v>
      </c>
      <c r="F886">
        <v>5</v>
      </c>
      <c r="G886">
        <v>52000</v>
      </c>
      <c r="H886">
        <v>79.8</v>
      </c>
      <c r="I886">
        <v>2200</v>
      </c>
      <c r="J886">
        <v>160</v>
      </c>
      <c r="K886">
        <v>1500</v>
      </c>
      <c r="L886">
        <v>1</v>
      </c>
    </row>
    <row r="887" spans="1:12" x14ac:dyDescent="0.25">
      <c r="A887" t="s">
        <v>17</v>
      </c>
      <c r="B887" t="s">
        <v>97</v>
      </c>
      <c r="C887" t="s">
        <v>98</v>
      </c>
      <c r="D887" t="s">
        <v>71</v>
      </c>
      <c r="E887" t="s">
        <v>16</v>
      </c>
      <c r="F887">
        <v>2</v>
      </c>
      <c r="G887">
        <v>36000</v>
      </c>
      <c r="H887">
        <v>68.900000000000006</v>
      </c>
      <c r="I887">
        <v>1200</v>
      </c>
      <c r="J887">
        <v>485</v>
      </c>
      <c r="K887">
        <v>800</v>
      </c>
      <c r="L887">
        <v>0.79</v>
      </c>
    </row>
    <row r="888" spans="1:12" x14ac:dyDescent="0.25">
      <c r="A888" t="s">
        <v>183</v>
      </c>
      <c r="B888" t="s">
        <v>803</v>
      </c>
      <c r="C888" t="s">
        <v>804</v>
      </c>
      <c r="D888" t="s">
        <v>222</v>
      </c>
      <c r="E888" t="s">
        <v>16</v>
      </c>
      <c r="F888">
        <v>2</v>
      </c>
      <c r="G888">
        <v>3400</v>
      </c>
      <c r="H888">
        <v>67.8</v>
      </c>
      <c r="I888">
        <v>850</v>
      </c>
      <c r="J888">
        <v>80</v>
      </c>
      <c r="K888">
        <v>750</v>
      </c>
      <c r="L888">
        <v>0.92</v>
      </c>
    </row>
    <row r="889" spans="1:12" x14ac:dyDescent="0.25">
      <c r="A889" t="s">
        <v>186</v>
      </c>
      <c r="B889" t="s">
        <v>815</v>
      </c>
      <c r="C889" t="s">
        <v>816</v>
      </c>
      <c r="D889" t="s">
        <v>15</v>
      </c>
      <c r="E889" t="s">
        <v>75</v>
      </c>
      <c r="F889">
        <v>3</v>
      </c>
      <c r="G889">
        <v>3200</v>
      </c>
      <c r="H889">
        <v>67.8</v>
      </c>
      <c r="I889">
        <v>800</v>
      </c>
      <c r="J889">
        <v>120</v>
      </c>
      <c r="K889">
        <v>700</v>
      </c>
      <c r="L889">
        <v>0.92</v>
      </c>
    </row>
    <row r="890" spans="1:12" x14ac:dyDescent="0.25">
      <c r="A890" t="s">
        <v>44</v>
      </c>
      <c r="B890" t="s">
        <v>424</v>
      </c>
      <c r="C890" t="s">
        <v>649</v>
      </c>
      <c r="D890" t="s">
        <v>20</v>
      </c>
      <c r="E890" t="s">
        <v>16</v>
      </c>
      <c r="F890">
        <v>2</v>
      </c>
      <c r="G890">
        <v>4100</v>
      </c>
      <c r="H890">
        <v>76.5</v>
      </c>
      <c r="I890">
        <v>1300</v>
      </c>
      <c r="J890">
        <v>99</v>
      </c>
      <c r="K890">
        <v>850</v>
      </c>
      <c r="L890">
        <v>0.92</v>
      </c>
    </row>
    <row r="891" spans="1:12" x14ac:dyDescent="0.25">
      <c r="A891" t="s">
        <v>167</v>
      </c>
      <c r="B891" t="s">
        <v>1340</v>
      </c>
      <c r="C891" t="s">
        <v>1341</v>
      </c>
      <c r="D891" t="s">
        <v>207</v>
      </c>
      <c r="E891" t="s">
        <v>1369</v>
      </c>
      <c r="F891">
        <v>4</v>
      </c>
      <c r="G891">
        <v>7500</v>
      </c>
      <c r="H891">
        <v>50.2</v>
      </c>
      <c r="I891">
        <v>400</v>
      </c>
      <c r="J891">
        <v>120</v>
      </c>
      <c r="K891">
        <v>400</v>
      </c>
      <c r="L891">
        <v>4.6500000000000004</v>
      </c>
    </row>
    <row r="892" spans="1:12" x14ac:dyDescent="0.25">
      <c r="A892" t="s">
        <v>375</v>
      </c>
      <c r="B892" t="s">
        <v>1342</v>
      </c>
      <c r="C892" t="s">
        <v>1343</v>
      </c>
      <c r="D892" t="s">
        <v>63</v>
      </c>
      <c r="E892" t="s">
        <v>75</v>
      </c>
      <c r="F892">
        <v>4</v>
      </c>
      <c r="G892">
        <v>4100</v>
      </c>
      <c r="H892">
        <v>63.2</v>
      </c>
      <c r="I892">
        <v>580</v>
      </c>
      <c r="J892">
        <v>200</v>
      </c>
      <c r="K892">
        <v>800</v>
      </c>
      <c r="L892">
        <v>3.75</v>
      </c>
    </row>
    <row r="893" spans="1:12" x14ac:dyDescent="0.25">
      <c r="A893" t="s">
        <v>12</v>
      </c>
      <c r="B893" t="s">
        <v>271</v>
      </c>
      <c r="C893" t="s">
        <v>272</v>
      </c>
      <c r="D893" t="s">
        <v>40</v>
      </c>
      <c r="E893" t="s">
        <v>16</v>
      </c>
      <c r="F893">
        <v>2</v>
      </c>
      <c r="G893">
        <v>58000</v>
      </c>
      <c r="H893">
        <v>84.1</v>
      </c>
      <c r="I893">
        <v>1900</v>
      </c>
      <c r="J893">
        <v>160</v>
      </c>
      <c r="K893">
        <v>1500</v>
      </c>
      <c r="L893">
        <v>1</v>
      </c>
    </row>
    <row r="894" spans="1:12" x14ac:dyDescent="0.25">
      <c r="A894" t="s">
        <v>17</v>
      </c>
      <c r="B894" t="s">
        <v>153</v>
      </c>
      <c r="C894" t="s">
        <v>154</v>
      </c>
      <c r="D894" t="s">
        <v>251</v>
      </c>
      <c r="E894" t="s">
        <v>1369</v>
      </c>
      <c r="F894">
        <v>4</v>
      </c>
      <c r="G894">
        <v>34000</v>
      </c>
      <c r="H894">
        <v>64.5</v>
      </c>
      <c r="I894">
        <v>950</v>
      </c>
      <c r="J894">
        <v>485</v>
      </c>
      <c r="K894">
        <v>800</v>
      </c>
      <c r="L894">
        <v>0.79</v>
      </c>
    </row>
    <row r="895" spans="1:12" x14ac:dyDescent="0.25">
      <c r="A895" t="s">
        <v>183</v>
      </c>
      <c r="B895" t="s">
        <v>833</v>
      </c>
      <c r="C895" t="s">
        <v>834</v>
      </c>
      <c r="D895" t="s">
        <v>215</v>
      </c>
      <c r="E895" t="s">
        <v>16</v>
      </c>
      <c r="F895">
        <v>2</v>
      </c>
      <c r="G895">
        <v>3100</v>
      </c>
      <c r="H895">
        <v>62.1</v>
      </c>
      <c r="I895">
        <v>600</v>
      </c>
      <c r="J895">
        <v>80</v>
      </c>
      <c r="K895">
        <v>750</v>
      </c>
      <c r="L895">
        <v>0.92</v>
      </c>
    </row>
    <row r="896" spans="1:12" x14ac:dyDescent="0.25">
      <c r="A896" t="s">
        <v>186</v>
      </c>
      <c r="B896" t="s">
        <v>825</v>
      </c>
      <c r="C896" t="s">
        <v>826</v>
      </c>
      <c r="D896" t="s">
        <v>241</v>
      </c>
      <c r="E896" t="s">
        <v>16</v>
      </c>
      <c r="F896">
        <v>2</v>
      </c>
      <c r="G896">
        <v>3300</v>
      </c>
      <c r="H896">
        <v>68.900000000000006</v>
      </c>
      <c r="I896">
        <v>850</v>
      </c>
      <c r="J896">
        <v>120</v>
      </c>
      <c r="K896">
        <v>700</v>
      </c>
      <c r="L896">
        <v>0.92</v>
      </c>
    </row>
    <row r="897" spans="1:12" x14ac:dyDescent="0.25">
      <c r="A897" t="s">
        <v>44</v>
      </c>
      <c r="B897" t="s">
        <v>428</v>
      </c>
      <c r="C897" t="s">
        <v>655</v>
      </c>
      <c r="D897" t="s">
        <v>15</v>
      </c>
      <c r="E897" t="s">
        <v>75</v>
      </c>
      <c r="F897">
        <v>3</v>
      </c>
      <c r="G897">
        <v>4200</v>
      </c>
      <c r="H897">
        <v>69.8</v>
      </c>
      <c r="I897">
        <v>950</v>
      </c>
      <c r="J897">
        <v>99</v>
      </c>
      <c r="K897">
        <v>850</v>
      </c>
      <c r="L897">
        <v>0.92</v>
      </c>
    </row>
    <row r="898" spans="1:12" x14ac:dyDescent="0.25">
      <c r="A898" t="s">
        <v>167</v>
      </c>
      <c r="B898" t="s">
        <v>1344</v>
      </c>
      <c r="C898" t="s">
        <v>1345</v>
      </c>
      <c r="D898" t="s">
        <v>71</v>
      </c>
      <c r="E898" t="s">
        <v>16</v>
      </c>
      <c r="F898">
        <v>2</v>
      </c>
      <c r="G898">
        <v>7100</v>
      </c>
      <c r="H898">
        <v>51.8</v>
      </c>
      <c r="I898">
        <v>430</v>
      </c>
      <c r="J898">
        <v>120</v>
      </c>
      <c r="K898">
        <v>400</v>
      </c>
      <c r="L898">
        <v>4.6500000000000004</v>
      </c>
    </row>
    <row r="899" spans="1:12" x14ac:dyDescent="0.25">
      <c r="A899" t="s">
        <v>375</v>
      </c>
      <c r="B899" t="s">
        <v>1346</v>
      </c>
      <c r="C899" t="s">
        <v>1347</v>
      </c>
      <c r="D899" t="s">
        <v>222</v>
      </c>
      <c r="E899" t="s">
        <v>1369</v>
      </c>
      <c r="F899">
        <v>4</v>
      </c>
      <c r="G899">
        <v>4300</v>
      </c>
      <c r="H899">
        <v>65.8</v>
      </c>
      <c r="I899">
        <v>650</v>
      </c>
      <c r="J899">
        <v>200</v>
      </c>
      <c r="K899">
        <v>800</v>
      </c>
      <c r="L899">
        <v>3.75</v>
      </c>
    </row>
    <row r="900" spans="1:12" x14ac:dyDescent="0.25">
      <c r="A900" t="s">
        <v>12</v>
      </c>
      <c r="B900" t="s">
        <v>638</v>
      </c>
      <c r="C900" t="s">
        <v>121</v>
      </c>
      <c r="D900" t="s">
        <v>20</v>
      </c>
      <c r="E900" t="s">
        <v>16</v>
      </c>
      <c r="F900">
        <v>2</v>
      </c>
      <c r="G900">
        <v>55000</v>
      </c>
      <c r="H900">
        <v>95.2</v>
      </c>
      <c r="I900">
        <v>2400</v>
      </c>
      <c r="J900">
        <v>160</v>
      </c>
      <c r="K900">
        <v>1500</v>
      </c>
      <c r="L900">
        <v>1</v>
      </c>
    </row>
    <row r="901" spans="1:12" x14ac:dyDescent="0.25">
      <c r="A901" t="s">
        <v>17</v>
      </c>
      <c r="B901" t="s">
        <v>290</v>
      </c>
      <c r="C901" t="s">
        <v>291</v>
      </c>
      <c r="D901" t="s">
        <v>63</v>
      </c>
      <c r="E901" t="s">
        <v>16</v>
      </c>
      <c r="F901">
        <v>2</v>
      </c>
      <c r="G901">
        <v>35000</v>
      </c>
      <c r="H901">
        <v>63.2</v>
      </c>
      <c r="I901">
        <v>900</v>
      </c>
      <c r="J901">
        <v>485</v>
      </c>
      <c r="K901">
        <v>800</v>
      </c>
      <c r="L901">
        <v>0.79</v>
      </c>
    </row>
    <row r="902" spans="1:12" x14ac:dyDescent="0.25">
      <c r="A902" t="s">
        <v>183</v>
      </c>
      <c r="B902" t="s">
        <v>823</v>
      </c>
      <c r="C902" t="s">
        <v>824</v>
      </c>
      <c r="D902" t="s">
        <v>40</v>
      </c>
      <c r="E902" t="s">
        <v>1369</v>
      </c>
      <c r="F902">
        <v>4</v>
      </c>
      <c r="G902">
        <v>2900</v>
      </c>
      <c r="H902">
        <v>63.2</v>
      </c>
      <c r="I902">
        <v>650</v>
      </c>
      <c r="J902">
        <v>80</v>
      </c>
      <c r="K902">
        <v>750</v>
      </c>
      <c r="L902">
        <v>0.92</v>
      </c>
    </row>
    <row r="903" spans="1:12" x14ac:dyDescent="0.25">
      <c r="A903" t="s">
        <v>186</v>
      </c>
      <c r="B903" t="s">
        <v>835</v>
      </c>
      <c r="C903" t="s">
        <v>836</v>
      </c>
      <c r="D903" t="s">
        <v>207</v>
      </c>
      <c r="E903" t="s">
        <v>16</v>
      </c>
      <c r="F903">
        <v>2</v>
      </c>
      <c r="G903">
        <v>3400</v>
      </c>
      <c r="H903">
        <v>69.5</v>
      </c>
      <c r="I903">
        <v>900</v>
      </c>
      <c r="J903">
        <v>120</v>
      </c>
      <c r="K903">
        <v>700</v>
      </c>
      <c r="L903">
        <v>0.92</v>
      </c>
    </row>
    <row r="904" spans="1:12" x14ac:dyDescent="0.25">
      <c r="A904" t="s">
        <v>44</v>
      </c>
      <c r="B904" t="s">
        <v>432</v>
      </c>
      <c r="C904" t="s">
        <v>433</v>
      </c>
      <c r="D904" t="s">
        <v>71</v>
      </c>
      <c r="E904" t="s">
        <v>16</v>
      </c>
      <c r="F904">
        <v>2</v>
      </c>
      <c r="G904">
        <v>4000</v>
      </c>
      <c r="H904">
        <v>70.2</v>
      </c>
      <c r="I904">
        <v>1000</v>
      </c>
      <c r="J904">
        <v>99</v>
      </c>
      <c r="K904">
        <v>850</v>
      </c>
      <c r="L904">
        <v>0.92</v>
      </c>
    </row>
    <row r="905" spans="1:12" x14ac:dyDescent="0.25">
      <c r="A905" t="s">
        <v>167</v>
      </c>
      <c r="B905" t="s">
        <v>1348</v>
      </c>
      <c r="C905" t="s">
        <v>1349</v>
      </c>
      <c r="D905" t="s">
        <v>15</v>
      </c>
      <c r="E905" t="s">
        <v>75</v>
      </c>
      <c r="F905">
        <v>3</v>
      </c>
      <c r="G905">
        <v>6800</v>
      </c>
      <c r="H905">
        <v>50.5</v>
      </c>
      <c r="I905">
        <v>400</v>
      </c>
      <c r="J905">
        <v>120</v>
      </c>
      <c r="K905">
        <v>400</v>
      </c>
      <c r="L905">
        <v>4.6500000000000004</v>
      </c>
    </row>
    <row r="906" spans="1:12" x14ac:dyDescent="0.25">
      <c r="A906" t="s">
        <v>375</v>
      </c>
      <c r="B906" t="s">
        <v>1350</v>
      </c>
      <c r="C906" t="s">
        <v>1351</v>
      </c>
      <c r="D906" t="s">
        <v>215</v>
      </c>
      <c r="E906" t="s">
        <v>16</v>
      </c>
      <c r="F906">
        <v>2</v>
      </c>
      <c r="G906">
        <v>4200</v>
      </c>
      <c r="H906">
        <v>64.2</v>
      </c>
      <c r="I906">
        <v>600</v>
      </c>
      <c r="J906">
        <v>200</v>
      </c>
      <c r="K906">
        <v>800</v>
      </c>
      <c r="L906">
        <v>3.75</v>
      </c>
    </row>
    <row r="907" spans="1:12" x14ac:dyDescent="0.25">
      <c r="A907" t="s">
        <v>12</v>
      </c>
      <c r="B907" t="s">
        <v>149</v>
      </c>
      <c r="C907" t="s">
        <v>150</v>
      </c>
      <c r="D907" t="s">
        <v>241</v>
      </c>
      <c r="E907" t="s">
        <v>1369</v>
      </c>
      <c r="F907">
        <v>5</v>
      </c>
      <c r="G907">
        <v>50000</v>
      </c>
      <c r="H907">
        <v>77.8</v>
      </c>
      <c r="I907">
        <v>2000</v>
      </c>
      <c r="J907">
        <v>160</v>
      </c>
      <c r="K907">
        <v>1500</v>
      </c>
      <c r="L907">
        <v>1</v>
      </c>
    </row>
    <row r="908" spans="1:12" x14ac:dyDescent="0.25">
      <c r="A908" t="s">
        <v>17</v>
      </c>
      <c r="B908" t="s">
        <v>301</v>
      </c>
      <c r="C908" t="s">
        <v>302</v>
      </c>
      <c r="D908" t="s">
        <v>251</v>
      </c>
      <c r="E908" t="s">
        <v>16</v>
      </c>
      <c r="F908">
        <v>2</v>
      </c>
      <c r="G908">
        <v>34000</v>
      </c>
      <c r="H908">
        <v>61.2</v>
      </c>
      <c r="I908">
        <v>800</v>
      </c>
      <c r="J908">
        <v>485</v>
      </c>
      <c r="K908">
        <v>800</v>
      </c>
      <c r="L908">
        <v>0.79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C8681-E196-4CAE-A397-312A7D8D4178}">
  <dimension ref="A1:Q908"/>
  <sheetViews>
    <sheetView zoomScale="85" zoomScaleNormal="85" workbookViewId="0">
      <selection activeCell="I1" sqref="I1:I1048576"/>
    </sheetView>
  </sheetViews>
  <sheetFormatPr defaultRowHeight="15" x14ac:dyDescent="0.25"/>
  <cols>
    <col min="1" max="1" width="15" customWidth="1"/>
    <col min="2" max="2" width="14.85546875" customWidth="1"/>
    <col min="3" max="3" width="17.5703125" customWidth="1"/>
    <col min="4" max="4" width="15" customWidth="1"/>
    <col min="6" max="6" width="7.85546875" customWidth="1"/>
    <col min="7" max="7" width="12" customWidth="1"/>
    <col min="8" max="8" width="14.140625" style="13" customWidth="1"/>
    <col min="9" max="9" width="12.42578125" customWidth="1"/>
    <col min="10" max="10" width="12.140625" style="13" customWidth="1"/>
    <col min="11" max="11" width="10.140625" style="13" customWidth="1"/>
    <col min="12" max="12" width="13.5703125" style="13" customWidth="1"/>
    <col min="13" max="13" width="11.5703125" style="19" customWidth="1"/>
    <col min="14" max="14" width="16.7109375" customWidth="1"/>
    <col min="15" max="15" width="13.140625" style="13" customWidth="1"/>
    <col min="16" max="16" width="11.28515625" style="13" customWidth="1"/>
  </cols>
  <sheetData>
    <row r="1" spans="1:17" ht="24.75" customHeight="1" x14ac:dyDescent="0.25">
      <c r="A1" s="4" t="s">
        <v>0</v>
      </c>
      <c r="B1" s="5" t="s">
        <v>1</v>
      </c>
      <c r="C1" s="5" t="s">
        <v>2</v>
      </c>
      <c r="D1" s="5" t="s">
        <v>3</v>
      </c>
      <c r="E1" s="5" t="s">
        <v>4</v>
      </c>
      <c r="F1" s="5" t="s">
        <v>5</v>
      </c>
      <c r="G1" s="5" t="s">
        <v>1364</v>
      </c>
      <c r="H1" s="10" t="s">
        <v>6</v>
      </c>
      <c r="I1" s="5" t="s">
        <v>7</v>
      </c>
      <c r="J1" s="10" t="s">
        <v>8</v>
      </c>
      <c r="K1" s="10" t="s">
        <v>9</v>
      </c>
      <c r="L1" s="10" t="s">
        <v>10</v>
      </c>
      <c r="M1" s="21" t="s">
        <v>11</v>
      </c>
      <c r="N1" s="6" t="s">
        <v>1363</v>
      </c>
      <c r="O1" s="10" t="s">
        <v>1354</v>
      </c>
      <c r="P1" s="10" t="s">
        <v>1355</v>
      </c>
      <c r="Q1" s="5" t="s">
        <v>1356</v>
      </c>
    </row>
    <row r="2" spans="1:17" x14ac:dyDescent="0.25">
      <c r="A2" s="2" t="s">
        <v>12</v>
      </c>
      <c r="B2" s="1" t="s">
        <v>13</v>
      </c>
      <c r="C2" s="1" t="s">
        <v>14</v>
      </c>
      <c r="D2" s="1" t="s">
        <v>15</v>
      </c>
      <c r="E2" s="1" t="s">
        <v>1353</v>
      </c>
      <c r="F2" s="1">
        <v>2</v>
      </c>
      <c r="G2" s="1" t="str">
        <f>CONCATENATE(Table1[[#This Row],[Duration_Years]]," ","years")</f>
        <v>2 years</v>
      </c>
      <c r="H2" s="11">
        <v>55400</v>
      </c>
      <c r="I2" s="1">
        <v>83.5</v>
      </c>
      <c r="J2" s="11">
        <v>2200</v>
      </c>
      <c r="K2" s="11">
        <v>160</v>
      </c>
      <c r="L2" s="11">
        <v>1500</v>
      </c>
      <c r="M2" s="22">
        <v>1</v>
      </c>
      <c r="N2" s="17" t="str">
        <f>IF(Table1[[#This Row],[Exchange_Rate]]&lt;5,"Strong Currency", IF(Table1[[#This Row],[Exchange_Rate]]&lt;=1000, "Medium Currency","Weak Currency"))</f>
        <v>Strong Currency</v>
      </c>
      <c r="O2" s="14">
        <f>(Table1[[#This Row],[Living_Cost_Index]]/123.3)*1850</f>
        <v>1252.8386050283859</v>
      </c>
      <c r="P2" s="14">
        <f>Table1[[#This Row],[Monthly_Estimated_Living_cost]]*12</f>
        <v>15034.06326034063</v>
      </c>
      <c r="Q2" s="13">
        <f>Table1[[#This Row],[Tuition_USD]]+Table1[[#This Row],[Rent_USD]]+Table1[[#This Row],[Insurance_USD]]+Table1[[#This Row],[Visa_Fee_USD]]+Table1[[#This Row],[Annual_Estimated_Living_cost]]</f>
        <v>74294.063260340627</v>
      </c>
    </row>
    <row r="3" spans="1:17" x14ac:dyDescent="0.25">
      <c r="A3" s="2" t="s">
        <v>17</v>
      </c>
      <c r="B3" s="1" t="s">
        <v>18</v>
      </c>
      <c r="C3" s="1" t="s">
        <v>19</v>
      </c>
      <c r="D3" s="1" t="s">
        <v>20</v>
      </c>
      <c r="E3" s="1" t="s">
        <v>75</v>
      </c>
      <c r="F3" s="1">
        <v>1</v>
      </c>
      <c r="G3" s="1" t="str">
        <f>CONCATENATE(Table1[[#This Row],[Duration_Years]]," ","years")</f>
        <v>1 years</v>
      </c>
      <c r="H3" s="11">
        <v>41200</v>
      </c>
      <c r="I3" s="1">
        <v>70</v>
      </c>
      <c r="J3" s="11">
        <v>1800</v>
      </c>
      <c r="K3" s="11">
        <v>485</v>
      </c>
      <c r="L3" s="11">
        <v>800</v>
      </c>
      <c r="M3" s="22">
        <v>1.1000000000000001</v>
      </c>
      <c r="N3" s="3" t="str">
        <f>IF(Table1[[#This Row],[Exchange_Rate]]&lt;5,"Strong Currency", IF(Table1[[#This Row],[Exchange_Rate]]&lt;=1000, "Medium Currency","Weak Currency"))</f>
        <v>Strong Currency</v>
      </c>
      <c r="O3" s="11">
        <f>(Table1[[#This Row],[Living_Cost_Index]]/123.3)*1850</f>
        <v>1050.2838605028387</v>
      </c>
      <c r="P3" s="11">
        <f>Table1[[#This Row],[Monthly_Estimated_Living_cost]]*12</f>
        <v>12603.406326034064</v>
      </c>
      <c r="Q3" s="13">
        <f>Table1[[#This Row],[Tuition_USD]]+Table1[[#This Row],[Rent_USD]]+Table1[[#This Row],[Insurance_USD]]+Table1[[#This Row],[Visa_Fee_USD]]+Table1[[#This Row],[Annual_Estimated_Living_cost]]</f>
        <v>56888.406326034063</v>
      </c>
    </row>
    <row r="4" spans="1:17" x14ac:dyDescent="0.25">
      <c r="A4" s="2" t="s">
        <v>21</v>
      </c>
      <c r="B4" s="1" t="s">
        <v>22</v>
      </c>
      <c r="C4" s="1" t="s">
        <v>23</v>
      </c>
      <c r="D4" s="1" t="s">
        <v>24</v>
      </c>
      <c r="E4" s="1" t="s">
        <v>1353</v>
      </c>
      <c r="F4" s="1">
        <v>2</v>
      </c>
      <c r="G4" s="1" t="str">
        <f>CONCATENATE(Table1[[#This Row],[Duration_Years]]," ","years")</f>
        <v>2 years</v>
      </c>
      <c r="H4" s="11">
        <v>38500</v>
      </c>
      <c r="I4" s="1">
        <v>72.5</v>
      </c>
      <c r="J4" s="11">
        <v>1600</v>
      </c>
      <c r="K4" s="11">
        <v>235</v>
      </c>
      <c r="L4" s="11">
        <v>900</v>
      </c>
      <c r="M4" s="22">
        <v>1.35</v>
      </c>
      <c r="N4" s="3" t="str">
        <f>IF(Table1[[#This Row],[Exchange_Rate]]&lt;5,"Strong Currency", IF(Table1[[#This Row],[Exchange_Rate]]&lt;=1000, "Medium Currency","Weak Currency"))</f>
        <v>Strong Currency</v>
      </c>
      <c r="O4" s="11">
        <f>(Table1[[#This Row],[Living_Cost_Index]]/123.3)*1850</f>
        <v>1087.7939983779399</v>
      </c>
      <c r="P4" s="11">
        <f>Table1[[#This Row],[Monthly_Estimated_Living_cost]]*12</f>
        <v>13053.52798053528</v>
      </c>
      <c r="Q4" s="13">
        <f>Table1[[#This Row],[Tuition_USD]]+Table1[[#This Row],[Rent_USD]]+Table1[[#This Row],[Insurance_USD]]+Table1[[#This Row],[Visa_Fee_USD]]+Table1[[#This Row],[Annual_Estimated_Living_cost]]</f>
        <v>54288.527980535277</v>
      </c>
    </row>
    <row r="5" spans="1:17" x14ac:dyDescent="0.25">
      <c r="A5" s="2" t="s">
        <v>25</v>
      </c>
      <c r="B5" s="1" t="s">
        <v>26</v>
      </c>
      <c r="C5" s="1" t="s">
        <v>27</v>
      </c>
      <c r="D5" s="1" t="s">
        <v>28</v>
      </c>
      <c r="E5" s="1" t="s">
        <v>16</v>
      </c>
      <c r="F5" s="1">
        <v>2</v>
      </c>
      <c r="G5" s="1" t="str">
        <f>CONCATENATE(Table1[[#This Row],[Duration_Years]]," ","years")</f>
        <v>2 years</v>
      </c>
      <c r="H5" s="11">
        <v>42000</v>
      </c>
      <c r="I5" s="1">
        <v>71.2</v>
      </c>
      <c r="J5" s="11">
        <v>1400</v>
      </c>
      <c r="K5" s="11">
        <v>450</v>
      </c>
      <c r="L5" s="11">
        <v>69</v>
      </c>
      <c r="M5" s="22">
        <v>1.52</v>
      </c>
      <c r="N5" s="3" t="str">
        <f>IF(Table1[[#This Row],[Exchange_Rate]]&lt;5,"Strong Currency", IF(Table1[[#This Row],[Exchange_Rate]]&lt;=1000, "Medium Currency","Weak Currency"))</f>
        <v>Strong Currency</v>
      </c>
      <c r="O5" s="11">
        <f>(Table1[[#This Row],[Living_Cost_Index]]/123.3)*1850</f>
        <v>1068.2887266828873</v>
      </c>
      <c r="P5" s="11">
        <f>Table1[[#This Row],[Monthly_Estimated_Living_cost]]*12</f>
        <v>12819.464720194646</v>
      </c>
      <c r="Q5" s="13">
        <f>Table1[[#This Row],[Tuition_USD]]+Table1[[#This Row],[Rent_USD]]+Table1[[#This Row],[Insurance_USD]]+Table1[[#This Row],[Visa_Fee_USD]]+Table1[[#This Row],[Annual_Estimated_Living_cost]]</f>
        <v>56738.46472019465</v>
      </c>
    </row>
    <row r="6" spans="1:17" x14ac:dyDescent="0.25">
      <c r="A6" s="2" t="s">
        <v>29</v>
      </c>
      <c r="B6" s="1" t="s">
        <v>30</v>
      </c>
      <c r="C6" s="1" t="s">
        <v>31</v>
      </c>
      <c r="D6" s="1" t="s">
        <v>32</v>
      </c>
      <c r="E6" s="1" t="s">
        <v>16</v>
      </c>
      <c r="F6" s="1">
        <v>2</v>
      </c>
      <c r="G6" s="1" t="str">
        <f>CONCATENATE(Table1[[#This Row],[Duration_Years]]," ","years")</f>
        <v>2 years</v>
      </c>
      <c r="H6" s="11">
        <v>500</v>
      </c>
      <c r="I6" s="1">
        <v>70.5</v>
      </c>
      <c r="J6" s="11">
        <v>1100</v>
      </c>
      <c r="K6" s="11">
        <v>100</v>
      </c>
      <c r="L6" s="11">
        <v>550</v>
      </c>
      <c r="M6" s="22">
        <v>1.01</v>
      </c>
      <c r="N6" s="3" t="str">
        <f>IF(Table1[[#This Row],[Exchange_Rate]]&lt;5,"Strong Currency", IF(Table1[[#This Row],[Exchange_Rate]]&lt;=1000, "Medium Currency","Weak Currency"))</f>
        <v>Strong Currency</v>
      </c>
      <c r="O6" s="11">
        <f>(Table1[[#This Row],[Living_Cost_Index]]/123.3)*1850</f>
        <v>1057.7858880778588</v>
      </c>
      <c r="P6" s="11">
        <f>Table1[[#This Row],[Monthly_Estimated_Living_cost]]*12</f>
        <v>12693.430656934306</v>
      </c>
      <c r="Q6" s="13">
        <f>Table1[[#This Row],[Tuition_USD]]+Table1[[#This Row],[Rent_USD]]+Table1[[#This Row],[Insurance_USD]]+Table1[[#This Row],[Visa_Fee_USD]]+Table1[[#This Row],[Annual_Estimated_Living_cost]]</f>
        <v>14943.430656934306</v>
      </c>
    </row>
    <row r="7" spans="1:17" x14ac:dyDescent="0.25">
      <c r="A7" s="2" t="s">
        <v>33</v>
      </c>
      <c r="B7" s="1" t="s">
        <v>34</v>
      </c>
      <c r="C7" s="1" t="s">
        <v>35</v>
      </c>
      <c r="D7" s="1" t="s">
        <v>36</v>
      </c>
      <c r="E7" s="1" t="s">
        <v>16</v>
      </c>
      <c r="F7" s="1">
        <v>2</v>
      </c>
      <c r="G7" s="1" t="str">
        <f>CONCATENATE(Table1[[#This Row],[Duration_Years]]," ","years")</f>
        <v>2 years</v>
      </c>
      <c r="H7" s="11">
        <v>8900</v>
      </c>
      <c r="I7" s="1">
        <v>76.400000000000006</v>
      </c>
      <c r="J7" s="11">
        <v>1300</v>
      </c>
      <c r="K7" s="11">
        <v>220</v>
      </c>
      <c r="L7" s="11">
        <v>750</v>
      </c>
      <c r="M7" s="22">
        <v>145.80000000000001</v>
      </c>
      <c r="N7" s="3" t="str">
        <f>IF(Table1[[#This Row],[Exchange_Rate]]&lt;5,"Strong Currency", IF(Table1[[#This Row],[Exchange_Rate]]&lt;=1000, "Medium Currency","Weak Currency"))</f>
        <v>Medium Currency</v>
      </c>
      <c r="O7" s="11">
        <f>(Table1[[#This Row],[Living_Cost_Index]]/123.3)*1850</f>
        <v>1146.3098134630984</v>
      </c>
      <c r="P7" s="11">
        <f>Table1[[#This Row],[Monthly_Estimated_Living_cost]]*12</f>
        <v>13755.717761557182</v>
      </c>
      <c r="Q7" s="13">
        <f>Table1[[#This Row],[Tuition_USD]]+Table1[[#This Row],[Rent_USD]]+Table1[[#This Row],[Insurance_USD]]+Table1[[#This Row],[Visa_Fee_USD]]+Table1[[#This Row],[Annual_Estimated_Living_cost]]</f>
        <v>24925.717761557182</v>
      </c>
    </row>
    <row r="8" spans="1:17" x14ac:dyDescent="0.25">
      <c r="A8" s="2" t="s">
        <v>37</v>
      </c>
      <c r="B8" s="1" t="s">
        <v>38</v>
      </c>
      <c r="C8" s="1" t="s">
        <v>39</v>
      </c>
      <c r="D8" s="1" t="s">
        <v>40</v>
      </c>
      <c r="E8" s="1" t="s">
        <v>16</v>
      </c>
      <c r="F8" s="1">
        <v>1</v>
      </c>
      <c r="G8" s="1" t="str">
        <f>CONCATENATE(Table1[[#This Row],[Duration_Years]]," ","years")</f>
        <v>1 years</v>
      </c>
      <c r="H8" s="11">
        <v>15800</v>
      </c>
      <c r="I8" s="1">
        <v>73.2</v>
      </c>
      <c r="J8" s="11">
        <v>1500</v>
      </c>
      <c r="K8" s="11">
        <v>180</v>
      </c>
      <c r="L8" s="11">
        <v>101</v>
      </c>
      <c r="M8" s="22">
        <v>0.92</v>
      </c>
      <c r="N8" s="3" t="str">
        <f>IF(Table1[[#This Row],[Exchange_Rate]]&lt;5,"Strong Currency", IF(Table1[[#This Row],[Exchange_Rate]]&lt;=1000, "Medium Currency","Weak Currency"))</f>
        <v>Strong Currency</v>
      </c>
      <c r="O8" s="11">
        <f>(Table1[[#This Row],[Living_Cost_Index]]/123.3)*1850</f>
        <v>1098.2968369829684</v>
      </c>
      <c r="P8" s="11">
        <f>Table1[[#This Row],[Monthly_Estimated_Living_cost]]*12</f>
        <v>13179.56204379562</v>
      </c>
      <c r="Q8" s="13">
        <f>Table1[[#This Row],[Tuition_USD]]+Table1[[#This Row],[Rent_USD]]+Table1[[#This Row],[Insurance_USD]]+Table1[[#This Row],[Visa_Fee_USD]]+Table1[[#This Row],[Annual_Estimated_Living_cost]]</f>
        <v>30760.56204379562</v>
      </c>
    </row>
    <row r="9" spans="1:17" x14ac:dyDescent="0.25">
      <c r="A9" s="2" t="s">
        <v>41</v>
      </c>
      <c r="B9" s="1" t="s">
        <v>41</v>
      </c>
      <c r="C9" s="1" t="s">
        <v>42</v>
      </c>
      <c r="D9" s="1" t="s">
        <v>43</v>
      </c>
      <c r="E9" s="1" t="s">
        <v>16</v>
      </c>
      <c r="F9" s="1">
        <v>1.5</v>
      </c>
      <c r="G9" s="1" t="str">
        <f>CONCATENATE(Table1[[#This Row],[Duration_Years]]," ","years")</f>
        <v>1.5 years</v>
      </c>
      <c r="H9" s="11">
        <v>35000</v>
      </c>
      <c r="I9" s="1">
        <v>81.099999999999994</v>
      </c>
      <c r="J9" s="11">
        <v>1900</v>
      </c>
      <c r="K9" s="11">
        <v>90</v>
      </c>
      <c r="L9" s="11">
        <v>800</v>
      </c>
      <c r="M9" s="22">
        <v>1.34</v>
      </c>
      <c r="N9" s="3" t="str">
        <f>IF(Table1[[#This Row],[Exchange_Rate]]&lt;5,"Strong Currency", IF(Table1[[#This Row],[Exchange_Rate]]&lt;=1000, "Medium Currency","Weak Currency"))</f>
        <v>Strong Currency</v>
      </c>
      <c r="O9" s="11">
        <f>(Table1[[#This Row],[Living_Cost_Index]]/123.3)*1850</f>
        <v>1216.8288726682888</v>
      </c>
      <c r="P9" s="11">
        <f>Table1[[#This Row],[Monthly_Estimated_Living_cost]]*12</f>
        <v>14601.946472019466</v>
      </c>
      <c r="Q9" s="13">
        <f>Table1[[#This Row],[Tuition_USD]]+Table1[[#This Row],[Rent_USD]]+Table1[[#This Row],[Insurance_USD]]+Table1[[#This Row],[Visa_Fee_USD]]+Table1[[#This Row],[Annual_Estimated_Living_cost]]</f>
        <v>52391.946472019466</v>
      </c>
    </row>
    <row r="10" spans="1:17" x14ac:dyDescent="0.25">
      <c r="A10" s="2" t="s">
        <v>44</v>
      </c>
      <c r="B10" s="1" t="s">
        <v>1352</v>
      </c>
      <c r="C10" s="1" t="s">
        <v>46</v>
      </c>
      <c r="D10" s="1" t="s">
        <v>47</v>
      </c>
      <c r="E10" s="1" t="s">
        <v>16</v>
      </c>
      <c r="F10" s="1">
        <v>2</v>
      </c>
      <c r="G10" s="1" t="str">
        <f>CONCATENATE(Table1[[#This Row],[Duration_Years]]," ","years")</f>
        <v>2 years</v>
      </c>
      <c r="H10" s="11">
        <v>4500</v>
      </c>
      <c r="I10" s="1">
        <v>74.599999999999994</v>
      </c>
      <c r="J10" s="11">
        <v>1400</v>
      </c>
      <c r="K10" s="11">
        <v>99</v>
      </c>
      <c r="L10" s="11">
        <v>650</v>
      </c>
      <c r="M10" s="22">
        <v>0.92</v>
      </c>
      <c r="N10" s="3" t="str">
        <f>IF(Table1[[#This Row],[Exchange_Rate]]&lt;5,"Strong Currency", IF(Table1[[#This Row],[Exchange_Rate]]&lt;=1000, "Medium Currency","Weak Currency"))</f>
        <v>Strong Currency</v>
      </c>
      <c r="O10" s="11">
        <f>(Table1[[#This Row],[Living_Cost_Index]]/123.3)*1850</f>
        <v>1119.3025141930252</v>
      </c>
      <c r="P10" s="11">
        <f>Table1[[#This Row],[Monthly_Estimated_Living_cost]]*12</f>
        <v>13431.630170316303</v>
      </c>
      <c r="Q10" s="13">
        <f>Table1[[#This Row],[Tuition_USD]]+Table1[[#This Row],[Rent_USD]]+Table1[[#This Row],[Insurance_USD]]+Table1[[#This Row],[Visa_Fee_USD]]+Table1[[#This Row],[Annual_Estimated_Living_cost]]</f>
        <v>20080.630170316304</v>
      </c>
    </row>
    <row r="11" spans="1:17" x14ac:dyDescent="0.25">
      <c r="A11" s="2" t="s">
        <v>48</v>
      </c>
      <c r="B11" s="1" t="s">
        <v>49</v>
      </c>
      <c r="C11" s="1" t="s">
        <v>50</v>
      </c>
      <c r="D11" s="1" t="s">
        <v>51</v>
      </c>
      <c r="E11" s="1" t="s">
        <v>16</v>
      </c>
      <c r="F11" s="1">
        <v>2</v>
      </c>
      <c r="G11" s="1" t="str">
        <f>CONCATENATE(Table1[[#This Row],[Duration_Years]]," ","years")</f>
        <v>2 years</v>
      </c>
      <c r="H11" s="11">
        <v>1460</v>
      </c>
      <c r="I11" s="1">
        <v>91.5</v>
      </c>
      <c r="J11" s="11">
        <v>2100</v>
      </c>
      <c r="K11" s="11">
        <v>88</v>
      </c>
      <c r="L11" s="11">
        <v>1200</v>
      </c>
      <c r="M11" s="22">
        <v>0.89</v>
      </c>
      <c r="N11" s="3" t="str">
        <f>IF(Table1[[#This Row],[Exchange_Rate]]&lt;5,"Strong Currency", IF(Table1[[#This Row],[Exchange_Rate]]&lt;=1000, "Medium Currency","Weak Currency"))</f>
        <v>Strong Currency</v>
      </c>
      <c r="O11" s="11">
        <f>(Table1[[#This Row],[Living_Cost_Index]]/123.3)*1850</f>
        <v>1372.8710462287104</v>
      </c>
      <c r="P11" s="11">
        <f>Table1[[#This Row],[Monthly_Estimated_Living_cost]]*12</f>
        <v>16474.452554744523</v>
      </c>
      <c r="Q11" s="13">
        <f>Table1[[#This Row],[Tuition_USD]]+Table1[[#This Row],[Rent_USD]]+Table1[[#This Row],[Insurance_USD]]+Table1[[#This Row],[Visa_Fee_USD]]+Table1[[#This Row],[Annual_Estimated_Living_cost]]</f>
        <v>21322.452554744523</v>
      </c>
    </row>
    <row r="12" spans="1:17" x14ac:dyDescent="0.25">
      <c r="A12" s="2" t="s">
        <v>52</v>
      </c>
      <c r="B12" s="1" t="s">
        <v>53</v>
      </c>
      <c r="C12" s="1" t="s">
        <v>54</v>
      </c>
      <c r="D12" s="1" t="s">
        <v>55</v>
      </c>
      <c r="E12" s="1" t="s">
        <v>16</v>
      </c>
      <c r="F12" s="1">
        <v>2</v>
      </c>
      <c r="G12" s="1" t="str">
        <f>CONCATENATE(Table1[[#This Row],[Duration_Years]]," ","years")</f>
        <v>2 years</v>
      </c>
      <c r="H12" s="11">
        <v>100</v>
      </c>
      <c r="I12" s="1">
        <v>71.8</v>
      </c>
      <c r="J12" s="11">
        <v>1200</v>
      </c>
      <c r="K12" s="11">
        <v>110</v>
      </c>
      <c r="L12" s="11">
        <v>400</v>
      </c>
      <c r="M12" s="22">
        <v>10.45</v>
      </c>
      <c r="N12" s="3" t="str">
        <f>IF(Table1[[#This Row],[Exchange_Rate]]&lt;5,"Strong Currency", IF(Table1[[#This Row],[Exchange_Rate]]&lt;=1000, "Medium Currency","Weak Currency"))</f>
        <v>Medium Currency</v>
      </c>
      <c r="O12" s="11">
        <f>(Table1[[#This Row],[Living_Cost_Index]]/123.3)*1850</f>
        <v>1077.2911597729117</v>
      </c>
      <c r="P12" s="11">
        <f>Table1[[#This Row],[Monthly_Estimated_Living_cost]]*12</f>
        <v>12927.49391727494</v>
      </c>
      <c r="Q12" s="13">
        <f>Table1[[#This Row],[Tuition_USD]]+Table1[[#This Row],[Rent_USD]]+Table1[[#This Row],[Insurance_USD]]+Table1[[#This Row],[Visa_Fee_USD]]+Table1[[#This Row],[Annual_Estimated_Living_cost]]</f>
        <v>14737.49391727494</v>
      </c>
    </row>
    <row r="13" spans="1:17" x14ac:dyDescent="0.25">
      <c r="A13" s="2" t="s">
        <v>56</v>
      </c>
      <c r="B13" s="1" t="s">
        <v>57</v>
      </c>
      <c r="C13" s="1" t="s">
        <v>58</v>
      </c>
      <c r="D13" s="1" t="s">
        <v>59</v>
      </c>
      <c r="E13" s="1" t="s">
        <v>16</v>
      </c>
      <c r="F13" s="1">
        <v>2</v>
      </c>
      <c r="G13" s="1" t="str">
        <f>CONCATENATE(Table1[[#This Row],[Duration_Years]]," ","years")</f>
        <v>2 years</v>
      </c>
      <c r="H13" s="11">
        <v>0</v>
      </c>
      <c r="I13" s="1">
        <v>73.400000000000006</v>
      </c>
      <c r="J13" s="11">
        <v>1300</v>
      </c>
      <c r="K13" s="11">
        <v>120</v>
      </c>
      <c r="L13" s="11">
        <v>450</v>
      </c>
      <c r="M13" s="22">
        <v>6.92</v>
      </c>
      <c r="N13" s="3" t="str">
        <f>IF(Table1[[#This Row],[Exchange_Rate]]&lt;5,"Strong Currency", IF(Table1[[#This Row],[Exchange_Rate]]&lt;=1000, "Medium Currency","Weak Currency"))</f>
        <v>Medium Currency</v>
      </c>
      <c r="O13" s="11">
        <f>(Table1[[#This Row],[Living_Cost_Index]]/123.3)*1850</f>
        <v>1101.2976480129764</v>
      </c>
      <c r="P13" s="11">
        <f>Table1[[#This Row],[Monthly_Estimated_Living_cost]]*12</f>
        <v>13215.571776155717</v>
      </c>
      <c r="Q13" s="13">
        <f>Table1[[#This Row],[Tuition_USD]]+Table1[[#This Row],[Rent_USD]]+Table1[[#This Row],[Insurance_USD]]+Table1[[#This Row],[Visa_Fee_USD]]+Table1[[#This Row],[Annual_Estimated_Living_cost]]</f>
        <v>15085.571776155717</v>
      </c>
    </row>
    <row r="14" spans="1:17" x14ac:dyDescent="0.25">
      <c r="A14" s="2" t="s">
        <v>60</v>
      </c>
      <c r="B14" s="1" t="s">
        <v>61</v>
      </c>
      <c r="C14" s="1" t="s">
        <v>62</v>
      </c>
      <c r="D14" s="1" t="s">
        <v>63</v>
      </c>
      <c r="E14" s="1" t="s">
        <v>16</v>
      </c>
      <c r="F14" s="1">
        <v>2.5</v>
      </c>
      <c r="G14" s="1" t="str">
        <f>CONCATENATE(Table1[[#This Row],[Duration_Years]]," ","years")</f>
        <v>2.5 years</v>
      </c>
      <c r="H14" s="11">
        <v>8900</v>
      </c>
      <c r="I14" s="1">
        <v>52.3</v>
      </c>
      <c r="J14" s="11">
        <v>800</v>
      </c>
      <c r="K14" s="11">
        <v>140</v>
      </c>
      <c r="L14" s="11">
        <v>400</v>
      </c>
      <c r="M14" s="22">
        <v>7.18</v>
      </c>
      <c r="N14" s="3" t="str">
        <f>IF(Table1[[#This Row],[Exchange_Rate]]&lt;5,"Strong Currency", IF(Table1[[#This Row],[Exchange_Rate]]&lt;=1000, "Medium Currency","Weak Currency"))</f>
        <v>Medium Currency</v>
      </c>
      <c r="O14" s="11">
        <f>(Table1[[#This Row],[Living_Cost_Index]]/123.3)*1850</f>
        <v>784.71208434712082</v>
      </c>
      <c r="P14" s="11">
        <f>Table1[[#This Row],[Monthly_Estimated_Living_cost]]*12</f>
        <v>9416.5450121654503</v>
      </c>
      <c r="Q14" s="13">
        <f>Table1[[#This Row],[Tuition_USD]]+Table1[[#This Row],[Rent_USD]]+Table1[[#This Row],[Insurance_USD]]+Table1[[#This Row],[Visa_Fee_USD]]+Table1[[#This Row],[Annual_Estimated_Living_cost]]</f>
        <v>19656.54501216545</v>
      </c>
    </row>
    <row r="15" spans="1:17" x14ac:dyDescent="0.25">
      <c r="A15" s="2" t="s">
        <v>64</v>
      </c>
      <c r="B15" s="1" t="s">
        <v>65</v>
      </c>
      <c r="C15" s="1" t="s">
        <v>66</v>
      </c>
      <c r="D15" s="1" t="s">
        <v>67</v>
      </c>
      <c r="E15" s="1" t="s">
        <v>16</v>
      </c>
      <c r="F15" s="1">
        <v>2</v>
      </c>
      <c r="G15" s="1" t="str">
        <f>CONCATENATE(Table1[[#This Row],[Duration_Years]]," ","years")</f>
        <v>2 years</v>
      </c>
      <c r="H15" s="11">
        <v>7200</v>
      </c>
      <c r="I15" s="1">
        <v>68.7</v>
      </c>
      <c r="J15" s="11">
        <v>900</v>
      </c>
      <c r="K15" s="11">
        <v>130</v>
      </c>
      <c r="L15" s="11">
        <v>500</v>
      </c>
      <c r="M15" s="22">
        <v>1320.5</v>
      </c>
      <c r="N15" s="3" t="str">
        <f>IF(Table1[[#This Row],[Exchange_Rate]]&lt;5,"Strong Currency", IF(Table1[[#This Row],[Exchange_Rate]]&lt;=1000, "Medium Currency","Weak Currency"))</f>
        <v>Weak Currency</v>
      </c>
      <c r="O15" s="11">
        <f>(Table1[[#This Row],[Living_Cost_Index]]/123.3)*1850</f>
        <v>1030.7785888077858</v>
      </c>
      <c r="P15" s="11">
        <f>Table1[[#This Row],[Monthly_Estimated_Living_cost]]*12</f>
        <v>12369.343065693429</v>
      </c>
      <c r="Q15" s="13">
        <f>Table1[[#This Row],[Tuition_USD]]+Table1[[#This Row],[Rent_USD]]+Table1[[#This Row],[Insurance_USD]]+Table1[[#This Row],[Visa_Fee_USD]]+Table1[[#This Row],[Annual_Estimated_Living_cost]]</f>
        <v>21099.343065693429</v>
      </c>
    </row>
    <row r="16" spans="1:17" x14ac:dyDescent="0.25">
      <c r="A16" s="2" t="s">
        <v>68</v>
      </c>
      <c r="B16" s="1" t="s">
        <v>69</v>
      </c>
      <c r="C16" s="1" t="s">
        <v>70</v>
      </c>
      <c r="D16" s="1" t="s">
        <v>71</v>
      </c>
      <c r="E16" s="1" t="s">
        <v>16</v>
      </c>
      <c r="F16" s="1">
        <v>1</v>
      </c>
      <c r="G16" s="1" t="str">
        <f>CONCATENATE(Table1[[#This Row],[Duration_Years]]," ","years")</f>
        <v>1 years</v>
      </c>
      <c r="H16" s="11">
        <v>28900</v>
      </c>
      <c r="I16" s="1">
        <v>72.900000000000006</v>
      </c>
      <c r="J16" s="11">
        <v>1600</v>
      </c>
      <c r="K16" s="11">
        <v>150</v>
      </c>
      <c r="L16" s="11">
        <v>650</v>
      </c>
      <c r="M16" s="22">
        <v>0.92</v>
      </c>
      <c r="N16" s="3" t="str">
        <f>IF(Table1[[#This Row],[Exchange_Rate]]&lt;5,"Strong Currency", IF(Table1[[#This Row],[Exchange_Rate]]&lt;=1000, "Medium Currency","Weak Currency"))</f>
        <v>Strong Currency</v>
      </c>
      <c r="O16" s="11">
        <f>(Table1[[#This Row],[Living_Cost_Index]]/123.3)*1850</f>
        <v>1093.7956204379564</v>
      </c>
      <c r="P16" s="11">
        <f>Table1[[#This Row],[Monthly_Estimated_Living_cost]]*12</f>
        <v>13125.547445255477</v>
      </c>
      <c r="Q16" s="13">
        <f>Table1[[#This Row],[Tuition_USD]]+Table1[[#This Row],[Rent_USD]]+Table1[[#This Row],[Insurance_USD]]+Table1[[#This Row],[Visa_Fee_USD]]+Table1[[#This Row],[Annual_Estimated_Living_cost]]</f>
        <v>44425.547445255477</v>
      </c>
    </row>
    <row r="17" spans="1:17" x14ac:dyDescent="0.25">
      <c r="A17" s="2" t="s">
        <v>64</v>
      </c>
      <c r="B17" s="1" t="s">
        <v>72</v>
      </c>
      <c r="C17" s="1" t="s">
        <v>73</v>
      </c>
      <c r="D17" s="1" t="s">
        <v>74</v>
      </c>
      <c r="E17" s="1" t="s">
        <v>75</v>
      </c>
      <c r="F17" s="1">
        <v>4</v>
      </c>
      <c r="G17" s="1" t="str">
        <f>CONCATENATE(Table1[[#This Row],[Duration_Years]]," ","years")</f>
        <v>4 years</v>
      </c>
      <c r="H17" s="11">
        <v>5900</v>
      </c>
      <c r="I17" s="1">
        <v>62.4</v>
      </c>
      <c r="J17" s="11">
        <v>700</v>
      </c>
      <c r="K17" s="11">
        <v>130</v>
      </c>
      <c r="L17" s="11">
        <v>500</v>
      </c>
      <c r="M17" s="22">
        <v>1320.5</v>
      </c>
      <c r="N17" s="3" t="str">
        <f>IF(Table1[[#This Row],[Exchange_Rate]]&lt;5,"Strong Currency", IF(Table1[[#This Row],[Exchange_Rate]]&lt;=1000, "Medium Currency","Weak Currency"))</f>
        <v>Weak Currency</v>
      </c>
      <c r="O17" s="11">
        <f>(Table1[[#This Row],[Living_Cost_Index]]/123.3)*1850</f>
        <v>936.25304136253055</v>
      </c>
      <c r="P17" s="11">
        <f>Table1[[#This Row],[Monthly_Estimated_Living_cost]]*12</f>
        <v>11235.036496350367</v>
      </c>
      <c r="Q17" s="13">
        <f>Table1[[#This Row],[Tuition_USD]]+Table1[[#This Row],[Rent_USD]]+Table1[[#This Row],[Insurance_USD]]+Table1[[#This Row],[Visa_Fee_USD]]+Table1[[#This Row],[Annual_Estimated_Living_cost]]</f>
        <v>18465.036496350367</v>
      </c>
    </row>
    <row r="18" spans="1:17" x14ac:dyDescent="0.25">
      <c r="A18" s="2" t="s">
        <v>76</v>
      </c>
      <c r="B18" s="1" t="s">
        <v>77</v>
      </c>
      <c r="C18" s="1" t="s">
        <v>78</v>
      </c>
      <c r="D18" s="1" t="s">
        <v>79</v>
      </c>
      <c r="E18" s="1" t="s">
        <v>75</v>
      </c>
      <c r="F18" s="1">
        <v>3</v>
      </c>
      <c r="G18" s="1" t="str">
        <f>CONCATENATE(Table1[[#This Row],[Duration_Years]]," ","years")</f>
        <v>3 years</v>
      </c>
      <c r="H18" s="11">
        <v>28500</v>
      </c>
      <c r="I18" s="1">
        <v>69.8</v>
      </c>
      <c r="J18" s="11">
        <v>1200</v>
      </c>
      <c r="K18" s="11">
        <v>245</v>
      </c>
      <c r="L18" s="11">
        <v>600</v>
      </c>
      <c r="M18" s="22">
        <v>1.64</v>
      </c>
      <c r="N18" s="3" t="str">
        <f>IF(Table1[[#This Row],[Exchange_Rate]]&lt;5,"Strong Currency", IF(Table1[[#This Row],[Exchange_Rate]]&lt;=1000, "Medium Currency","Weak Currency"))</f>
        <v>Strong Currency</v>
      </c>
      <c r="O18" s="11">
        <f>(Table1[[#This Row],[Living_Cost_Index]]/123.3)*1850</f>
        <v>1047.2830494728303</v>
      </c>
      <c r="P18" s="11">
        <f>Table1[[#This Row],[Monthly_Estimated_Living_cost]]*12</f>
        <v>12567.396593673962</v>
      </c>
      <c r="Q18" s="13">
        <f>Table1[[#This Row],[Tuition_USD]]+Table1[[#This Row],[Rent_USD]]+Table1[[#This Row],[Insurance_USD]]+Table1[[#This Row],[Visa_Fee_USD]]+Table1[[#This Row],[Annual_Estimated_Living_cost]]</f>
        <v>43112.396593673962</v>
      </c>
    </row>
    <row r="19" spans="1:17" x14ac:dyDescent="0.25">
      <c r="A19" s="2" t="s">
        <v>80</v>
      </c>
      <c r="B19" s="1" t="s">
        <v>81</v>
      </c>
      <c r="C19" s="1" t="s">
        <v>82</v>
      </c>
      <c r="D19" s="1" t="s">
        <v>83</v>
      </c>
      <c r="E19" s="1" t="s">
        <v>75</v>
      </c>
      <c r="F19" s="1">
        <v>3</v>
      </c>
      <c r="G19" s="1" t="str">
        <f>CONCATENATE(Table1[[#This Row],[Duration_Years]]," ","years")</f>
        <v>3 years</v>
      </c>
      <c r="H19" s="11">
        <v>1500</v>
      </c>
      <c r="I19" s="1">
        <v>67.400000000000006</v>
      </c>
      <c r="J19" s="11">
        <v>950</v>
      </c>
      <c r="K19" s="11">
        <v>160</v>
      </c>
      <c r="L19" s="11">
        <v>500</v>
      </c>
      <c r="M19" s="22">
        <v>0.92</v>
      </c>
      <c r="N19" s="3" t="str">
        <f>IF(Table1[[#This Row],[Exchange_Rate]]&lt;5,"Strong Currency", IF(Table1[[#This Row],[Exchange_Rate]]&lt;=1000, "Medium Currency","Weak Currency"))</f>
        <v>Strong Currency</v>
      </c>
      <c r="O19" s="11">
        <f>(Table1[[#This Row],[Living_Cost_Index]]/123.3)*1850</f>
        <v>1011.2733171127333</v>
      </c>
      <c r="P19" s="11">
        <f>Table1[[#This Row],[Monthly_Estimated_Living_cost]]*12</f>
        <v>12135.279805352799</v>
      </c>
      <c r="Q19" s="13">
        <f>Table1[[#This Row],[Tuition_USD]]+Table1[[#This Row],[Rent_USD]]+Table1[[#This Row],[Insurance_USD]]+Table1[[#This Row],[Visa_Fee_USD]]+Table1[[#This Row],[Annual_Estimated_Living_cost]]</f>
        <v>15245.279805352799</v>
      </c>
    </row>
    <row r="20" spans="1:17" x14ac:dyDescent="0.25">
      <c r="A20" s="2" t="s">
        <v>84</v>
      </c>
      <c r="B20" s="1" t="s">
        <v>85</v>
      </c>
      <c r="C20" s="1" t="s">
        <v>86</v>
      </c>
      <c r="D20" s="1" t="s">
        <v>87</v>
      </c>
      <c r="E20" s="1" t="s">
        <v>75</v>
      </c>
      <c r="F20" s="1">
        <v>3</v>
      </c>
      <c r="G20" s="1" t="str">
        <f>CONCATENATE(Table1[[#This Row],[Duration_Years]]," ","years")</f>
        <v>3 years</v>
      </c>
      <c r="H20" s="11">
        <v>3500</v>
      </c>
      <c r="I20" s="1">
        <v>68.900000000000006</v>
      </c>
      <c r="J20" s="11">
        <v>1000</v>
      </c>
      <c r="K20" s="11">
        <v>180</v>
      </c>
      <c r="L20" s="11">
        <v>550</v>
      </c>
      <c r="M20" s="22">
        <v>0.92</v>
      </c>
      <c r="N20" s="3" t="str">
        <f>IF(Table1[[#This Row],[Exchange_Rate]]&lt;5,"Strong Currency", IF(Table1[[#This Row],[Exchange_Rate]]&lt;=1000, "Medium Currency","Weak Currency"))</f>
        <v>Strong Currency</v>
      </c>
      <c r="O20" s="11">
        <f>(Table1[[#This Row],[Living_Cost_Index]]/123.3)*1850</f>
        <v>1033.779399837794</v>
      </c>
      <c r="P20" s="11">
        <f>Table1[[#This Row],[Monthly_Estimated_Living_cost]]*12</f>
        <v>12405.352798053529</v>
      </c>
      <c r="Q20" s="13">
        <f>Table1[[#This Row],[Tuition_USD]]+Table1[[#This Row],[Rent_USD]]+Table1[[#This Row],[Insurance_USD]]+Table1[[#This Row],[Visa_Fee_USD]]+Table1[[#This Row],[Annual_Estimated_Living_cost]]</f>
        <v>17635.352798053529</v>
      </c>
    </row>
    <row r="21" spans="1:17" x14ac:dyDescent="0.25">
      <c r="A21" s="2" t="s">
        <v>12</v>
      </c>
      <c r="B21" s="1" t="s">
        <v>88</v>
      </c>
      <c r="C21" s="1" t="s">
        <v>89</v>
      </c>
      <c r="D21" s="1" t="s">
        <v>90</v>
      </c>
      <c r="E21" s="1" t="s">
        <v>75</v>
      </c>
      <c r="F21" s="1">
        <v>4</v>
      </c>
      <c r="G21" s="1" t="str">
        <f>CONCATENATE(Table1[[#This Row],[Duration_Years]]," ","years")</f>
        <v>4 years</v>
      </c>
      <c r="H21" s="11">
        <v>52300</v>
      </c>
      <c r="I21" s="1">
        <v>72.5</v>
      </c>
      <c r="J21" s="11">
        <v>1800</v>
      </c>
      <c r="K21" s="11">
        <v>160</v>
      </c>
      <c r="L21" s="11">
        <v>1500</v>
      </c>
      <c r="M21" s="22">
        <v>1</v>
      </c>
      <c r="N21" s="3" t="str">
        <f>IF(Table1[[#This Row],[Exchange_Rate]]&lt;5,"Strong Currency", IF(Table1[[#This Row],[Exchange_Rate]]&lt;=1000, "Medium Currency","Weak Currency"))</f>
        <v>Strong Currency</v>
      </c>
      <c r="O21" s="11">
        <f>(Table1[[#This Row],[Living_Cost_Index]]/123.3)*1850</f>
        <v>1087.7939983779399</v>
      </c>
      <c r="P21" s="11">
        <f>Table1[[#This Row],[Monthly_Estimated_Living_cost]]*12</f>
        <v>13053.52798053528</v>
      </c>
      <c r="Q21" s="13">
        <f>Table1[[#This Row],[Tuition_USD]]+Table1[[#This Row],[Rent_USD]]+Table1[[#This Row],[Insurance_USD]]+Table1[[#This Row],[Visa_Fee_USD]]+Table1[[#This Row],[Annual_Estimated_Living_cost]]</f>
        <v>68813.527980535277</v>
      </c>
    </row>
    <row r="22" spans="1:17" x14ac:dyDescent="0.25">
      <c r="A22" s="2" t="s">
        <v>12</v>
      </c>
      <c r="B22" s="1" t="s">
        <v>91</v>
      </c>
      <c r="C22" s="1" t="s">
        <v>92</v>
      </c>
      <c r="D22" s="1" t="s">
        <v>93</v>
      </c>
      <c r="E22" s="1" t="s">
        <v>75</v>
      </c>
      <c r="F22" s="1">
        <v>4</v>
      </c>
      <c r="G22" s="1" t="str">
        <f>CONCATENATE(Table1[[#This Row],[Duration_Years]]," ","years")</f>
        <v>4 years</v>
      </c>
      <c r="H22" s="11">
        <v>43800</v>
      </c>
      <c r="I22" s="1">
        <v>71.5</v>
      </c>
      <c r="J22" s="11">
        <v>1700</v>
      </c>
      <c r="K22" s="11">
        <v>160</v>
      </c>
      <c r="L22" s="11">
        <v>1500</v>
      </c>
      <c r="M22" s="22">
        <v>1</v>
      </c>
      <c r="N22" s="3" t="str">
        <f>IF(Table1[[#This Row],[Exchange_Rate]]&lt;5,"Strong Currency", IF(Table1[[#This Row],[Exchange_Rate]]&lt;=1000, "Medium Currency","Weak Currency"))</f>
        <v>Strong Currency</v>
      </c>
      <c r="O22" s="11">
        <f>(Table1[[#This Row],[Living_Cost_Index]]/123.3)*1850</f>
        <v>1072.7899432278994</v>
      </c>
      <c r="P22" s="11">
        <f>Table1[[#This Row],[Monthly_Estimated_Living_cost]]*12</f>
        <v>12873.479318734793</v>
      </c>
      <c r="Q22" s="13">
        <f>Table1[[#This Row],[Tuition_USD]]+Table1[[#This Row],[Rent_USD]]+Table1[[#This Row],[Insurance_USD]]+Table1[[#This Row],[Visa_Fee_USD]]+Table1[[#This Row],[Annual_Estimated_Living_cost]]</f>
        <v>60033.479318734797</v>
      </c>
    </row>
    <row r="23" spans="1:17" x14ac:dyDescent="0.25">
      <c r="A23" s="2" t="s">
        <v>12</v>
      </c>
      <c r="B23" s="1" t="s">
        <v>94</v>
      </c>
      <c r="C23" s="1" t="s">
        <v>95</v>
      </c>
      <c r="D23" s="1" t="s">
        <v>96</v>
      </c>
      <c r="E23" s="1" t="s">
        <v>75</v>
      </c>
      <c r="F23" s="1">
        <v>4</v>
      </c>
      <c r="G23" s="1" t="str">
        <f>CONCATENATE(Table1[[#This Row],[Duration_Years]]," ","years")</f>
        <v>4 years</v>
      </c>
      <c r="H23" s="11">
        <v>40900</v>
      </c>
      <c r="I23" s="1">
        <v>72.400000000000006</v>
      </c>
      <c r="J23" s="11">
        <v>1600</v>
      </c>
      <c r="K23" s="11">
        <v>160</v>
      </c>
      <c r="L23" s="11">
        <v>1500</v>
      </c>
      <c r="M23" s="22">
        <v>1</v>
      </c>
      <c r="N23" s="3" t="str">
        <f>IF(Table1[[#This Row],[Exchange_Rate]]&lt;5,"Strong Currency", IF(Table1[[#This Row],[Exchange_Rate]]&lt;=1000, "Medium Currency","Weak Currency"))</f>
        <v>Strong Currency</v>
      </c>
      <c r="O23" s="11">
        <f>(Table1[[#This Row],[Living_Cost_Index]]/123.3)*1850</f>
        <v>1086.2935928629361</v>
      </c>
      <c r="P23" s="11">
        <f>Table1[[#This Row],[Monthly_Estimated_Living_cost]]*12</f>
        <v>13035.523114355234</v>
      </c>
      <c r="Q23" s="13">
        <f>Table1[[#This Row],[Tuition_USD]]+Table1[[#This Row],[Rent_USD]]+Table1[[#This Row],[Insurance_USD]]+Table1[[#This Row],[Visa_Fee_USD]]+Table1[[#This Row],[Annual_Estimated_Living_cost]]</f>
        <v>57195.523114355237</v>
      </c>
    </row>
    <row r="24" spans="1:17" x14ac:dyDescent="0.25">
      <c r="A24" s="2" t="s">
        <v>17</v>
      </c>
      <c r="B24" s="1" t="s">
        <v>97</v>
      </c>
      <c r="C24" s="1" t="s">
        <v>98</v>
      </c>
      <c r="D24" s="1" t="s">
        <v>99</v>
      </c>
      <c r="E24" s="1" t="s">
        <v>75</v>
      </c>
      <c r="F24" s="1">
        <v>3</v>
      </c>
      <c r="G24" s="1" t="str">
        <f>CONCATENATE(Table1[[#This Row],[Duration_Years]]," ","years")</f>
        <v>3 years</v>
      </c>
      <c r="H24" s="11">
        <v>31200</v>
      </c>
      <c r="I24" s="1">
        <v>69.8</v>
      </c>
      <c r="J24" s="11">
        <v>1100</v>
      </c>
      <c r="K24" s="11">
        <v>485</v>
      </c>
      <c r="L24" s="11">
        <v>800</v>
      </c>
      <c r="M24" s="22">
        <v>0.79</v>
      </c>
      <c r="N24" s="3" t="str">
        <f>IF(Table1[[#This Row],[Exchange_Rate]]&lt;5,"Strong Currency", IF(Table1[[#This Row],[Exchange_Rate]]&lt;=1000, "Medium Currency","Weak Currency"))</f>
        <v>Strong Currency</v>
      </c>
      <c r="O24" s="11">
        <f>(Table1[[#This Row],[Living_Cost_Index]]/123.3)*1850</f>
        <v>1047.2830494728303</v>
      </c>
      <c r="P24" s="11">
        <f>Table1[[#This Row],[Monthly_Estimated_Living_cost]]*12</f>
        <v>12567.396593673962</v>
      </c>
      <c r="Q24" s="13">
        <f>Table1[[#This Row],[Tuition_USD]]+Table1[[#This Row],[Rent_USD]]+Table1[[#This Row],[Insurance_USD]]+Table1[[#This Row],[Visa_Fee_USD]]+Table1[[#This Row],[Annual_Estimated_Living_cost]]</f>
        <v>46152.396593673962</v>
      </c>
    </row>
    <row r="25" spans="1:17" x14ac:dyDescent="0.25">
      <c r="A25" s="2" t="s">
        <v>21</v>
      </c>
      <c r="B25" s="1" t="s">
        <v>100</v>
      </c>
      <c r="C25" s="1" t="s">
        <v>101</v>
      </c>
      <c r="D25" s="1" t="s">
        <v>102</v>
      </c>
      <c r="E25" s="1" t="s">
        <v>75</v>
      </c>
      <c r="F25" s="1">
        <v>4</v>
      </c>
      <c r="G25" s="1" t="str">
        <f>CONCATENATE(Table1[[#This Row],[Duration_Years]]," ","years")</f>
        <v>4 years</v>
      </c>
      <c r="H25" s="11">
        <v>28900</v>
      </c>
      <c r="I25" s="1">
        <v>68.5</v>
      </c>
      <c r="J25" s="11">
        <v>1300</v>
      </c>
      <c r="K25" s="11">
        <v>235</v>
      </c>
      <c r="L25" s="11">
        <v>900</v>
      </c>
      <c r="M25" s="22">
        <v>1.35</v>
      </c>
      <c r="N25" s="3" t="str">
        <f>IF(Table1[[#This Row],[Exchange_Rate]]&lt;5,"Strong Currency", IF(Table1[[#This Row],[Exchange_Rate]]&lt;=1000, "Medium Currency","Weak Currency"))</f>
        <v>Strong Currency</v>
      </c>
      <c r="O25" s="11">
        <f>(Table1[[#This Row],[Living_Cost_Index]]/123.3)*1850</f>
        <v>1027.7777777777778</v>
      </c>
      <c r="P25" s="11">
        <f>Table1[[#This Row],[Monthly_Estimated_Living_cost]]*12</f>
        <v>12333.333333333334</v>
      </c>
      <c r="Q25" s="13">
        <f>Table1[[#This Row],[Tuition_USD]]+Table1[[#This Row],[Rent_USD]]+Table1[[#This Row],[Insurance_USD]]+Table1[[#This Row],[Visa_Fee_USD]]+Table1[[#This Row],[Annual_Estimated_Living_cost]]</f>
        <v>43668.333333333336</v>
      </c>
    </row>
    <row r="26" spans="1:17" x14ac:dyDescent="0.25">
      <c r="A26" s="2" t="s">
        <v>103</v>
      </c>
      <c r="B26" s="1" t="s">
        <v>103</v>
      </c>
      <c r="C26" s="1" t="s">
        <v>104</v>
      </c>
      <c r="D26" s="1" t="s">
        <v>43</v>
      </c>
      <c r="E26" s="1" t="s">
        <v>75</v>
      </c>
      <c r="F26" s="1">
        <v>4</v>
      </c>
      <c r="G26" s="1" t="str">
        <f>CONCATENATE(Table1[[#This Row],[Duration_Years]]," ","years")</f>
        <v>4 years</v>
      </c>
      <c r="H26" s="11">
        <v>22000</v>
      </c>
      <c r="I26" s="1">
        <v>78.599999999999994</v>
      </c>
      <c r="J26" s="11">
        <v>1500</v>
      </c>
      <c r="K26" s="11">
        <v>120</v>
      </c>
      <c r="L26" s="11">
        <v>600</v>
      </c>
      <c r="M26" s="22">
        <v>7.82</v>
      </c>
      <c r="N26" s="3" t="str">
        <f>IF(Table1[[#This Row],[Exchange_Rate]]&lt;5,"Strong Currency", IF(Table1[[#This Row],[Exchange_Rate]]&lt;=1000, "Medium Currency","Weak Currency"))</f>
        <v>Medium Currency</v>
      </c>
      <c r="O26" s="11">
        <f>(Table1[[#This Row],[Living_Cost_Index]]/123.3)*1850</f>
        <v>1179.3187347931873</v>
      </c>
      <c r="P26" s="11">
        <f>Table1[[#This Row],[Monthly_Estimated_Living_cost]]*12</f>
        <v>14151.824817518249</v>
      </c>
      <c r="Q26" s="13">
        <f>Table1[[#This Row],[Tuition_USD]]+Table1[[#This Row],[Rent_USD]]+Table1[[#This Row],[Insurance_USD]]+Table1[[#This Row],[Visa_Fee_USD]]+Table1[[#This Row],[Annual_Estimated_Living_cost]]</f>
        <v>38371.824817518253</v>
      </c>
    </row>
    <row r="27" spans="1:17" x14ac:dyDescent="0.25">
      <c r="A27" s="2" t="s">
        <v>105</v>
      </c>
      <c r="B27" s="1" t="s">
        <v>106</v>
      </c>
      <c r="C27" s="1" t="s">
        <v>107</v>
      </c>
      <c r="D27" s="1" t="s">
        <v>108</v>
      </c>
      <c r="E27" s="1" t="s">
        <v>75</v>
      </c>
      <c r="F27" s="1">
        <v>3</v>
      </c>
      <c r="G27" s="1" t="str">
        <f>CONCATENATE(Table1[[#This Row],[Duration_Years]]," ","years")</f>
        <v>3 years</v>
      </c>
      <c r="H27" s="11">
        <v>3500</v>
      </c>
      <c r="I27" s="1">
        <v>58.4</v>
      </c>
      <c r="J27" s="11">
        <v>800</v>
      </c>
      <c r="K27" s="11">
        <v>120</v>
      </c>
      <c r="L27" s="11">
        <v>450</v>
      </c>
      <c r="M27" s="22">
        <v>0.92</v>
      </c>
      <c r="N27" s="3" t="str">
        <f>IF(Table1[[#This Row],[Exchange_Rate]]&lt;5,"Strong Currency", IF(Table1[[#This Row],[Exchange_Rate]]&lt;=1000, "Medium Currency","Weak Currency"))</f>
        <v>Strong Currency</v>
      </c>
      <c r="O27" s="11">
        <f>(Table1[[#This Row],[Living_Cost_Index]]/123.3)*1850</f>
        <v>876.23682076236821</v>
      </c>
      <c r="P27" s="11">
        <f>Table1[[#This Row],[Monthly_Estimated_Living_cost]]*12</f>
        <v>10514.841849148419</v>
      </c>
      <c r="Q27" s="13">
        <f>Table1[[#This Row],[Tuition_USD]]+Table1[[#This Row],[Rent_USD]]+Table1[[#This Row],[Insurance_USD]]+Table1[[#This Row],[Visa_Fee_USD]]+Table1[[#This Row],[Annual_Estimated_Living_cost]]</f>
        <v>15384.841849148419</v>
      </c>
    </row>
    <row r="28" spans="1:17" x14ac:dyDescent="0.25">
      <c r="A28" s="2" t="s">
        <v>109</v>
      </c>
      <c r="B28" s="1" t="s">
        <v>110</v>
      </c>
      <c r="C28" s="1" t="s">
        <v>111</v>
      </c>
      <c r="D28" s="1" t="s">
        <v>15</v>
      </c>
      <c r="E28" s="1" t="s">
        <v>75</v>
      </c>
      <c r="F28" s="1">
        <v>3</v>
      </c>
      <c r="G28" s="1" t="str">
        <f>CONCATENATE(Table1[[#This Row],[Duration_Years]]," ","years")</f>
        <v>3 years</v>
      </c>
      <c r="H28" s="11">
        <v>12000</v>
      </c>
      <c r="I28" s="1">
        <v>76.2</v>
      </c>
      <c r="J28" s="11">
        <v>1200</v>
      </c>
      <c r="K28" s="11">
        <v>150</v>
      </c>
      <c r="L28" s="11">
        <v>800</v>
      </c>
      <c r="M28" s="22">
        <v>3.72</v>
      </c>
      <c r="N28" s="3" t="str">
        <f>IF(Table1[[#This Row],[Exchange_Rate]]&lt;5,"Strong Currency", IF(Table1[[#This Row],[Exchange_Rate]]&lt;=1000, "Medium Currency","Weak Currency"))</f>
        <v>Strong Currency</v>
      </c>
      <c r="O28" s="11">
        <f>(Table1[[#This Row],[Living_Cost_Index]]/123.3)*1850</f>
        <v>1143.30900243309</v>
      </c>
      <c r="P28" s="11">
        <f>Table1[[#This Row],[Monthly_Estimated_Living_cost]]*12</f>
        <v>13719.70802919708</v>
      </c>
      <c r="Q28" s="13">
        <f>Table1[[#This Row],[Tuition_USD]]+Table1[[#This Row],[Rent_USD]]+Table1[[#This Row],[Insurance_USD]]+Table1[[#This Row],[Visa_Fee_USD]]+Table1[[#This Row],[Annual_Estimated_Living_cost]]</f>
        <v>27869.708029197078</v>
      </c>
    </row>
    <row r="29" spans="1:17" x14ac:dyDescent="0.25">
      <c r="A29" s="2" t="s">
        <v>112</v>
      </c>
      <c r="B29" s="1" t="s">
        <v>113</v>
      </c>
      <c r="C29" s="1" t="s">
        <v>114</v>
      </c>
      <c r="D29" s="1" t="s">
        <v>115</v>
      </c>
      <c r="E29" s="1" t="s">
        <v>75</v>
      </c>
      <c r="F29" s="1">
        <v>4</v>
      </c>
      <c r="G29" s="1" t="str">
        <f>CONCATENATE(Table1[[#This Row],[Duration_Years]]," ","years")</f>
        <v>4 years</v>
      </c>
      <c r="H29" s="11">
        <v>5200</v>
      </c>
      <c r="I29" s="1">
        <v>62.8</v>
      </c>
      <c r="J29" s="11">
        <v>700</v>
      </c>
      <c r="K29" s="11">
        <v>140</v>
      </c>
      <c r="L29" s="11">
        <v>450</v>
      </c>
      <c r="M29" s="22">
        <v>31.2</v>
      </c>
      <c r="N29" s="3" t="str">
        <f>IF(Table1[[#This Row],[Exchange_Rate]]&lt;5,"Strong Currency", IF(Table1[[#This Row],[Exchange_Rate]]&lt;=1000, "Medium Currency","Weak Currency"))</f>
        <v>Medium Currency</v>
      </c>
      <c r="O29" s="11">
        <f>(Table1[[#This Row],[Living_Cost_Index]]/123.3)*1850</f>
        <v>942.25466342254663</v>
      </c>
      <c r="P29" s="11">
        <f>Table1[[#This Row],[Monthly_Estimated_Living_cost]]*12</f>
        <v>11307.05596107056</v>
      </c>
      <c r="Q29" s="13">
        <f>Table1[[#This Row],[Tuition_USD]]+Table1[[#This Row],[Rent_USD]]+Table1[[#This Row],[Insurance_USD]]+Table1[[#This Row],[Visa_Fee_USD]]+Table1[[#This Row],[Annual_Estimated_Living_cost]]</f>
        <v>17797.05596107056</v>
      </c>
    </row>
    <row r="30" spans="1:17" x14ac:dyDescent="0.25">
      <c r="A30" s="2" t="s">
        <v>116</v>
      </c>
      <c r="B30" s="1" t="s">
        <v>117</v>
      </c>
      <c r="C30" s="1" t="s">
        <v>118</v>
      </c>
      <c r="D30" s="1" t="s">
        <v>119</v>
      </c>
      <c r="E30" s="1" t="s">
        <v>75</v>
      </c>
      <c r="F30" s="1">
        <v>3</v>
      </c>
      <c r="G30" s="1" t="str">
        <f>CONCATENATE(Table1[[#This Row],[Duration_Years]]," ","years")</f>
        <v>3 years</v>
      </c>
      <c r="H30" s="11">
        <v>9800</v>
      </c>
      <c r="I30" s="1">
        <v>54.6</v>
      </c>
      <c r="J30" s="11">
        <v>650</v>
      </c>
      <c r="K30" s="11">
        <v>100</v>
      </c>
      <c r="L30" s="11">
        <v>400</v>
      </c>
      <c r="M30" s="22">
        <v>22.5</v>
      </c>
      <c r="N30" s="3" t="str">
        <f>IF(Table1[[#This Row],[Exchange_Rate]]&lt;5,"Strong Currency", IF(Table1[[#This Row],[Exchange_Rate]]&lt;=1000, "Medium Currency","Weak Currency"))</f>
        <v>Medium Currency</v>
      </c>
      <c r="O30" s="11">
        <f>(Table1[[#This Row],[Living_Cost_Index]]/123.3)*1850</f>
        <v>819.22141119221419</v>
      </c>
      <c r="P30" s="11">
        <f>Table1[[#This Row],[Monthly_Estimated_Living_cost]]*12</f>
        <v>9830.6569343065712</v>
      </c>
      <c r="Q30" s="13">
        <f>Table1[[#This Row],[Tuition_USD]]+Table1[[#This Row],[Rent_USD]]+Table1[[#This Row],[Insurance_USD]]+Table1[[#This Row],[Visa_Fee_USD]]+Table1[[#This Row],[Annual_Estimated_Living_cost]]</f>
        <v>20780.656934306571</v>
      </c>
    </row>
    <row r="31" spans="1:17" x14ac:dyDescent="0.25">
      <c r="A31" s="2" t="s">
        <v>12</v>
      </c>
      <c r="B31" s="1" t="s">
        <v>120</v>
      </c>
      <c r="C31" s="1" t="s">
        <v>121</v>
      </c>
      <c r="D31" s="1" t="s">
        <v>15</v>
      </c>
      <c r="E31" s="1" t="s">
        <v>1353</v>
      </c>
      <c r="F31" s="1">
        <v>5</v>
      </c>
      <c r="G31" s="1" t="str">
        <f>CONCATENATE(Table1[[#This Row],[Duration_Years]]," ","years")</f>
        <v>5 years</v>
      </c>
      <c r="H31" s="11">
        <v>54200</v>
      </c>
      <c r="I31" s="1">
        <v>89.5</v>
      </c>
      <c r="J31" s="11">
        <v>2300</v>
      </c>
      <c r="K31" s="11">
        <v>160</v>
      </c>
      <c r="L31" s="11">
        <v>1500</v>
      </c>
      <c r="M31" s="22">
        <v>1</v>
      </c>
      <c r="N31" s="3" t="str">
        <f>IF(Table1[[#This Row],[Exchange_Rate]]&lt;5,"Strong Currency", IF(Table1[[#This Row],[Exchange_Rate]]&lt;=1000, "Medium Currency","Weak Currency"))</f>
        <v>Strong Currency</v>
      </c>
      <c r="O31" s="11">
        <f>(Table1[[#This Row],[Living_Cost_Index]]/123.3)*1850</f>
        <v>1342.8629359286294</v>
      </c>
      <c r="P31" s="11">
        <f>Table1[[#This Row],[Monthly_Estimated_Living_cost]]*12</f>
        <v>16114.355231143552</v>
      </c>
      <c r="Q31" s="13">
        <f>Table1[[#This Row],[Tuition_USD]]+Table1[[#This Row],[Rent_USD]]+Table1[[#This Row],[Insurance_USD]]+Table1[[#This Row],[Visa_Fee_USD]]+Table1[[#This Row],[Annual_Estimated_Living_cost]]</f>
        <v>74274.355231143549</v>
      </c>
    </row>
    <row r="32" spans="1:17" x14ac:dyDescent="0.25">
      <c r="A32" s="2" t="s">
        <v>12</v>
      </c>
      <c r="B32" s="1" t="s">
        <v>122</v>
      </c>
      <c r="C32" s="1" t="s">
        <v>123</v>
      </c>
      <c r="D32" s="1" t="s">
        <v>124</v>
      </c>
      <c r="E32" s="1" t="s">
        <v>1353</v>
      </c>
      <c r="F32" s="1">
        <v>5</v>
      </c>
      <c r="G32" s="1" t="str">
        <f>CONCATENATE(Table1[[#This Row],[Duration_Years]]," ","years")</f>
        <v>5 years</v>
      </c>
      <c r="H32" s="11">
        <v>53800</v>
      </c>
      <c r="I32" s="1">
        <v>83.2</v>
      </c>
      <c r="J32" s="11">
        <v>2200</v>
      </c>
      <c r="K32" s="11">
        <v>160</v>
      </c>
      <c r="L32" s="11">
        <v>1500</v>
      </c>
      <c r="M32" s="22">
        <v>1</v>
      </c>
      <c r="N32" s="3" t="str">
        <f>IF(Table1[[#This Row],[Exchange_Rate]]&lt;5,"Strong Currency", IF(Table1[[#This Row],[Exchange_Rate]]&lt;=1000, "Medium Currency","Weak Currency"))</f>
        <v>Strong Currency</v>
      </c>
      <c r="O32" s="11">
        <f>(Table1[[#This Row],[Living_Cost_Index]]/123.3)*1850</f>
        <v>1248.3373884833738</v>
      </c>
      <c r="P32" s="11">
        <f>Table1[[#This Row],[Monthly_Estimated_Living_cost]]*12</f>
        <v>14980.048661800487</v>
      </c>
      <c r="Q32" s="13">
        <f>Table1[[#This Row],[Tuition_USD]]+Table1[[#This Row],[Rent_USD]]+Table1[[#This Row],[Insurance_USD]]+Table1[[#This Row],[Visa_Fee_USD]]+Table1[[#This Row],[Annual_Estimated_Living_cost]]</f>
        <v>72640.04866180048</v>
      </c>
    </row>
    <row r="33" spans="1:17" x14ac:dyDescent="0.25">
      <c r="A33" s="2" t="s">
        <v>17</v>
      </c>
      <c r="B33" s="1" t="s">
        <v>125</v>
      </c>
      <c r="C33" s="1" t="s">
        <v>126</v>
      </c>
      <c r="D33" s="1" t="s">
        <v>87</v>
      </c>
      <c r="E33" s="1" t="s">
        <v>1353</v>
      </c>
      <c r="F33" s="1">
        <v>4</v>
      </c>
      <c r="G33" s="1" t="str">
        <f>CONCATENATE(Table1[[#This Row],[Duration_Years]]," ","years")</f>
        <v>4 years</v>
      </c>
      <c r="H33" s="11">
        <v>29800</v>
      </c>
      <c r="I33" s="1">
        <v>74.5</v>
      </c>
      <c r="J33" s="11">
        <v>1600</v>
      </c>
      <c r="K33" s="11">
        <v>485</v>
      </c>
      <c r="L33" s="11">
        <v>800</v>
      </c>
      <c r="M33" s="22">
        <v>0.79</v>
      </c>
      <c r="N33" s="3" t="str">
        <f>IF(Table1[[#This Row],[Exchange_Rate]]&lt;5,"Strong Currency", IF(Table1[[#This Row],[Exchange_Rate]]&lt;=1000, "Medium Currency","Weak Currency"))</f>
        <v>Strong Currency</v>
      </c>
      <c r="O33" s="11">
        <f>(Table1[[#This Row],[Living_Cost_Index]]/123.3)*1850</f>
        <v>1117.8021086780211</v>
      </c>
      <c r="P33" s="11">
        <f>Table1[[#This Row],[Monthly_Estimated_Living_cost]]*12</f>
        <v>13413.625304136254</v>
      </c>
      <c r="Q33" s="13">
        <f>Table1[[#This Row],[Tuition_USD]]+Table1[[#This Row],[Rent_USD]]+Table1[[#This Row],[Insurance_USD]]+Table1[[#This Row],[Visa_Fee_USD]]+Table1[[#This Row],[Annual_Estimated_Living_cost]]</f>
        <v>46098.625304136251</v>
      </c>
    </row>
    <row r="34" spans="1:17" x14ac:dyDescent="0.25">
      <c r="A34" s="2" t="s">
        <v>17</v>
      </c>
      <c r="B34" s="1" t="s">
        <v>13</v>
      </c>
      <c r="C34" s="1" t="s">
        <v>127</v>
      </c>
      <c r="D34" s="1" t="s">
        <v>51</v>
      </c>
      <c r="E34" s="1" t="s">
        <v>1353</v>
      </c>
      <c r="F34" s="1">
        <v>4</v>
      </c>
      <c r="G34" s="1" t="str">
        <f>CONCATENATE(Table1[[#This Row],[Duration_Years]]," ","years")</f>
        <v>4 years</v>
      </c>
      <c r="H34" s="11">
        <v>31200</v>
      </c>
      <c r="I34" s="1">
        <v>75.2</v>
      </c>
      <c r="J34" s="11">
        <v>1700</v>
      </c>
      <c r="K34" s="11">
        <v>485</v>
      </c>
      <c r="L34" s="11">
        <v>800</v>
      </c>
      <c r="M34" s="22">
        <v>0.79</v>
      </c>
      <c r="N34" s="3" t="str">
        <f>IF(Table1[[#This Row],[Exchange_Rate]]&lt;5,"Strong Currency", IF(Table1[[#This Row],[Exchange_Rate]]&lt;=1000, "Medium Currency","Weak Currency"))</f>
        <v>Strong Currency</v>
      </c>
      <c r="O34" s="11">
        <f>(Table1[[#This Row],[Living_Cost_Index]]/123.3)*1850</f>
        <v>1128.3049472830494</v>
      </c>
      <c r="P34" s="11">
        <f>Table1[[#This Row],[Monthly_Estimated_Living_cost]]*12</f>
        <v>13539.659367396593</v>
      </c>
      <c r="Q34" s="13">
        <f>Table1[[#This Row],[Tuition_USD]]+Table1[[#This Row],[Rent_USD]]+Table1[[#This Row],[Insurance_USD]]+Table1[[#This Row],[Visa_Fee_USD]]+Table1[[#This Row],[Annual_Estimated_Living_cost]]</f>
        <v>47724.659367396591</v>
      </c>
    </row>
    <row r="35" spans="1:17" x14ac:dyDescent="0.25">
      <c r="A35" s="2" t="s">
        <v>29</v>
      </c>
      <c r="B35" s="1" t="s">
        <v>128</v>
      </c>
      <c r="C35" s="1" t="s">
        <v>129</v>
      </c>
      <c r="D35" s="1" t="s">
        <v>130</v>
      </c>
      <c r="E35" s="1" t="s">
        <v>1353</v>
      </c>
      <c r="F35" s="1">
        <v>3</v>
      </c>
      <c r="G35" s="1" t="str">
        <f>CONCATENATE(Table1[[#This Row],[Duration_Years]]," ","years")</f>
        <v>3 years</v>
      </c>
      <c r="H35" s="11">
        <v>500</v>
      </c>
      <c r="I35" s="1">
        <v>68.400000000000006</v>
      </c>
      <c r="J35" s="11">
        <v>900</v>
      </c>
      <c r="K35" s="11">
        <v>75</v>
      </c>
      <c r="L35" s="11">
        <v>550</v>
      </c>
      <c r="M35" s="22">
        <v>0.92</v>
      </c>
      <c r="N35" s="3" t="str">
        <f>IF(Table1[[#This Row],[Exchange_Rate]]&lt;5,"Strong Currency", IF(Table1[[#This Row],[Exchange_Rate]]&lt;=1000, "Medium Currency","Weak Currency"))</f>
        <v>Strong Currency</v>
      </c>
      <c r="O35" s="11">
        <f>(Table1[[#This Row],[Living_Cost_Index]]/123.3)*1850</f>
        <v>1026.277372262774</v>
      </c>
      <c r="P35" s="11">
        <f>Table1[[#This Row],[Monthly_Estimated_Living_cost]]*12</f>
        <v>12315.328467153287</v>
      </c>
      <c r="Q35" s="13">
        <f>Table1[[#This Row],[Tuition_USD]]+Table1[[#This Row],[Rent_USD]]+Table1[[#This Row],[Insurance_USD]]+Table1[[#This Row],[Visa_Fee_USD]]+Table1[[#This Row],[Annual_Estimated_Living_cost]]</f>
        <v>14340.328467153287</v>
      </c>
    </row>
    <row r="36" spans="1:17" x14ac:dyDescent="0.25">
      <c r="A36" s="2" t="s">
        <v>48</v>
      </c>
      <c r="B36" s="1" t="s">
        <v>131</v>
      </c>
      <c r="C36" s="1" t="s">
        <v>132</v>
      </c>
      <c r="D36" s="1" t="s">
        <v>133</v>
      </c>
      <c r="E36" s="1" t="s">
        <v>1353</v>
      </c>
      <c r="F36" s="1">
        <v>4</v>
      </c>
      <c r="G36" s="1" t="str">
        <f>CONCATENATE(Table1[[#This Row],[Duration_Years]]," ","years")</f>
        <v>4 years</v>
      </c>
      <c r="H36" s="11">
        <v>1500</v>
      </c>
      <c r="I36" s="1">
        <v>88.6</v>
      </c>
      <c r="J36" s="11">
        <v>1800</v>
      </c>
      <c r="K36" s="11">
        <v>88</v>
      </c>
      <c r="L36" s="11">
        <v>1200</v>
      </c>
      <c r="M36" s="22">
        <v>0.89</v>
      </c>
      <c r="N36" s="3" t="str">
        <f>IF(Table1[[#This Row],[Exchange_Rate]]&lt;5,"Strong Currency", IF(Table1[[#This Row],[Exchange_Rate]]&lt;=1000, "Medium Currency","Weak Currency"))</f>
        <v>Strong Currency</v>
      </c>
      <c r="O36" s="11">
        <f>(Table1[[#This Row],[Living_Cost_Index]]/123.3)*1850</f>
        <v>1329.3592862935927</v>
      </c>
      <c r="P36" s="11">
        <f>Table1[[#This Row],[Monthly_Estimated_Living_cost]]*12</f>
        <v>15952.311435523112</v>
      </c>
      <c r="Q36" s="13">
        <f>Table1[[#This Row],[Tuition_USD]]+Table1[[#This Row],[Rent_USD]]+Table1[[#This Row],[Insurance_USD]]+Table1[[#This Row],[Visa_Fee_USD]]+Table1[[#This Row],[Annual_Estimated_Living_cost]]</f>
        <v>20540.311435523112</v>
      </c>
    </row>
    <row r="37" spans="1:17" x14ac:dyDescent="0.25">
      <c r="A37" s="2" t="s">
        <v>37</v>
      </c>
      <c r="B37" s="1" t="s">
        <v>134</v>
      </c>
      <c r="C37" s="1" t="s">
        <v>135</v>
      </c>
      <c r="D37" s="1" t="s">
        <v>136</v>
      </c>
      <c r="E37" s="1" t="s">
        <v>1353</v>
      </c>
      <c r="F37" s="1">
        <v>4</v>
      </c>
      <c r="G37" s="1" t="str">
        <f>CONCATENATE(Table1[[#This Row],[Duration_Years]]," ","years")</f>
        <v>4 years</v>
      </c>
      <c r="H37" s="11">
        <v>4800</v>
      </c>
      <c r="I37" s="1">
        <v>71.8</v>
      </c>
      <c r="J37" s="11">
        <v>1200</v>
      </c>
      <c r="K37" s="11">
        <v>180</v>
      </c>
      <c r="L37" s="11">
        <v>720</v>
      </c>
      <c r="M37" s="22">
        <v>0.92</v>
      </c>
      <c r="N37" s="3" t="str">
        <f>IF(Table1[[#This Row],[Exchange_Rate]]&lt;5,"Strong Currency", IF(Table1[[#This Row],[Exchange_Rate]]&lt;=1000, "Medium Currency","Weak Currency"))</f>
        <v>Strong Currency</v>
      </c>
      <c r="O37" s="11">
        <f>(Table1[[#This Row],[Living_Cost_Index]]/123.3)*1850</f>
        <v>1077.2911597729117</v>
      </c>
      <c r="P37" s="11">
        <f>Table1[[#This Row],[Monthly_Estimated_Living_cost]]*12</f>
        <v>12927.49391727494</v>
      </c>
      <c r="Q37" s="13">
        <f>Table1[[#This Row],[Tuition_USD]]+Table1[[#This Row],[Rent_USD]]+Table1[[#This Row],[Insurance_USD]]+Table1[[#This Row],[Visa_Fee_USD]]+Table1[[#This Row],[Annual_Estimated_Living_cost]]</f>
        <v>19827.49391727494</v>
      </c>
    </row>
    <row r="38" spans="1:17" x14ac:dyDescent="0.25">
      <c r="A38" s="2" t="s">
        <v>41</v>
      </c>
      <c r="B38" s="1" t="s">
        <v>41</v>
      </c>
      <c r="C38" s="1" t="s">
        <v>137</v>
      </c>
      <c r="D38" s="1" t="s">
        <v>20</v>
      </c>
      <c r="E38" s="1" t="s">
        <v>1353</v>
      </c>
      <c r="F38" s="1">
        <v>4</v>
      </c>
      <c r="G38" s="1" t="str">
        <f>CONCATENATE(Table1[[#This Row],[Duration_Years]]," ","years")</f>
        <v>4 years</v>
      </c>
      <c r="H38" s="11">
        <v>8900</v>
      </c>
      <c r="I38" s="1">
        <v>81.5</v>
      </c>
      <c r="J38" s="11">
        <v>1600</v>
      </c>
      <c r="K38" s="11">
        <v>90</v>
      </c>
      <c r="L38" s="11">
        <v>800</v>
      </c>
      <c r="M38" s="22">
        <v>1.34</v>
      </c>
      <c r="N38" s="3" t="str">
        <f>IF(Table1[[#This Row],[Exchange_Rate]]&lt;5,"Strong Currency", IF(Table1[[#This Row],[Exchange_Rate]]&lt;=1000, "Medium Currency","Weak Currency"))</f>
        <v>Strong Currency</v>
      </c>
      <c r="O38" s="11">
        <f>(Table1[[#This Row],[Living_Cost_Index]]/123.3)*1850</f>
        <v>1222.830494728305</v>
      </c>
      <c r="P38" s="11">
        <f>Table1[[#This Row],[Monthly_Estimated_Living_cost]]*12</f>
        <v>14673.96593673966</v>
      </c>
      <c r="Q38" s="13">
        <f>Table1[[#This Row],[Tuition_USD]]+Table1[[#This Row],[Rent_USD]]+Table1[[#This Row],[Insurance_USD]]+Table1[[#This Row],[Visa_Fee_USD]]+Table1[[#This Row],[Annual_Estimated_Living_cost]]</f>
        <v>26063.96593673966</v>
      </c>
    </row>
    <row r="39" spans="1:17" x14ac:dyDescent="0.25">
      <c r="A39" s="2" t="s">
        <v>21</v>
      </c>
      <c r="B39" s="1" t="s">
        <v>138</v>
      </c>
      <c r="C39" s="1" t="s">
        <v>139</v>
      </c>
      <c r="D39" s="1" t="s">
        <v>140</v>
      </c>
      <c r="E39" s="1" t="s">
        <v>1353</v>
      </c>
      <c r="F39" s="1">
        <v>4</v>
      </c>
      <c r="G39" s="1" t="str">
        <f>CONCATENATE(Table1[[#This Row],[Duration_Years]]," ","years")</f>
        <v>4 years</v>
      </c>
      <c r="H39" s="11">
        <v>21500</v>
      </c>
      <c r="I39" s="1">
        <v>69.8</v>
      </c>
      <c r="J39" s="11">
        <v>1300</v>
      </c>
      <c r="K39" s="11">
        <v>235</v>
      </c>
      <c r="L39" s="11">
        <v>900</v>
      </c>
      <c r="M39" s="22">
        <v>1.35</v>
      </c>
      <c r="N39" s="3" t="str">
        <f>IF(Table1[[#This Row],[Exchange_Rate]]&lt;5,"Strong Currency", IF(Table1[[#This Row],[Exchange_Rate]]&lt;=1000, "Medium Currency","Weak Currency"))</f>
        <v>Strong Currency</v>
      </c>
      <c r="O39" s="11">
        <f>(Table1[[#This Row],[Living_Cost_Index]]/123.3)*1850</f>
        <v>1047.2830494728303</v>
      </c>
      <c r="P39" s="11">
        <f>Table1[[#This Row],[Monthly_Estimated_Living_cost]]*12</f>
        <v>12567.396593673962</v>
      </c>
      <c r="Q39" s="13">
        <f>Table1[[#This Row],[Tuition_USD]]+Table1[[#This Row],[Rent_USD]]+Table1[[#This Row],[Insurance_USD]]+Table1[[#This Row],[Visa_Fee_USD]]+Table1[[#This Row],[Annual_Estimated_Living_cost]]</f>
        <v>36502.396593673962</v>
      </c>
    </row>
    <row r="40" spans="1:17" x14ac:dyDescent="0.25">
      <c r="A40" s="2" t="s">
        <v>25</v>
      </c>
      <c r="B40" s="1" t="s">
        <v>141</v>
      </c>
      <c r="C40" s="1" t="s">
        <v>142</v>
      </c>
      <c r="D40" s="1" t="s">
        <v>143</v>
      </c>
      <c r="E40" s="1" t="s">
        <v>1353</v>
      </c>
      <c r="F40" s="1">
        <v>4</v>
      </c>
      <c r="G40" s="1" t="str">
        <f>CONCATENATE(Table1[[#This Row],[Duration_Years]]," ","years")</f>
        <v>4 years</v>
      </c>
      <c r="H40" s="11">
        <v>29800</v>
      </c>
      <c r="I40" s="1">
        <v>70.2</v>
      </c>
      <c r="J40" s="11">
        <v>1400</v>
      </c>
      <c r="K40" s="11">
        <v>450</v>
      </c>
      <c r="L40" s="11">
        <v>650</v>
      </c>
      <c r="M40" s="22">
        <v>1.52</v>
      </c>
      <c r="N40" s="3" t="str">
        <f>IF(Table1[[#This Row],[Exchange_Rate]]&lt;5,"Strong Currency", IF(Table1[[#This Row],[Exchange_Rate]]&lt;=1000, "Medium Currency","Weak Currency"))</f>
        <v>Strong Currency</v>
      </c>
      <c r="O40" s="11">
        <f>(Table1[[#This Row],[Living_Cost_Index]]/123.3)*1850</f>
        <v>1053.2846715328469</v>
      </c>
      <c r="P40" s="11">
        <f>Table1[[#This Row],[Monthly_Estimated_Living_cost]]*12</f>
        <v>12639.416058394163</v>
      </c>
      <c r="Q40" s="13">
        <f>Table1[[#This Row],[Tuition_USD]]+Table1[[#This Row],[Rent_USD]]+Table1[[#This Row],[Insurance_USD]]+Table1[[#This Row],[Visa_Fee_USD]]+Table1[[#This Row],[Annual_Estimated_Living_cost]]</f>
        <v>44939.416058394163</v>
      </c>
    </row>
    <row r="41" spans="1:17" x14ac:dyDescent="0.25">
      <c r="A41" s="2" t="s">
        <v>52</v>
      </c>
      <c r="B41" s="1" t="s">
        <v>144</v>
      </c>
      <c r="C41" s="1" t="s">
        <v>145</v>
      </c>
      <c r="D41" s="1" t="s">
        <v>146</v>
      </c>
      <c r="E41" s="1" t="s">
        <v>1353</v>
      </c>
      <c r="F41" s="1">
        <v>4</v>
      </c>
      <c r="G41" s="1" t="str">
        <f>CONCATENATE(Table1[[#This Row],[Duration_Years]]," ","years")</f>
        <v>4 years</v>
      </c>
      <c r="H41" s="11">
        <v>0</v>
      </c>
      <c r="I41" s="1">
        <v>69.5</v>
      </c>
      <c r="J41" s="11">
        <v>1000</v>
      </c>
      <c r="K41" s="11">
        <v>110</v>
      </c>
      <c r="L41" s="11">
        <v>400</v>
      </c>
      <c r="M41" s="22">
        <v>10.45</v>
      </c>
      <c r="N41" s="3" t="str">
        <f>IF(Table1[[#This Row],[Exchange_Rate]]&lt;5,"Strong Currency", IF(Table1[[#This Row],[Exchange_Rate]]&lt;=1000, "Medium Currency","Weak Currency"))</f>
        <v>Medium Currency</v>
      </c>
      <c r="O41" s="11">
        <f>(Table1[[#This Row],[Living_Cost_Index]]/123.3)*1850</f>
        <v>1042.7818329278184</v>
      </c>
      <c r="P41" s="11">
        <f>Table1[[#This Row],[Monthly_Estimated_Living_cost]]*12</f>
        <v>12513.381995133821</v>
      </c>
      <c r="Q41" s="13">
        <f>Table1[[#This Row],[Tuition_USD]]+Table1[[#This Row],[Rent_USD]]+Table1[[#This Row],[Insurance_USD]]+Table1[[#This Row],[Visa_Fee_USD]]+Table1[[#This Row],[Annual_Estimated_Living_cost]]</f>
        <v>14023.381995133821</v>
      </c>
    </row>
    <row r="42" spans="1:17" x14ac:dyDescent="0.25">
      <c r="A42" s="2" t="s">
        <v>12</v>
      </c>
      <c r="B42" s="1" t="s">
        <v>147</v>
      </c>
      <c r="C42" s="1" t="s">
        <v>148</v>
      </c>
      <c r="D42" s="1" t="s">
        <v>15</v>
      </c>
      <c r="E42" s="1" t="s">
        <v>75</v>
      </c>
      <c r="F42" s="1">
        <v>4</v>
      </c>
      <c r="G42" s="1" t="str">
        <f>CONCATENATE(Table1[[#This Row],[Duration_Years]]," ","years")</f>
        <v>4 years</v>
      </c>
      <c r="H42" s="11">
        <v>44200</v>
      </c>
      <c r="I42" s="1">
        <v>79.5</v>
      </c>
      <c r="J42" s="11">
        <v>1900</v>
      </c>
      <c r="K42" s="11">
        <v>160</v>
      </c>
      <c r="L42" s="11">
        <v>1500</v>
      </c>
      <c r="M42" s="22">
        <v>1</v>
      </c>
      <c r="N42" s="3" t="str">
        <f>IF(Table1[[#This Row],[Exchange_Rate]]&lt;5,"Strong Currency", IF(Table1[[#This Row],[Exchange_Rate]]&lt;=1000, "Medium Currency","Weak Currency"))</f>
        <v>Strong Currency</v>
      </c>
      <c r="O42" s="11">
        <f>(Table1[[#This Row],[Living_Cost_Index]]/123.3)*1850</f>
        <v>1192.8223844282238</v>
      </c>
      <c r="P42" s="11">
        <f>Table1[[#This Row],[Monthly_Estimated_Living_cost]]*12</f>
        <v>14313.868613138686</v>
      </c>
      <c r="Q42" s="13">
        <f>Table1[[#This Row],[Tuition_USD]]+Table1[[#This Row],[Rent_USD]]+Table1[[#This Row],[Insurance_USD]]+Table1[[#This Row],[Visa_Fee_USD]]+Table1[[#This Row],[Annual_Estimated_Living_cost]]</f>
        <v>62073.868613138686</v>
      </c>
    </row>
    <row r="43" spans="1:17" x14ac:dyDescent="0.25">
      <c r="A43" s="2" t="s">
        <v>12</v>
      </c>
      <c r="B43" s="1" t="s">
        <v>149</v>
      </c>
      <c r="C43" s="1" t="s">
        <v>150</v>
      </c>
      <c r="D43" s="1" t="s">
        <v>15</v>
      </c>
      <c r="E43" s="1" t="s">
        <v>16</v>
      </c>
      <c r="F43" s="1">
        <v>2</v>
      </c>
      <c r="G43" s="1" t="str">
        <f>CONCATENATE(Table1[[#This Row],[Duration_Years]]," ","years")</f>
        <v>2 years</v>
      </c>
      <c r="H43" s="11">
        <v>38900</v>
      </c>
      <c r="I43" s="1">
        <v>83.4</v>
      </c>
      <c r="J43" s="11">
        <v>2000</v>
      </c>
      <c r="K43" s="11">
        <v>160</v>
      </c>
      <c r="L43" s="11">
        <v>1500</v>
      </c>
      <c r="M43" s="22">
        <v>1</v>
      </c>
      <c r="N43" s="3" t="str">
        <f>IF(Table1[[#This Row],[Exchange_Rate]]&lt;5,"Strong Currency", IF(Table1[[#This Row],[Exchange_Rate]]&lt;=1000, "Medium Currency","Weak Currency"))</f>
        <v>Strong Currency</v>
      </c>
      <c r="O43" s="11">
        <f>(Table1[[#This Row],[Living_Cost_Index]]/123.3)*1850</f>
        <v>1251.3381995133821</v>
      </c>
      <c r="P43" s="11">
        <f>Table1[[#This Row],[Monthly_Estimated_Living_cost]]*12</f>
        <v>15016.058394160584</v>
      </c>
      <c r="Q43" s="13">
        <f>Table1[[#This Row],[Tuition_USD]]+Table1[[#This Row],[Rent_USD]]+Table1[[#This Row],[Insurance_USD]]+Table1[[#This Row],[Visa_Fee_USD]]+Table1[[#This Row],[Annual_Estimated_Living_cost]]</f>
        <v>57576.058394160587</v>
      </c>
    </row>
    <row r="44" spans="1:17" x14ac:dyDescent="0.25">
      <c r="A44" s="2" t="s">
        <v>21</v>
      </c>
      <c r="B44" s="1" t="s">
        <v>151</v>
      </c>
      <c r="C44" s="1" t="s">
        <v>152</v>
      </c>
      <c r="D44" s="1" t="s">
        <v>15</v>
      </c>
      <c r="E44" s="1" t="s">
        <v>1353</v>
      </c>
      <c r="F44" s="1">
        <v>4</v>
      </c>
      <c r="G44" s="1" t="str">
        <f>CONCATENATE(Table1[[#This Row],[Duration_Years]]," ","years")</f>
        <v>4 years</v>
      </c>
      <c r="H44" s="11">
        <v>22800</v>
      </c>
      <c r="I44" s="1">
        <v>67.8</v>
      </c>
      <c r="J44" s="11">
        <v>1200</v>
      </c>
      <c r="K44" s="11">
        <v>235</v>
      </c>
      <c r="L44" s="11">
        <v>900</v>
      </c>
      <c r="M44" s="22">
        <v>1.35</v>
      </c>
      <c r="N44" s="3" t="str">
        <f>IF(Table1[[#This Row],[Exchange_Rate]]&lt;5,"Strong Currency", IF(Table1[[#This Row],[Exchange_Rate]]&lt;=1000, "Medium Currency","Weak Currency"))</f>
        <v>Strong Currency</v>
      </c>
      <c r="O44" s="11">
        <f>(Table1[[#This Row],[Living_Cost_Index]]/123.3)*1850</f>
        <v>1017.2749391727493</v>
      </c>
      <c r="P44" s="11">
        <f>Table1[[#This Row],[Monthly_Estimated_Living_cost]]*12</f>
        <v>12207.299270072992</v>
      </c>
      <c r="Q44" s="13">
        <f>Table1[[#This Row],[Tuition_USD]]+Table1[[#This Row],[Rent_USD]]+Table1[[#This Row],[Insurance_USD]]+Table1[[#This Row],[Visa_Fee_USD]]+Table1[[#This Row],[Annual_Estimated_Living_cost]]</f>
        <v>37342.299270072996</v>
      </c>
    </row>
    <row r="45" spans="1:17" x14ac:dyDescent="0.25">
      <c r="A45" s="2" t="s">
        <v>17</v>
      </c>
      <c r="B45" s="1" t="s">
        <v>153</v>
      </c>
      <c r="C45" s="1" t="s">
        <v>154</v>
      </c>
      <c r="D45" s="1" t="s">
        <v>15</v>
      </c>
      <c r="E45" s="1" t="s">
        <v>16</v>
      </c>
      <c r="F45" s="1">
        <v>1</v>
      </c>
      <c r="G45" s="1" t="str">
        <f>CONCATENATE(Table1[[#This Row],[Duration_Years]]," ","years")</f>
        <v>1 years</v>
      </c>
      <c r="H45" s="11">
        <v>33500</v>
      </c>
      <c r="I45" s="1">
        <v>67.5</v>
      </c>
      <c r="J45" s="11">
        <v>1100</v>
      </c>
      <c r="K45" s="11">
        <v>485</v>
      </c>
      <c r="L45" s="11">
        <v>800</v>
      </c>
      <c r="M45" s="22">
        <v>0.79</v>
      </c>
      <c r="N45" s="3" t="str">
        <f>IF(Table1[[#This Row],[Exchange_Rate]]&lt;5,"Strong Currency", IF(Table1[[#This Row],[Exchange_Rate]]&lt;=1000, "Medium Currency","Weak Currency"))</f>
        <v>Strong Currency</v>
      </c>
      <c r="O45" s="11">
        <f>(Table1[[#This Row],[Living_Cost_Index]]/123.3)*1850</f>
        <v>1012.7737226277372</v>
      </c>
      <c r="P45" s="11">
        <f>Table1[[#This Row],[Monthly_Estimated_Living_cost]]*12</f>
        <v>12153.284671532847</v>
      </c>
      <c r="Q45" s="13">
        <f>Table1[[#This Row],[Tuition_USD]]+Table1[[#This Row],[Rent_USD]]+Table1[[#This Row],[Insurance_USD]]+Table1[[#This Row],[Visa_Fee_USD]]+Table1[[#This Row],[Annual_Estimated_Living_cost]]</f>
        <v>48038.284671532849</v>
      </c>
    </row>
    <row r="46" spans="1:17" x14ac:dyDescent="0.25">
      <c r="A46" s="2" t="s">
        <v>155</v>
      </c>
      <c r="B46" s="1" t="s">
        <v>156</v>
      </c>
      <c r="C46" s="1" t="s">
        <v>157</v>
      </c>
      <c r="D46" s="1" t="s">
        <v>15</v>
      </c>
      <c r="E46" s="1" t="s">
        <v>16</v>
      </c>
      <c r="F46" s="1">
        <v>2</v>
      </c>
      <c r="G46" s="1" t="str">
        <f>CONCATENATE(Table1[[#This Row],[Duration_Years]]," ","years")</f>
        <v>2 years</v>
      </c>
      <c r="H46" s="11">
        <v>2500</v>
      </c>
      <c r="I46" s="1">
        <v>45.6</v>
      </c>
      <c r="J46" s="11">
        <v>500</v>
      </c>
      <c r="K46" s="11">
        <v>200</v>
      </c>
      <c r="L46" s="11">
        <v>300</v>
      </c>
      <c r="M46" s="22">
        <v>83.2</v>
      </c>
      <c r="N46" s="3" t="str">
        <f>IF(Table1[[#This Row],[Exchange_Rate]]&lt;5,"Strong Currency", IF(Table1[[#This Row],[Exchange_Rate]]&lt;=1000, "Medium Currency","Weak Currency"))</f>
        <v>Medium Currency</v>
      </c>
      <c r="O46" s="11">
        <f>(Table1[[#This Row],[Living_Cost_Index]]/123.3)*1850</f>
        <v>684.18491484184915</v>
      </c>
      <c r="P46" s="11">
        <f>Table1[[#This Row],[Monthly_Estimated_Living_cost]]*12</f>
        <v>8210.2189781021898</v>
      </c>
      <c r="Q46" s="13">
        <f>Table1[[#This Row],[Tuition_USD]]+Table1[[#This Row],[Rent_USD]]+Table1[[#This Row],[Insurance_USD]]+Table1[[#This Row],[Visa_Fee_USD]]+Table1[[#This Row],[Annual_Estimated_Living_cost]]</f>
        <v>11710.21897810219</v>
      </c>
    </row>
    <row r="47" spans="1:17" x14ac:dyDescent="0.25">
      <c r="A47" s="2" t="s">
        <v>56</v>
      </c>
      <c r="B47" s="1" t="s">
        <v>158</v>
      </c>
      <c r="C47" s="1" t="s">
        <v>159</v>
      </c>
      <c r="D47" s="1" t="s">
        <v>15</v>
      </c>
      <c r="E47" s="1" t="s">
        <v>75</v>
      </c>
      <c r="F47" s="1">
        <v>3</v>
      </c>
      <c r="G47" s="1" t="str">
        <f>CONCATENATE(Table1[[#This Row],[Duration_Years]]," ","years")</f>
        <v>3 years</v>
      </c>
      <c r="H47" s="11">
        <v>0</v>
      </c>
      <c r="I47" s="1">
        <v>69.8</v>
      </c>
      <c r="J47" s="11">
        <v>900</v>
      </c>
      <c r="K47" s="11">
        <v>120</v>
      </c>
      <c r="L47" s="11">
        <v>450</v>
      </c>
      <c r="M47" s="22">
        <v>6.92</v>
      </c>
      <c r="N47" s="3" t="str">
        <f>IF(Table1[[#This Row],[Exchange_Rate]]&lt;5,"Strong Currency", IF(Table1[[#This Row],[Exchange_Rate]]&lt;=1000, "Medium Currency","Weak Currency"))</f>
        <v>Medium Currency</v>
      </c>
      <c r="O47" s="11">
        <f>(Table1[[#This Row],[Living_Cost_Index]]/123.3)*1850</f>
        <v>1047.2830494728303</v>
      </c>
      <c r="P47" s="11">
        <f>Table1[[#This Row],[Monthly_Estimated_Living_cost]]*12</f>
        <v>12567.396593673962</v>
      </c>
      <c r="Q47" s="13">
        <f>Table1[[#This Row],[Tuition_USD]]+Table1[[#This Row],[Rent_USD]]+Table1[[#This Row],[Insurance_USD]]+Table1[[#This Row],[Visa_Fee_USD]]+Table1[[#This Row],[Annual_Estimated_Living_cost]]</f>
        <v>14037.396593673962</v>
      </c>
    </row>
    <row r="48" spans="1:17" x14ac:dyDescent="0.25">
      <c r="A48" s="2" t="s">
        <v>160</v>
      </c>
      <c r="B48" s="1" t="s">
        <v>161</v>
      </c>
      <c r="C48" s="1" t="s">
        <v>162</v>
      </c>
      <c r="D48" s="1" t="s">
        <v>15</v>
      </c>
      <c r="E48" s="1" t="s">
        <v>16</v>
      </c>
      <c r="F48" s="1">
        <v>2</v>
      </c>
      <c r="G48" s="1" t="str">
        <f>CONCATENATE(Table1[[#This Row],[Duration_Years]]," ","years")</f>
        <v>2 years</v>
      </c>
      <c r="H48" s="11">
        <v>3800</v>
      </c>
      <c r="I48" s="1">
        <v>51.2</v>
      </c>
      <c r="J48" s="11">
        <v>650</v>
      </c>
      <c r="K48" s="11">
        <v>80</v>
      </c>
      <c r="L48" s="11">
        <v>350</v>
      </c>
      <c r="M48" s="22">
        <v>4.0199999999999996</v>
      </c>
      <c r="N48" s="3" t="str">
        <f>IF(Table1[[#This Row],[Exchange_Rate]]&lt;5,"Strong Currency", IF(Table1[[#This Row],[Exchange_Rate]]&lt;=1000, "Medium Currency","Weak Currency"))</f>
        <v>Strong Currency</v>
      </c>
      <c r="O48" s="11">
        <f>(Table1[[#This Row],[Living_Cost_Index]]/123.3)*1850</f>
        <v>768.20762368207625</v>
      </c>
      <c r="P48" s="11">
        <f>Table1[[#This Row],[Monthly_Estimated_Living_cost]]*12</f>
        <v>9218.491484184915</v>
      </c>
      <c r="Q48" s="13">
        <f>Table1[[#This Row],[Tuition_USD]]+Table1[[#This Row],[Rent_USD]]+Table1[[#This Row],[Insurance_USD]]+Table1[[#This Row],[Visa_Fee_USD]]+Table1[[#This Row],[Annual_Estimated_Living_cost]]</f>
        <v>14098.491484184915</v>
      </c>
    </row>
    <row r="49" spans="1:17" x14ac:dyDescent="0.25">
      <c r="A49" s="2" t="s">
        <v>68</v>
      </c>
      <c r="B49" s="1" t="s">
        <v>163</v>
      </c>
      <c r="C49" s="1" t="s">
        <v>164</v>
      </c>
      <c r="D49" s="1" t="s">
        <v>15</v>
      </c>
      <c r="E49" s="1" t="s">
        <v>75</v>
      </c>
      <c r="F49" s="1">
        <v>4</v>
      </c>
      <c r="G49" s="1" t="str">
        <f>CONCATENATE(Table1[[#This Row],[Duration_Years]]," ","years")</f>
        <v>4 years</v>
      </c>
      <c r="H49" s="11">
        <v>25800</v>
      </c>
      <c r="I49" s="1">
        <v>68.5</v>
      </c>
      <c r="J49" s="11">
        <v>1100</v>
      </c>
      <c r="K49" s="11">
        <v>150</v>
      </c>
      <c r="L49" s="11">
        <v>650</v>
      </c>
      <c r="M49" s="22">
        <v>0.92</v>
      </c>
      <c r="N49" s="3" t="str">
        <f>IF(Table1[[#This Row],[Exchange_Rate]]&lt;5,"Strong Currency", IF(Table1[[#This Row],[Exchange_Rate]]&lt;=1000, "Medium Currency","Weak Currency"))</f>
        <v>Strong Currency</v>
      </c>
      <c r="O49" s="11">
        <f>(Table1[[#This Row],[Living_Cost_Index]]/123.3)*1850</f>
        <v>1027.7777777777778</v>
      </c>
      <c r="P49" s="11">
        <f>Table1[[#This Row],[Monthly_Estimated_Living_cost]]*12</f>
        <v>12333.333333333334</v>
      </c>
      <c r="Q49" s="13">
        <f>Table1[[#This Row],[Tuition_USD]]+Table1[[#This Row],[Rent_USD]]+Table1[[#This Row],[Insurance_USD]]+Table1[[#This Row],[Visa_Fee_USD]]+Table1[[#This Row],[Annual_Estimated_Living_cost]]</f>
        <v>40033.333333333336</v>
      </c>
    </row>
    <row r="50" spans="1:17" x14ac:dyDescent="0.25">
      <c r="A50" s="2" t="s">
        <v>64</v>
      </c>
      <c r="B50" s="1" t="s">
        <v>165</v>
      </c>
      <c r="C50" s="1" t="s">
        <v>166</v>
      </c>
      <c r="D50" s="1" t="s">
        <v>15</v>
      </c>
      <c r="E50" s="1" t="s">
        <v>1353</v>
      </c>
      <c r="F50" s="1">
        <v>4</v>
      </c>
      <c r="G50" s="1" t="str">
        <f>CONCATENATE(Table1[[#This Row],[Duration_Years]]," ","years")</f>
        <v>4 years</v>
      </c>
      <c r="H50" s="11">
        <v>6900</v>
      </c>
      <c r="I50" s="1">
        <v>65.400000000000006</v>
      </c>
      <c r="J50" s="11">
        <v>700</v>
      </c>
      <c r="K50" s="11">
        <v>130</v>
      </c>
      <c r="L50" s="11">
        <v>500</v>
      </c>
      <c r="M50" s="22">
        <v>1320.5</v>
      </c>
      <c r="N50" s="3" t="str">
        <f>IF(Table1[[#This Row],[Exchange_Rate]]&lt;5,"Strong Currency", IF(Table1[[#This Row],[Exchange_Rate]]&lt;=1000, "Medium Currency","Weak Currency"))</f>
        <v>Weak Currency</v>
      </c>
      <c r="O50" s="11">
        <f>(Table1[[#This Row],[Living_Cost_Index]]/123.3)*1850</f>
        <v>981.26520681265208</v>
      </c>
      <c r="P50" s="11">
        <f>Table1[[#This Row],[Monthly_Estimated_Living_cost]]*12</f>
        <v>11775.182481751825</v>
      </c>
      <c r="Q50" s="13">
        <f>Table1[[#This Row],[Tuition_USD]]+Table1[[#This Row],[Rent_USD]]+Table1[[#This Row],[Insurance_USD]]+Table1[[#This Row],[Visa_Fee_USD]]+Table1[[#This Row],[Annual_Estimated_Living_cost]]</f>
        <v>20005.182481751825</v>
      </c>
    </row>
    <row r="51" spans="1:17" x14ac:dyDescent="0.25">
      <c r="A51" s="2" t="s">
        <v>167</v>
      </c>
      <c r="B51" s="1" t="s">
        <v>168</v>
      </c>
      <c r="C51" s="1" t="s">
        <v>169</v>
      </c>
      <c r="D51" s="1" t="s">
        <v>15</v>
      </c>
      <c r="E51" s="1" t="s">
        <v>75</v>
      </c>
      <c r="F51" s="1">
        <v>4</v>
      </c>
      <c r="G51" s="1" t="str">
        <f>CONCATENATE(Table1[[#This Row],[Duration_Years]]," ","years")</f>
        <v>4 years</v>
      </c>
      <c r="H51" s="11">
        <v>4800</v>
      </c>
      <c r="I51" s="1">
        <v>48.2</v>
      </c>
      <c r="J51" s="11">
        <v>750</v>
      </c>
      <c r="K51" s="11">
        <v>110</v>
      </c>
      <c r="L51" s="11">
        <v>300</v>
      </c>
      <c r="M51" s="22">
        <v>4.72</v>
      </c>
      <c r="N51" s="3" t="str">
        <f>IF(Table1[[#This Row],[Exchange_Rate]]&lt;5,"Strong Currency", IF(Table1[[#This Row],[Exchange_Rate]]&lt;=1000, "Medium Currency","Weak Currency"))</f>
        <v>Strong Currency</v>
      </c>
      <c r="O51" s="11">
        <f>(Table1[[#This Row],[Living_Cost_Index]]/123.3)*1850</f>
        <v>723.1954582319546</v>
      </c>
      <c r="P51" s="11">
        <f>Table1[[#This Row],[Monthly_Estimated_Living_cost]]*12</f>
        <v>8678.3454987834557</v>
      </c>
      <c r="Q51" s="13">
        <f>Table1[[#This Row],[Tuition_USD]]+Table1[[#This Row],[Rent_USD]]+Table1[[#This Row],[Insurance_USD]]+Table1[[#This Row],[Visa_Fee_USD]]+Table1[[#This Row],[Annual_Estimated_Living_cost]]</f>
        <v>14638.345498783456</v>
      </c>
    </row>
    <row r="52" spans="1:17" x14ac:dyDescent="0.25">
      <c r="A52" s="2" t="s">
        <v>12</v>
      </c>
      <c r="B52" s="1" t="s">
        <v>170</v>
      </c>
      <c r="C52" s="1" t="s">
        <v>171</v>
      </c>
      <c r="D52" s="1" t="s">
        <v>15</v>
      </c>
      <c r="E52" s="1" t="s">
        <v>75</v>
      </c>
      <c r="F52" s="1">
        <v>4</v>
      </c>
      <c r="G52" s="1" t="str">
        <f>CONCATENATE(Table1[[#This Row],[Duration_Years]]," ","years")</f>
        <v>4 years</v>
      </c>
      <c r="H52" s="11">
        <v>44900</v>
      </c>
      <c r="I52" s="1">
        <v>84.2</v>
      </c>
      <c r="J52" s="11">
        <v>2100</v>
      </c>
      <c r="K52" s="11">
        <v>160</v>
      </c>
      <c r="L52" s="11">
        <v>1500</v>
      </c>
      <c r="M52" s="22">
        <v>1</v>
      </c>
      <c r="N52" s="3" t="str">
        <f>IF(Table1[[#This Row],[Exchange_Rate]]&lt;5,"Strong Currency", IF(Table1[[#This Row],[Exchange_Rate]]&lt;=1000, "Medium Currency","Weak Currency"))</f>
        <v>Strong Currency</v>
      </c>
      <c r="O52" s="11">
        <f>(Table1[[#This Row],[Living_Cost_Index]]/123.3)*1850</f>
        <v>1263.3414436334144</v>
      </c>
      <c r="P52" s="11">
        <f>Table1[[#This Row],[Monthly_Estimated_Living_cost]]*12</f>
        <v>15160.097323600974</v>
      </c>
      <c r="Q52" s="13">
        <f>Table1[[#This Row],[Tuition_USD]]+Table1[[#This Row],[Rent_USD]]+Table1[[#This Row],[Insurance_USD]]+Table1[[#This Row],[Visa_Fee_USD]]+Table1[[#This Row],[Annual_Estimated_Living_cost]]</f>
        <v>63820.097323600974</v>
      </c>
    </row>
    <row r="53" spans="1:17" x14ac:dyDescent="0.25">
      <c r="A53" s="2" t="s">
        <v>17</v>
      </c>
      <c r="B53" s="1" t="s">
        <v>172</v>
      </c>
      <c r="C53" s="1" t="s">
        <v>173</v>
      </c>
      <c r="D53" s="1" t="s">
        <v>174</v>
      </c>
      <c r="E53" s="1" t="s">
        <v>75</v>
      </c>
      <c r="F53" s="1">
        <v>3</v>
      </c>
      <c r="G53" s="1" t="str">
        <f>CONCATENATE(Table1[[#This Row],[Duration_Years]]," ","years")</f>
        <v>3 years</v>
      </c>
      <c r="H53" s="11">
        <v>32000</v>
      </c>
      <c r="I53" s="1">
        <v>68.400000000000006</v>
      </c>
      <c r="J53" s="11">
        <v>1200</v>
      </c>
      <c r="K53" s="11">
        <v>485</v>
      </c>
      <c r="L53" s="11">
        <v>800</v>
      </c>
      <c r="M53" s="22">
        <v>0.79</v>
      </c>
      <c r="N53" s="3" t="str">
        <f>IF(Table1[[#This Row],[Exchange_Rate]]&lt;5,"Strong Currency", IF(Table1[[#This Row],[Exchange_Rate]]&lt;=1000, "Medium Currency","Weak Currency"))</f>
        <v>Strong Currency</v>
      </c>
      <c r="O53" s="11">
        <f>(Table1[[#This Row],[Living_Cost_Index]]/123.3)*1850</f>
        <v>1026.277372262774</v>
      </c>
      <c r="P53" s="11">
        <f>Table1[[#This Row],[Monthly_Estimated_Living_cost]]*12</f>
        <v>12315.328467153287</v>
      </c>
      <c r="Q53" s="13">
        <f>Table1[[#This Row],[Tuition_USD]]+Table1[[#This Row],[Rent_USD]]+Table1[[#This Row],[Insurance_USD]]+Table1[[#This Row],[Visa_Fee_USD]]+Table1[[#This Row],[Annual_Estimated_Living_cost]]</f>
        <v>46800.328467153289</v>
      </c>
    </row>
    <row r="54" spans="1:17" x14ac:dyDescent="0.25">
      <c r="A54" s="2" t="s">
        <v>21</v>
      </c>
      <c r="B54" s="1" t="s">
        <v>175</v>
      </c>
      <c r="C54" s="1" t="s">
        <v>176</v>
      </c>
      <c r="D54" s="1" t="s">
        <v>177</v>
      </c>
      <c r="E54" s="1" t="s">
        <v>75</v>
      </c>
      <c r="F54" s="1">
        <v>4</v>
      </c>
      <c r="G54" s="1" t="str">
        <f>CONCATENATE(Table1[[#This Row],[Duration_Years]]," ","years")</f>
        <v>4 years</v>
      </c>
      <c r="H54" s="11">
        <v>31200</v>
      </c>
      <c r="I54" s="1">
        <v>71.2</v>
      </c>
      <c r="J54" s="11">
        <v>1700</v>
      </c>
      <c r="K54" s="11">
        <v>235</v>
      </c>
      <c r="L54" s="11">
        <v>900</v>
      </c>
      <c r="M54" s="22">
        <v>1.35</v>
      </c>
      <c r="N54" s="3" t="str">
        <f>IF(Table1[[#This Row],[Exchange_Rate]]&lt;5,"Strong Currency", IF(Table1[[#This Row],[Exchange_Rate]]&lt;=1000, "Medium Currency","Weak Currency"))</f>
        <v>Strong Currency</v>
      </c>
      <c r="O54" s="11">
        <f>(Table1[[#This Row],[Living_Cost_Index]]/123.3)*1850</f>
        <v>1068.2887266828873</v>
      </c>
      <c r="P54" s="11">
        <f>Table1[[#This Row],[Monthly_Estimated_Living_cost]]*12</f>
        <v>12819.464720194646</v>
      </c>
      <c r="Q54" s="13">
        <f>Table1[[#This Row],[Tuition_USD]]+Table1[[#This Row],[Rent_USD]]+Table1[[#This Row],[Insurance_USD]]+Table1[[#This Row],[Visa_Fee_USD]]+Table1[[#This Row],[Annual_Estimated_Living_cost]]</f>
        <v>46854.46472019465</v>
      </c>
    </row>
    <row r="55" spans="1:17" x14ac:dyDescent="0.25">
      <c r="A55" s="2" t="s">
        <v>25</v>
      </c>
      <c r="B55" s="1" t="s">
        <v>178</v>
      </c>
      <c r="C55" s="1" t="s">
        <v>179</v>
      </c>
      <c r="D55" s="1" t="s">
        <v>74</v>
      </c>
      <c r="E55" s="1" t="s">
        <v>75</v>
      </c>
      <c r="F55" s="1">
        <v>3</v>
      </c>
      <c r="G55" s="1" t="str">
        <f>CONCATENATE(Table1[[#This Row],[Duration_Years]]," ","years")</f>
        <v>3 years</v>
      </c>
      <c r="H55" s="11">
        <v>35000</v>
      </c>
      <c r="I55" s="1">
        <v>72.8</v>
      </c>
      <c r="J55" s="11">
        <v>1600</v>
      </c>
      <c r="K55" s="11">
        <v>450</v>
      </c>
      <c r="L55" s="11">
        <v>650</v>
      </c>
      <c r="M55" s="22">
        <v>1.52</v>
      </c>
      <c r="N55" s="3" t="str">
        <f>IF(Table1[[#This Row],[Exchange_Rate]]&lt;5,"Strong Currency", IF(Table1[[#This Row],[Exchange_Rate]]&lt;=1000, "Medium Currency","Weak Currency"))</f>
        <v>Strong Currency</v>
      </c>
      <c r="O55" s="11">
        <f>(Table1[[#This Row],[Living_Cost_Index]]/123.3)*1850</f>
        <v>1092.2952149229523</v>
      </c>
      <c r="P55" s="11">
        <f>Table1[[#This Row],[Monthly_Estimated_Living_cost]]*12</f>
        <v>13107.542579075427</v>
      </c>
      <c r="Q55" s="13">
        <f>Table1[[#This Row],[Tuition_USD]]+Table1[[#This Row],[Rent_USD]]+Table1[[#This Row],[Insurance_USD]]+Table1[[#This Row],[Visa_Fee_USD]]+Table1[[#This Row],[Annual_Estimated_Living_cost]]</f>
        <v>50807.542579075423</v>
      </c>
    </row>
    <row r="56" spans="1:17" x14ac:dyDescent="0.25">
      <c r="A56" s="2" t="s">
        <v>29</v>
      </c>
      <c r="B56" s="1" t="s">
        <v>180</v>
      </c>
      <c r="C56" s="1" t="s">
        <v>181</v>
      </c>
      <c r="D56" s="1" t="s">
        <v>182</v>
      </c>
      <c r="E56" s="1" t="s">
        <v>75</v>
      </c>
      <c r="F56" s="1">
        <v>3</v>
      </c>
      <c r="G56" s="1" t="str">
        <f>CONCATENATE(Table1[[#This Row],[Duration_Years]]," ","years")</f>
        <v>3 years</v>
      </c>
      <c r="H56" s="11">
        <v>0</v>
      </c>
      <c r="I56" s="1">
        <v>65.2</v>
      </c>
      <c r="J56" s="11">
        <v>900</v>
      </c>
      <c r="K56" s="11">
        <v>75</v>
      </c>
      <c r="L56" s="11">
        <v>550</v>
      </c>
      <c r="M56" s="22">
        <v>0.92</v>
      </c>
      <c r="N56" s="3" t="str">
        <f>IF(Table1[[#This Row],[Exchange_Rate]]&lt;5,"Strong Currency", IF(Table1[[#This Row],[Exchange_Rate]]&lt;=1000, "Medium Currency","Weak Currency"))</f>
        <v>Strong Currency</v>
      </c>
      <c r="O56" s="11">
        <f>(Table1[[#This Row],[Living_Cost_Index]]/123.3)*1850</f>
        <v>978.2643957826441</v>
      </c>
      <c r="P56" s="11">
        <f>Table1[[#This Row],[Monthly_Estimated_Living_cost]]*12</f>
        <v>11739.17274939173</v>
      </c>
      <c r="Q56" s="13">
        <f>Table1[[#This Row],[Tuition_USD]]+Table1[[#This Row],[Rent_USD]]+Table1[[#This Row],[Insurance_USD]]+Table1[[#This Row],[Visa_Fee_USD]]+Table1[[#This Row],[Annual_Estimated_Living_cost]]</f>
        <v>13264.17274939173</v>
      </c>
    </row>
    <row r="57" spans="1:17" x14ac:dyDescent="0.25">
      <c r="A57" s="2" t="s">
        <v>183</v>
      </c>
      <c r="B57" s="1" t="s">
        <v>184</v>
      </c>
      <c r="C57" s="1" t="s">
        <v>185</v>
      </c>
      <c r="D57" s="1" t="s">
        <v>108</v>
      </c>
      <c r="E57" s="1" t="s">
        <v>75</v>
      </c>
      <c r="F57" s="1">
        <v>4</v>
      </c>
      <c r="G57" s="1" t="str">
        <f>CONCATENATE(Table1[[#This Row],[Duration_Years]]," ","years")</f>
        <v>4 years</v>
      </c>
      <c r="H57" s="11">
        <v>2800</v>
      </c>
      <c r="I57" s="1">
        <v>62.4</v>
      </c>
      <c r="J57" s="11">
        <v>950</v>
      </c>
      <c r="K57" s="11">
        <v>160</v>
      </c>
      <c r="L57" s="11">
        <v>500</v>
      </c>
      <c r="M57" s="22">
        <v>0.92</v>
      </c>
      <c r="N57" s="3" t="str">
        <f>IF(Table1[[#This Row],[Exchange_Rate]]&lt;5,"Strong Currency", IF(Table1[[#This Row],[Exchange_Rate]]&lt;=1000, "Medium Currency","Weak Currency"))</f>
        <v>Strong Currency</v>
      </c>
      <c r="O57" s="11">
        <f>(Table1[[#This Row],[Living_Cost_Index]]/123.3)*1850</f>
        <v>936.25304136253055</v>
      </c>
      <c r="P57" s="11">
        <f>Table1[[#This Row],[Monthly_Estimated_Living_cost]]*12</f>
        <v>11235.036496350367</v>
      </c>
      <c r="Q57" s="13">
        <f>Table1[[#This Row],[Tuition_USD]]+Table1[[#This Row],[Rent_USD]]+Table1[[#This Row],[Insurance_USD]]+Table1[[#This Row],[Visa_Fee_USD]]+Table1[[#This Row],[Annual_Estimated_Living_cost]]</f>
        <v>15645.036496350367</v>
      </c>
    </row>
    <row r="58" spans="1:17" x14ac:dyDescent="0.25">
      <c r="A58" s="2" t="s">
        <v>186</v>
      </c>
      <c r="B58" s="1" t="s">
        <v>187</v>
      </c>
      <c r="C58" s="1" t="s">
        <v>188</v>
      </c>
      <c r="D58" s="1" t="s">
        <v>189</v>
      </c>
      <c r="E58" s="1" t="s">
        <v>75</v>
      </c>
      <c r="F58" s="1">
        <v>3</v>
      </c>
      <c r="G58" s="1" t="str">
        <f>CONCATENATE(Table1[[#This Row],[Duration_Years]]," ","years")</f>
        <v>3 years</v>
      </c>
      <c r="H58" s="11">
        <v>4200</v>
      </c>
      <c r="I58" s="1">
        <v>63.8</v>
      </c>
      <c r="J58" s="11">
        <v>1100</v>
      </c>
      <c r="K58" s="11">
        <v>120</v>
      </c>
      <c r="L58" s="11">
        <v>650</v>
      </c>
      <c r="M58" s="22">
        <v>0.92</v>
      </c>
      <c r="N58" s="3" t="str">
        <f>IF(Table1[[#This Row],[Exchange_Rate]]&lt;5,"Strong Currency", IF(Table1[[#This Row],[Exchange_Rate]]&lt;=1000, "Medium Currency","Weak Currency"))</f>
        <v>Strong Currency</v>
      </c>
      <c r="O58" s="11">
        <f>(Table1[[#This Row],[Living_Cost_Index]]/123.3)*1850</f>
        <v>957.25871857258721</v>
      </c>
      <c r="P58" s="11">
        <f>Table1[[#This Row],[Monthly_Estimated_Living_cost]]*12</f>
        <v>11487.104622871047</v>
      </c>
      <c r="Q58" s="13">
        <f>Table1[[#This Row],[Tuition_USD]]+Table1[[#This Row],[Rent_USD]]+Table1[[#This Row],[Insurance_USD]]+Table1[[#This Row],[Visa_Fee_USD]]+Table1[[#This Row],[Annual_Estimated_Living_cost]]</f>
        <v>17557.104622871047</v>
      </c>
    </row>
    <row r="59" spans="1:17" x14ac:dyDescent="0.25">
      <c r="A59" s="2" t="s">
        <v>37</v>
      </c>
      <c r="B59" s="1" t="s">
        <v>190</v>
      </c>
      <c r="C59" s="1" t="s">
        <v>191</v>
      </c>
      <c r="D59" s="1" t="s">
        <v>174</v>
      </c>
      <c r="E59" s="1" t="s">
        <v>75</v>
      </c>
      <c r="F59" s="1">
        <v>3</v>
      </c>
      <c r="G59" s="1" t="str">
        <f>CONCATENATE(Table1[[#This Row],[Duration_Years]]," ","years")</f>
        <v>3 years</v>
      </c>
      <c r="H59" s="11">
        <v>11200</v>
      </c>
      <c r="I59" s="1">
        <v>71.5</v>
      </c>
      <c r="J59" s="11">
        <v>1300</v>
      </c>
      <c r="K59" s="11">
        <v>180</v>
      </c>
      <c r="L59" s="11">
        <v>720</v>
      </c>
      <c r="M59" s="22">
        <v>0.92</v>
      </c>
      <c r="N59" s="3" t="str">
        <f>IF(Table1[[#This Row],[Exchange_Rate]]&lt;5,"Strong Currency", IF(Table1[[#This Row],[Exchange_Rate]]&lt;=1000, "Medium Currency","Weak Currency"))</f>
        <v>Strong Currency</v>
      </c>
      <c r="O59" s="11">
        <f>(Table1[[#This Row],[Living_Cost_Index]]/123.3)*1850</f>
        <v>1072.7899432278994</v>
      </c>
      <c r="P59" s="11">
        <f>Table1[[#This Row],[Monthly_Estimated_Living_cost]]*12</f>
        <v>12873.479318734793</v>
      </c>
      <c r="Q59" s="13">
        <f>Table1[[#This Row],[Tuition_USD]]+Table1[[#This Row],[Rent_USD]]+Table1[[#This Row],[Insurance_USD]]+Table1[[#This Row],[Visa_Fee_USD]]+Table1[[#This Row],[Annual_Estimated_Living_cost]]</f>
        <v>26273.479318734793</v>
      </c>
    </row>
    <row r="60" spans="1:17" x14ac:dyDescent="0.25">
      <c r="A60" s="2" t="s">
        <v>192</v>
      </c>
      <c r="B60" s="1" t="s">
        <v>193</v>
      </c>
      <c r="C60" s="1" t="s">
        <v>194</v>
      </c>
      <c r="D60" s="1" t="s">
        <v>15</v>
      </c>
      <c r="E60" s="1" t="s">
        <v>75</v>
      </c>
      <c r="F60" s="1">
        <v>3</v>
      </c>
      <c r="G60" s="1" t="str">
        <f>CONCATENATE(Table1[[#This Row],[Duration_Years]]," ","years")</f>
        <v>3 years</v>
      </c>
      <c r="H60" s="11">
        <v>0</v>
      </c>
      <c r="I60" s="1">
        <v>70.2</v>
      </c>
      <c r="J60" s="11">
        <v>1100</v>
      </c>
      <c r="K60" s="11">
        <v>120</v>
      </c>
      <c r="L60" s="11">
        <v>400</v>
      </c>
      <c r="M60" s="22">
        <v>0.92</v>
      </c>
      <c r="N60" s="3" t="str">
        <f>IF(Table1[[#This Row],[Exchange_Rate]]&lt;5,"Strong Currency", IF(Table1[[#This Row],[Exchange_Rate]]&lt;=1000, "Medium Currency","Weak Currency"))</f>
        <v>Strong Currency</v>
      </c>
      <c r="O60" s="11">
        <f>(Table1[[#This Row],[Living_Cost_Index]]/123.3)*1850</f>
        <v>1053.2846715328469</v>
      </c>
      <c r="P60" s="11">
        <f>Table1[[#This Row],[Monthly_Estimated_Living_cost]]*12</f>
        <v>12639.416058394163</v>
      </c>
      <c r="Q60" s="13">
        <f>Table1[[#This Row],[Tuition_USD]]+Table1[[#This Row],[Rent_USD]]+Table1[[#This Row],[Insurance_USD]]+Table1[[#This Row],[Visa_Fee_USD]]+Table1[[#This Row],[Annual_Estimated_Living_cost]]</f>
        <v>14259.416058394163</v>
      </c>
    </row>
    <row r="61" spans="1:17" x14ac:dyDescent="0.25">
      <c r="A61" s="2" t="s">
        <v>195</v>
      </c>
      <c r="B61" s="1" t="s">
        <v>196</v>
      </c>
      <c r="C61" s="1" t="s">
        <v>197</v>
      </c>
      <c r="D61" s="1" t="s">
        <v>198</v>
      </c>
      <c r="E61" s="1" t="s">
        <v>75</v>
      </c>
      <c r="F61" s="1">
        <v>3</v>
      </c>
      <c r="G61" s="1" t="str">
        <f>CONCATENATE(Table1[[#This Row],[Duration_Years]]," ","years")</f>
        <v>3 years</v>
      </c>
      <c r="H61" s="11">
        <v>0</v>
      </c>
      <c r="I61" s="1">
        <v>75.599999999999994</v>
      </c>
      <c r="J61" s="11">
        <v>1400</v>
      </c>
      <c r="K61" s="11">
        <v>135</v>
      </c>
      <c r="L61" s="11">
        <v>450</v>
      </c>
      <c r="M61" s="22">
        <v>10.45</v>
      </c>
      <c r="N61" s="3" t="str">
        <f>IF(Table1[[#This Row],[Exchange_Rate]]&lt;5,"Strong Currency", IF(Table1[[#This Row],[Exchange_Rate]]&lt;=1000, "Medium Currency","Weak Currency"))</f>
        <v>Medium Currency</v>
      </c>
      <c r="O61" s="11">
        <f>(Table1[[#This Row],[Living_Cost_Index]]/123.3)*1850</f>
        <v>1134.3065693430656</v>
      </c>
      <c r="P61" s="11">
        <f>Table1[[#This Row],[Monthly_Estimated_Living_cost]]*12</f>
        <v>13611.678832116788</v>
      </c>
      <c r="Q61" s="13">
        <f>Table1[[#This Row],[Tuition_USD]]+Table1[[#This Row],[Rent_USD]]+Table1[[#This Row],[Insurance_USD]]+Table1[[#This Row],[Visa_Fee_USD]]+Table1[[#This Row],[Annual_Estimated_Living_cost]]</f>
        <v>15596.678832116788</v>
      </c>
    </row>
    <row r="62" spans="1:17" x14ac:dyDescent="0.25">
      <c r="A62" s="2" t="s">
        <v>33</v>
      </c>
      <c r="B62" s="1" t="s">
        <v>199</v>
      </c>
      <c r="C62" s="1" t="s">
        <v>200</v>
      </c>
      <c r="D62" s="1" t="s">
        <v>28</v>
      </c>
      <c r="E62" s="1" t="s">
        <v>75</v>
      </c>
      <c r="F62" s="1">
        <v>4</v>
      </c>
      <c r="G62" s="1" t="str">
        <f>CONCATENATE(Table1[[#This Row],[Duration_Years]]," ","years")</f>
        <v>4 years</v>
      </c>
      <c r="H62" s="11">
        <v>6800</v>
      </c>
      <c r="I62" s="1">
        <v>71.2</v>
      </c>
      <c r="J62" s="11">
        <v>900</v>
      </c>
      <c r="K62" s="11">
        <v>220</v>
      </c>
      <c r="L62" s="11">
        <v>750</v>
      </c>
      <c r="M62" s="22">
        <v>145.80000000000001</v>
      </c>
      <c r="N62" s="3" t="str">
        <f>IF(Table1[[#This Row],[Exchange_Rate]]&lt;5,"Strong Currency", IF(Table1[[#This Row],[Exchange_Rate]]&lt;=1000, "Medium Currency","Weak Currency"))</f>
        <v>Medium Currency</v>
      </c>
      <c r="O62" s="11">
        <f>(Table1[[#This Row],[Living_Cost_Index]]/123.3)*1850</f>
        <v>1068.2887266828873</v>
      </c>
      <c r="P62" s="11">
        <f>Table1[[#This Row],[Monthly_Estimated_Living_cost]]*12</f>
        <v>12819.464720194646</v>
      </c>
      <c r="Q62" s="13">
        <f>Table1[[#This Row],[Tuition_USD]]+Table1[[#This Row],[Rent_USD]]+Table1[[#This Row],[Insurance_USD]]+Table1[[#This Row],[Visa_Fee_USD]]+Table1[[#This Row],[Annual_Estimated_Living_cost]]</f>
        <v>21489.464720194646</v>
      </c>
    </row>
    <row r="63" spans="1:17" x14ac:dyDescent="0.25">
      <c r="A63" s="2" t="s">
        <v>33</v>
      </c>
      <c r="B63" s="1" t="s">
        <v>201</v>
      </c>
      <c r="C63" s="1" t="s">
        <v>202</v>
      </c>
      <c r="D63" s="1" t="s">
        <v>15</v>
      </c>
      <c r="E63" s="1" t="s">
        <v>16</v>
      </c>
      <c r="F63" s="1">
        <v>2</v>
      </c>
      <c r="G63" s="1" t="str">
        <f>CONCATENATE(Table1[[#This Row],[Duration_Years]]," ","years")</f>
        <v>2 years</v>
      </c>
      <c r="H63" s="11">
        <v>8500</v>
      </c>
      <c r="I63" s="1">
        <v>71.8</v>
      </c>
      <c r="J63" s="11">
        <v>900</v>
      </c>
      <c r="K63" s="11">
        <v>220</v>
      </c>
      <c r="L63" s="11">
        <v>750</v>
      </c>
      <c r="M63" s="22">
        <v>145.80000000000001</v>
      </c>
      <c r="N63" s="3" t="str">
        <f>IF(Table1[[#This Row],[Exchange_Rate]]&lt;5,"Strong Currency", IF(Table1[[#This Row],[Exchange_Rate]]&lt;=1000, "Medium Currency","Weak Currency"))</f>
        <v>Medium Currency</v>
      </c>
      <c r="O63" s="11">
        <f>(Table1[[#This Row],[Living_Cost_Index]]/123.3)*1850</f>
        <v>1077.2911597729117</v>
      </c>
      <c r="P63" s="11">
        <f>Table1[[#This Row],[Monthly_Estimated_Living_cost]]*12</f>
        <v>12927.49391727494</v>
      </c>
      <c r="Q63" s="13">
        <f>Table1[[#This Row],[Tuition_USD]]+Table1[[#This Row],[Rent_USD]]+Table1[[#This Row],[Insurance_USD]]+Table1[[#This Row],[Visa_Fee_USD]]+Table1[[#This Row],[Annual_Estimated_Living_cost]]</f>
        <v>23297.49391727494</v>
      </c>
    </row>
    <row r="64" spans="1:17" x14ac:dyDescent="0.25">
      <c r="A64" s="2" t="s">
        <v>33</v>
      </c>
      <c r="B64" s="1" t="s">
        <v>203</v>
      </c>
      <c r="C64" s="1" t="s">
        <v>204</v>
      </c>
      <c r="D64" s="1" t="s">
        <v>36</v>
      </c>
      <c r="E64" s="1" t="s">
        <v>75</v>
      </c>
      <c r="F64" s="1">
        <v>4</v>
      </c>
      <c r="G64" s="1" t="str">
        <f>CONCATENATE(Table1[[#This Row],[Duration_Years]]," ","years")</f>
        <v>4 years</v>
      </c>
      <c r="H64" s="11">
        <v>7800</v>
      </c>
      <c r="I64" s="1">
        <v>68.5</v>
      </c>
      <c r="J64" s="11">
        <v>750</v>
      </c>
      <c r="K64" s="11">
        <v>220</v>
      </c>
      <c r="L64" s="11">
        <v>750</v>
      </c>
      <c r="M64" s="22">
        <v>145.80000000000001</v>
      </c>
      <c r="N64" s="3" t="str">
        <f>IF(Table1[[#This Row],[Exchange_Rate]]&lt;5,"Strong Currency", IF(Table1[[#This Row],[Exchange_Rate]]&lt;=1000, "Medium Currency","Weak Currency"))</f>
        <v>Medium Currency</v>
      </c>
      <c r="O64" s="11">
        <f>(Table1[[#This Row],[Living_Cost_Index]]/123.3)*1850</f>
        <v>1027.7777777777778</v>
      </c>
      <c r="P64" s="11">
        <f>Table1[[#This Row],[Monthly_Estimated_Living_cost]]*12</f>
        <v>12333.333333333334</v>
      </c>
      <c r="Q64" s="13">
        <f>Table1[[#This Row],[Tuition_USD]]+Table1[[#This Row],[Rent_USD]]+Table1[[#This Row],[Insurance_USD]]+Table1[[#This Row],[Visa_Fee_USD]]+Table1[[#This Row],[Annual_Estimated_Living_cost]]</f>
        <v>21853.333333333336</v>
      </c>
    </row>
    <row r="65" spans="1:17" x14ac:dyDescent="0.25">
      <c r="A65" s="2" t="s">
        <v>33</v>
      </c>
      <c r="B65" s="1" t="s">
        <v>205</v>
      </c>
      <c r="C65" s="1" t="s">
        <v>206</v>
      </c>
      <c r="D65" s="1" t="s">
        <v>207</v>
      </c>
      <c r="E65" s="1" t="s">
        <v>16</v>
      </c>
      <c r="F65" s="1">
        <v>2</v>
      </c>
      <c r="G65" s="1" t="str">
        <f>CONCATENATE(Table1[[#This Row],[Duration_Years]]," ","years")</f>
        <v>2 years</v>
      </c>
      <c r="H65" s="11">
        <v>8200</v>
      </c>
      <c r="I65" s="1">
        <v>65.400000000000006</v>
      </c>
      <c r="J65" s="11">
        <v>650</v>
      </c>
      <c r="K65" s="11">
        <v>220</v>
      </c>
      <c r="L65" s="11">
        <v>750</v>
      </c>
      <c r="M65" s="22">
        <v>145.80000000000001</v>
      </c>
      <c r="N65" s="3" t="str">
        <f>IF(Table1[[#This Row],[Exchange_Rate]]&lt;5,"Strong Currency", IF(Table1[[#This Row],[Exchange_Rate]]&lt;=1000, "Medium Currency","Weak Currency"))</f>
        <v>Medium Currency</v>
      </c>
      <c r="O65" s="11">
        <f>(Table1[[#This Row],[Living_Cost_Index]]/123.3)*1850</f>
        <v>981.26520681265208</v>
      </c>
      <c r="P65" s="11">
        <f>Table1[[#This Row],[Monthly_Estimated_Living_cost]]*12</f>
        <v>11775.182481751825</v>
      </c>
      <c r="Q65" s="13">
        <f>Table1[[#This Row],[Tuition_USD]]+Table1[[#This Row],[Rent_USD]]+Table1[[#This Row],[Insurance_USD]]+Table1[[#This Row],[Visa_Fee_USD]]+Table1[[#This Row],[Annual_Estimated_Living_cost]]</f>
        <v>21595.182481751825</v>
      </c>
    </row>
    <row r="66" spans="1:17" x14ac:dyDescent="0.25">
      <c r="A66" s="2" t="s">
        <v>33</v>
      </c>
      <c r="B66" s="1" t="s">
        <v>208</v>
      </c>
      <c r="C66" s="1" t="s">
        <v>209</v>
      </c>
      <c r="D66" s="1" t="s">
        <v>63</v>
      </c>
      <c r="E66" s="1" t="s">
        <v>75</v>
      </c>
      <c r="F66" s="1">
        <v>4</v>
      </c>
      <c r="G66" s="1" t="str">
        <f>CONCATENATE(Table1[[#This Row],[Duration_Years]]," ","years")</f>
        <v>4 years</v>
      </c>
      <c r="H66" s="11">
        <v>7500</v>
      </c>
      <c r="I66" s="1">
        <v>64.8</v>
      </c>
      <c r="J66" s="11">
        <v>600</v>
      </c>
      <c r="K66" s="11">
        <v>220</v>
      </c>
      <c r="L66" s="11">
        <v>750</v>
      </c>
      <c r="M66" s="22">
        <v>145.80000000000001</v>
      </c>
      <c r="N66" s="3" t="str">
        <f>IF(Table1[[#This Row],[Exchange_Rate]]&lt;5,"Strong Currency", IF(Table1[[#This Row],[Exchange_Rate]]&lt;=1000, "Medium Currency","Weak Currency"))</f>
        <v>Medium Currency</v>
      </c>
      <c r="O66" s="11">
        <f>(Table1[[#This Row],[Living_Cost_Index]]/123.3)*1850</f>
        <v>972.2627737226278</v>
      </c>
      <c r="P66" s="11">
        <f>Table1[[#This Row],[Monthly_Estimated_Living_cost]]*12</f>
        <v>11667.153284671534</v>
      </c>
      <c r="Q66" s="13">
        <f>Table1[[#This Row],[Tuition_USD]]+Table1[[#This Row],[Rent_USD]]+Table1[[#This Row],[Insurance_USD]]+Table1[[#This Row],[Visa_Fee_USD]]+Table1[[#This Row],[Annual_Estimated_Living_cost]]</f>
        <v>20737.153284671534</v>
      </c>
    </row>
    <row r="67" spans="1:17" x14ac:dyDescent="0.25">
      <c r="A67" s="2" t="s">
        <v>33</v>
      </c>
      <c r="B67" s="1" t="s">
        <v>210</v>
      </c>
      <c r="C67" s="1" t="s">
        <v>211</v>
      </c>
      <c r="D67" s="1" t="s">
        <v>20</v>
      </c>
      <c r="E67" s="1" t="s">
        <v>16</v>
      </c>
      <c r="F67" s="1">
        <v>2</v>
      </c>
      <c r="G67" s="1" t="str">
        <f>CONCATENATE(Table1[[#This Row],[Duration_Years]]," ","years")</f>
        <v>2 years</v>
      </c>
      <c r="H67" s="11">
        <v>8100</v>
      </c>
      <c r="I67" s="1">
        <v>63.5</v>
      </c>
      <c r="J67" s="11">
        <v>550</v>
      </c>
      <c r="K67" s="11">
        <v>220</v>
      </c>
      <c r="L67" s="11">
        <v>750</v>
      </c>
      <c r="M67" s="22">
        <v>145.80000000000001</v>
      </c>
      <c r="N67" s="3" t="str">
        <f>IF(Table1[[#This Row],[Exchange_Rate]]&lt;5,"Strong Currency", IF(Table1[[#This Row],[Exchange_Rate]]&lt;=1000, "Medium Currency","Weak Currency"))</f>
        <v>Medium Currency</v>
      </c>
      <c r="O67" s="11">
        <f>(Table1[[#This Row],[Living_Cost_Index]]/123.3)*1850</f>
        <v>952.75750202757501</v>
      </c>
      <c r="P67" s="11">
        <f>Table1[[#This Row],[Monthly_Estimated_Living_cost]]*12</f>
        <v>11433.090024330901</v>
      </c>
      <c r="Q67" s="13">
        <f>Table1[[#This Row],[Tuition_USD]]+Table1[[#This Row],[Rent_USD]]+Table1[[#This Row],[Insurance_USD]]+Table1[[#This Row],[Visa_Fee_USD]]+Table1[[#This Row],[Annual_Estimated_Living_cost]]</f>
        <v>21053.090024330901</v>
      </c>
    </row>
    <row r="68" spans="1:17" x14ac:dyDescent="0.25">
      <c r="A68" s="2" t="s">
        <v>33</v>
      </c>
      <c r="B68" s="1" t="s">
        <v>34</v>
      </c>
      <c r="C68" s="1" t="s">
        <v>212</v>
      </c>
      <c r="D68" s="1" t="s">
        <v>40</v>
      </c>
      <c r="E68" s="1" t="s">
        <v>1353</v>
      </c>
      <c r="F68" s="1">
        <v>3</v>
      </c>
      <c r="G68" s="1" t="str">
        <f>CONCATENATE(Table1[[#This Row],[Duration_Years]]," ","years")</f>
        <v>3 years</v>
      </c>
      <c r="H68" s="11">
        <v>8900</v>
      </c>
      <c r="I68" s="1">
        <v>76.400000000000006</v>
      </c>
      <c r="J68" s="11">
        <v>1100</v>
      </c>
      <c r="K68" s="11">
        <v>220</v>
      </c>
      <c r="L68" s="11">
        <v>750</v>
      </c>
      <c r="M68" s="22">
        <v>145.80000000000001</v>
      </c>
      <c r="N68" s="3" t="str">
        <f>IF(Table1[[#This Row],[Exchange_Rate]]&lt;5,"Strong Currency", IF(Table1[[#This Row],[Exchange_Rate]]&lt;=1000, "Medium Currency","Weak Currency"))</f>
        <v>Medium Currency</v>
      </c>
      <c r="O68" s="11">
        <f>(Table1[[#This Row],[Living_Cost_Index]]/123.3)*1850</f>
        <v>1146.3098134630984</v>
      </c>
      <c r="P68" s="11">
        <f>Table1[[#This Row],[Monthly_Estimated_Living_cost]]*12</f>
        <v>13755.717761557182</v>
      </c>
      <c r="Q68" s="13">
        <f>Table1[[#This Row],[Tuition_USD]]+Table1[[#This Row],[Rent_USD]]+Table1[[#This Row],[Insurance_USD]]+Table1[[#This Row],[Visa_Fee_USD]]+Table1[[#This Row],[Annual_Estimated_Living_cost]]</f>
        <v>24725.717761557182</v>
      </c>
    </row>
    <row r="69" spans="1:17" x14ac:dyDescent="0.25">
      <c r="A69" s="2" t="s">
        <v>33</v>
      </c>
      <c r="B69" s="1" t="s">
        <v>213</v>
      </c>
      <c r="C69" s="1" t="s">
        <v>214</v>
      </c>
      <c r="D69" s="1" t="s">
        <v>215</v>
      </c>
      <c r="E69" s="1" t="s">
        <v>75</v>
      </c>
      <c r="F69" s="1">
        <v>4</v>
      </c>
      <c r="G69" s="1" t="str">
        <f>CONCATENATE(Table1[[#This Row],[Duration_Years]]," ","years")</f>
        <v>4 years</v>
      </c>
      <c r="H69" s="11">
        <v>7200</v>
      </c>
      <c r="I69" s="1">
        <v>64.2</v>
      </c>
      <c r="J69" s="11">
        <v>600</v>
      </c>
      <c r="K69" s="11">
        <v>220</v>
      </c>
      <c r="L69" s="11">
        <v>750</v>
      </c>
      <c r="M69" s="22">
        <v>145.80000000000001</v>
      </c>
      <c r="N69" s="3" t="str">
        <f>IF(Table1[[#This Row],[Exchange_Rate]]&lt;5,"Strong Currency", IF(Table1[[#This Row],[Exchange_Rate]]&lt;=1000, "Medium Currency","Weak Currency"))</f>
        <v>Medium Currency</v>
      </c>
      <c r="O69" s="11">
        <f>(Table1[[#This Row],[Living_Cost_Index]]/123.3)*1850</f>
        <v>963.26034063260352</v>
      </c>
      <c r="P69" s="11">
        <f>Table1[[#This Row],[Monthly_Estimated_Living_cost]]*12</f>
        <v>11559.124087591243</v>
      </c>
      <c r="Q69" s="13">
        <f>Table1[[#This Row],[Tuition_USD]]+Table1[[#This Row],[Rent_USD]]+Table1[[#This Row],[Insurance_USD]]+Table1[[#This Row],[Visa_Fee_USD]]+Table1[[#This Row],[Annual_Estimated_Living_cost]]</f>
        <v>20329.124087591241</v>
      </c>
    </row>
    <row r="70" spans="1:17" x14ac:dyDescent="0.25">
      <c r="A70" s="2" t="s">
        <v>33</v>
      </c>
      <c r="B70" s="1" t="s">
        <v>216</v>
      </c>
      <c r="C70" s="1" t="s">
        <v>217</v>
      </c>
      <c r="D70" s="1" t="s">
        <v>15</v>
      </c>
      <c r="E70" s="1" t="s">
        <v>16</v>
      </c>
      <c r="F70" s="1">
        <v>2</v>
      </c>
      <c r="G70" s="1" t="str">
        <f>CONCATENATE(Table1[[#This Row],[Duration_Years]]," ","years")</f>
        <v>2 years</v>
      </c>
      <c r="H70" s="11">
        <v>7900</v>
      </c>
      <c r="I70" s="1">
        <v>67.8</v>
      </c>
      <c r="J70" s="11">
        <v>700</v>
      </c>
      <c r="K70" s="11">
        <v>220</v>
      </c>
      <c r="L70" s="11">
        <v>750</v>
      </c>
      <c r="M70" s="22">
        <v>145.80000000000001</v>
      </c>
      <c r="N70" s="3" t="str">
        <f>IF(Table1[[#This Row],[Exchange_Rate]]&lt;5,"Strong Currency", IF(Table1[[#This Row],[Exchange_Rate]]&lt;=1000, "Medium Currency","Weak Currency"))</f>
        <v>Medium Currency</v>
      </c>
      <c r="O70" s="11">
        <f>(Table1[[#This Row],[Living_Cost_Index]]/123.3)*1850</f>
        <v>1017.2749391727493</v>
      </c>
      <c r="P70" s="11">
        <f>Table1[[#This Row],[Monthly_Estimated_Living_cost]]*12</f>
        <v>12207.299270072992</v>
      </c>
      <c r="Q70" s="13">
        <f>Table1[[#This Row],[Tuition_USD]]+Table1[[#This Row],[Rent_USD]]+Table1[[#This Row],[Insurance_USD]]+Table1[[#This Row],[Visa_Fee_USD]]+Table1[[#This Row],[Annual_Estimated_Living_cost]]</f>
        <v>21777.299270072992</v>
      </c>
    </row>
    <row r="71" spans="1:17" x14ac:dyDescent="0.25">
      <c r="A71" s="2" t="s">
        <v>33</v>
      </c>
      <c r="B71" s="1" t="s">
        <v>218</v>
      </c>
      <c r="C71" s="1" t="s">
        <v>219</v>
      </c>
      <c r="D71" s="1" t="s">
        <v>207</v>
      </c>
      <c r="E71" s="1" t="s">
        <v>75</v>
      </c>
      <c r="F71" s="1">
        <v>4</v>
      </c>
      <c r="G71" s="1" t="str">
        <f>CONCATENATE(Table1[[#This Row],[Duration_Years]]," ","years")</f>
        <v>4 years</v>
      </c>
      <c r="H71" s="11">
        <v>7100</v>
      </c>
      <c r="I71" s="1">
        <v>62.5</v>
      </c>
      <c r="J71" s="11">
        <v>500</v>
      </c>
      <c r="K71" s="11">
        <v>220</v>
      </c>
      <c r="L71" s="11">
        <v>750</v>
      </c>
      <c r="M71" s="22">
        <v>145.80000000000001</v>
      </c>
      <c r="N71" s="3" t="str">
        <f>IF(Table1[[#This Row],[Exchange_Rate]]&lt;5,"Strong Currency", IF(Table1[[#This Row],[Exchange_Rate]]&lt;=1000, "Medium Currency","Weak Currency"))</f>
        <v>Medium Currency</v>
      </c>
      <c r="O71" s="11">
        <f>(Table1[[#This Row],[Living_Cost_Index]]/123.3)*1850</f>
        <v>937.75344687753443</v>
      </c>
      <c r="P71" s="11">
        <f>Table1[[#This Row],[Monthly_Estimated_Living_cost]]*12</f>
        <v>11253.041362530414</v>
      </c>
      <c r="Q71" s="13">
        <f>Table1[[#This Row],[Tuition_USD]]+Table1[[#This Row],[Rent_USD]]+Table1[[#This Row],[Insurance_USD]]+Table1[[#This Row],[Visa_Fee_USD]]+Table1[[#This Row],[Annual_Estimated_Living_cost]]</f>
        <v>19823.041362530414</v>
      </c>
    </row>
    <row r="72" spans="1:17" x14ac:dyDescent="0.25">
      <c r="A72" s="2" t="s">
        <v>33</v>
      </c>
      <c r="B72" s="1" t="s">
        <v>220</v>
      </c>
      <c r="C72" s="1" t="s">
        <v>221</v>
      </c>
      <c r="D72" s="1" t="s">
        <v>222</v>
      </c>
      <c r="E72" s="1" t="s">
        <v>16</v>
      </c>
      <c r="F72" s="1">
        <v>2</v>
      </c>
      <c r="G72" s="1" t="str">
        <f>CONCATENATE(Table1[[#This Row],[Duration_Years]]," ","years")</f>
        <v>2 years</v>
      </c>
      <c r="H72" s="11">
        <v>7600</v>
      </c>
      <c r="I72" s="1">
        <v>63.8</v>
      </c>
      <c r="J72" s="11">
        <v>550</v>
      </c>
      <c r="K72" s="11">
        <v>220</v>
      </c>
      <c r="L72" s="11">
        <v>750</v>
      </c>
      <c r="M72" s="22">
        <v>145.80000000000001</v>
      </c>
      <c r="N72" s="3" t="str">
        <f>IF(Table1[[#This Row],[Exchange_Rate]]&lt;5,"Strong Currency", IF(Table1[[#This Row],[Exchange_Rate]]&lt;=1000, "Medium Currency","Weak Currency"))</f>
        <v>Medium Currency</v>
      </c>
      <c r="O72" s="11">
        <f>(Table1[[#This Row],[Living_Cost_Index]]/123.3)*1850</f>
        <v>957.25871857258721</v>
      </c>
      <c r="P72" s="11">
        <f>Table1[[#This Row],[Monthly_Estimated_Living_cost]]*12</f>
        <v>11487.104622871047</v>
      </c>
      <c r="Q72" s="13">
        <f>Table1[[#This Row],[Tuition_USD]]+Table1[[#This Row],[Rent_USD]]+Table1[[#This Row],[Insurance_USD]]+Table1[[#This Row],[Visa_Fee_USD]]+Table1[[#This Row],[Annual_Estimated_Living_cost]]</f>
        <v>20607.104622871047</v>
      </c>
    </row>
    <row r="73" spans="1:17" x14ac:dyDescent="0.25">
      <c r="A73" s="2" t="s">
        <v>25</v>
      </c>
      <c r="B73" s="1" t="s">
        <v>223</v>
      </c>
      <c r="C73" s="1" t="s">
        <v>224</v>
      </c>
      <c r="D73" s="1" t="s">
        <v>15</v>
      </c>
      <c r="E73" s="1" t="s">
        <v>75</v>
      </c>
      <c r="F73" s="1">
        <v>3</v>
      </c>
      <c r="G73" s="1" t="str">
        <f>CONCATENATE(Table1[[#This Row],[Duration_Years]]," ","years")</f>
        <v>3 years</v>
      </c>
      <c r="H73" s="11">
        <v>32800</v>
      </c>
      <c r="I73" s="1">
        <v>68.5</v>
      </c>
      <c r="J73" s="11">
        <v>1100</v>
      </c>
      <c r="K73" s="11">
        <v>450</v>
      </c>
      <c r="L73" s="11">
        <v>650</v>
      </c>
      <c r="M73" s="22">
        <v>1.52</v>
      </c>
      <c r="N73" s="3" t="str">
        <f>IF(Table1[[#This Row],[Exchange_Rate]]&lt;5,"Strong Currency", IF(Table1[[#This Row],[Exchange_Rate]]&lt;=1000, "Medium Currency","Weak Currency"))</f>
        <v>Strong Currency</v>
      </c>
      <c r="O73" s="11">
        <f>(Table1[[#This Row],[Living_Cost_Index]]/123.3)*1850</f>
        <v>1027.7777777777778</v>
      </c>
      <c r="P73" s="11">
        <f>Table1[[#This Row],[Monthly_Estimated_Living_cost]]*12</f>
        <v>12333.333333333334</v>
      </c>
      <c r="Q73" s="13">
        <f>Table1[[#This Row],[Tuition_USD]]+Table1[[#This Row],[Rent_USD]]+Table1[[#This Row],[Insurance_USD]]+Table1[[#This Row],[Visa_Fee_USD]]+Table1[[#This Row],[Annual_Estimated_Living_cost]]</f>
        <v>47333.333333333336</v>
      </c>
    </row>
    <row r="74" spans="1:17" x14ac:dyDescent="0.25">
      <c r="A74" s="2" t="s">
        <v>25</v>
      </c>
      <c r="B74" s="1" t="s">
        <v>225</v>
      </c>
      <c r="C74" s="1" t="s">
        <v>226</v>
      </c>
      <c r="D74" s="1" t="s">
        <v>207</v>
      </c>
      <c r="E74" s="1" t="s">
        <v>16</v>
      </c>
      <c r="F74" s="1">
        <v>2</v>
      </c>
      <c r="G74" s="1" t="str">
        <f>CONCATENATE(Table1[[#This Row],[Duration_Years]]," ","years")</f>
        <v>2 years</v>
      </c>
      <c r="H74" s="11">
        <v>34500</v>
      </c>
      <c r="I74" s="1">
        <v>69.8</v>
      </c>
      <c r="J74" s="11">
        <v>1200</v>
      </c>
      <c r="K74" s="11">
        <v>450</v>
      </c>
      <c r="L74" s="11">
        <v>650</v>
      </c>
      <c r="M74" s="22">
        <v>1.52</v>
      </c>
      <c r="N74" s="3" t="str">
        <f>IF(Table1[[#This Row],[Exchange_Rate]]&lt;5,"Strong Currency", IF(Table1[[#This Row],[Exchange_Rate]]&lt;=1000, "Medium Currency","Weak Currency"))</f>
        <v>Strong Currency</v>
      </c>
      <c r="O74" s="11">
        <f>(Table1[[#This Row],[Living_Cost_Index]]/123.3)*1850</f>
        <v>1047.2830494728303</v>
      </c>
      <c r="P74" s="11">
        <f>Table1[[#This Row],[Monthly_Estimated_Living_cost]]*12</f>
        <v>12567.396593673962</v>
      </c>
      <c r="Q74" s="13">
        <f>Table1[[#This Row],[Tuition_USD]]+Table1[[#This Row],[Rent_USD]]+Table1[[#This Row],[Insurance_USD]]+Table1[[#This Row],[Visa_Fee_USD]]+Table1[[#This Row],[Annual_Estimated_Living_cost]]</f>
        <v>49367.396593673962</v>
      </c>
    </row>
    <row r="75" spans="1:17" x14ac:dyDescent="0.25">
      <c r="A75" s="2" t="s">
        <v>25</v>
      </c>
      <c r="B75" s="1" t="s">
        <v>227</v>
      </c>
      <c r="C75" s="1" t="s">
        <v>228</v>
      </c>
      <c r="D75" s="1" t="s">
        <v>222</v>
      </c>
      <c r="E75" s="1" t="s">
        <v>75</v>
      </c>
      <c r="F75" s="1">
        <v>3</v>
      </c>
      <c r="G75" s="1" t="str">
        <f>CONCATENATE(Table1[[#This Row],[Duration_Years]]," ","years")</f>
        <v>3 years</v>
      </c>
      <c r="H75" s="11">
        <v>31200</v>
      </c>
      <c r="I75" s="1">
        <v>67.5</v>
      </c>
      <c r="J75" s="11">
        <v>1100</v>
      </c>
      <c r="K75" s="11">
        <v>450</v>
      </c>
      <c r="L75" s="11">
        <v>650</v>
      </c>
      <c r="M75" s="22">
        <v>1.52</v>
      </c>
      <c r="N75" s="3" t="str">
        <f>IF(Table1[[#This Row],[Exchange_Rate]]&lt;5,"Strong Currency", IF(Table1[[#This Row],[Exchange_Rate]]&lt;=1000, "Medium Currency","Weak Currency"))</f>
        <v>Strong Currency</v>
      </c>
      <c r="O75" s="11">
        <f>(Table1[[#This Row],[Living_Cost_Index]]/123.3)*1850</f>
        <v>1012.7737226277372</v>
      </c>
      <c r="P75" s="11">
        <f>Table1[[#This Row],[Monthly_Estimated_Living_cost]]*12</f>
        <v>12153.284671532847</v>
      </c>
      <c r="Q75" s="13">
        <f>Table1[[#This Row],[Tuition_USD]]+Table1[[#This Row],[Rent_USD]]+Table1[[#This Row],[Insurance_USD]]+Table1[[#This Row],[Visa_Fee_USD]]+Table1[[#This Row],[Annual_Estimated_Living_cost]]</f>
        <v>45553.284671532849</v>
      </c>
    </row>
    <row r="76" spans="1:17" x14ac:dyDescent="0.25">
      <c r="A76" s="2" t="s">
        <v>25</v>
      </c>
      <c r="B76" s="1" t="s">
        <v>229</v>
      </c>
      <c r="C76" s="1" t="s">
        <v>230</v>
      </c>
      <c r="D76" s="1" t="s">
        <v>20</v>
      </c>
      <c r="E76" s="1" t="s">
        <v>16</v>
      </c>
      <c r="F76" s="1">
        <v>2</v>
      </c>
      <c r="G76" s="1" t="str">
        <f>CONCATENATE(Table1[[#This Row],[Duration_Years]]," ","years")</f>
        <v>2 years</v>
      </c>
      <c r="H76" s="11">
        <v>30800</v>
      </c>
      <c r="I76" s="1">
        <v>65.400000000000006</v>
      </c>
      <c r="J76" s="11">
        <v>950</v>
      </c>
      <c r="K76" s="11">
        <v>450</v>
      </c>
      <c r="L76" s="11">
        <v>650</v>
      </c>
      <c r="M76" s="22">
        <v>1.52</v>
      </c>
      <c r="N76" s="3" t="str">
        <f>IF(Table1[[#This Row],[Exchange_Rate]]&lt;5,"Strong Currency", IF(Table1[[#This Row],[Exchange_Rate]]&lt;=1000, "Medium Currency","Weak Currency"))</f>
        <v>Strong Currency</v>
      </c>
      <c r="O76" s="11">
        <f>(Table1[[#This Row],[Living_Cost_Index]]/123.3)*1850</f>
        <v>981.26520681265208</v>
      </c>
      <c r="P76" s="11">
        <f>Table1[[#This Row],[Monthly_Estimated_Living_cost]]*12</f>
        <v>11775.182481751825</v>
      </c>
      <c r="Q76" s="13">
        <f>Table1[[#This Row],[Tuition_USD]]+Table1[[#This Row],[Rent_USD]]+Table1[[#This Row],[Insurance_USD]]+Table1[[#This Row],[Visa_Fee_USD]]+Table1[[#This Row],[Annual_Estimated_Living_cost]]</f>
        <v>44625.182481751821</v>
      </c>
    </row>
    <row r="77" spans="1:17" x14ac:dyDescent="0.25">
      <c r="A77" s="2" t="s">
        <v>25</v>
      </c>
      <c r="B77" s="1" t="s">
        <v>231</v>
      </c>
      <c r="C77" s="1" t="s">
        <v>232</v>
      </c>
      <c r="D77" s="1" t="s">
        <v>63</v>
      </c>
      <c r="E77" s="1" t="s">
        <v>75</v>
      </c>
      <c r="F77" s="1">
        <v>4</v>
      </c>
      <c r="G77" s="1" t="str">
        <f>CONCATENATE(Table1[[#This Row],[Duration_Years]]," ","years")</f>
        <v>4 years</v>
      </c>
      <c r="H77" s="11">
        <v>31500</v>
      </c>
      <c r="I77" s="1">
        <v>66.8</v>
      </c>
      <c r="J77" s="11">
        <v>1000</v>
      </c>
      <c r="K77" s="11">
        <v>450</v>
      </c>
      <c r="L77" s="11">
        <v>650</v>
      </c>
      <c r="M77" s="22">
        <v>1.52</v>
      </c>
      <c r="N77" s="3" t="str">
        <f>IF(Table1[[#This Row],[Exchange_Rate]]&lt;5,"Strong Currency", IF(Table1[[#This Row],[Exchange_Rate]]&lt;=1000, "Medium Currency","Weak Currency"))</f>
        <v>Strong Currency</v>
      </c>
      <c r="O77" s="11">
        <f>(Table1[[#This Row],[Living_Cost_Index]]/123.3)*1850</f>
        <v>1002.2708840227087</v>
      </c>
      <c r="P77" s="11">
        <f>Table1[[#This Row],[Monthly_Estimated_Living_cost]]*12</f>
        <v>12027.250608272505</v>
      </c>
      <c r="Q77" s="13">
        <f>Table1[[#This Row],[Tuition_USD]]+Table1[[#This Row],[Rent_USD]]+Table1[[#This Row],[Insurance_USD]]+Table1[[#This Row],[Visa_Fee_USD]]+Table1[[#This Row],[Annual_Estimated_Living_cost]]</f>
        <v>45627.250608272501</v>
      </c>
    </row>
    <row r="78" spans="1:17" x14ac:dyDescent="0.25">
      <c r="A78" s="2" t="s">
        <v>25</v>
      </c>
      <c r="B78" s="1" t="s">
        <v>233</v>
      </c>
      <c r="C78" s="1" t="s">
        <v>234</v>
      </c>
      <c r="D78" s="1" t="s">
        <v>40</v>
      </c>
      <c r="E78" s="1" t="s">
        <v>16</v>
      </c>
      <c r="F78" s="1">
        <v>2</v>
      </c>
      <c r="G78" s="1" t="str">
        <f>CONCATENATE(Table1[[#This Row],[Duration_Years]]," ","years")</f>
        <v>2 years</v>
      </c>
      <c r="H78" s="11">
        <v>32900</v>
      </c>
      <c r="I78" s="1">
        <v>67.2</v>
      </c>
      <c r="J78" s="11">
        <v>1050</v>
      </c>
      <c r="K78" s="11">
        <v>450</v>
      </c>
      <c r="L78" s="11">
        <v>650</v>
      </c>
      <c r="M78" s="22">
        <v>1.52</v>
      </c>
      <c r="N78" s="3" t="str">
        <f>IF(Table1[[#This Row],[Exchange_Rate]]&lt;5,"Strong Currency", IF(Table1[[#This Row],[Exchange_Rate]]&lt;=1000, "Medium Currency","Weak Currency"))</f>
        <v>Strong Currency</v>
      </c>
      <c r="O78" s="11">
        <f>(Table1[[#This Row],[Living_Cost_Index]]/123.3)*1850</f>
        <v>1008.272506082725</v>
      </c>
      <c r="P78" s="11">
        <f>Table1[[#This Row],[Monthly_Estimated_Living_cost]]*12</f>
        <v>12099.2700729927</v>
      </c>
      <c r="Q78" s="13">
        <f>Table1[[#This Row],[Tuition_USD]]+Table1[[#This Row],[Rent_USD]]+Table1[[#This Row],[Insurance_USD]]+Table1[[#This Row],[Visa_Fee_USD]]+Table1[[#This Row],[Annual_Estimated_Living_cost]]</f>
        <v>47149.270072992702</v>
      </c>
    </row>
    <row r="79" spans="1:17" x14ac:dyDescent="0.25">
      <c r="A79" s="2" t="s">
        <v>25</v>
      </c>
      <c r="B79" s="1" t="s">
        <v>235</v>
      </c>
      <c r="C79" s="1" t="s">
        <v>236</v>
      </c>
      <c r="D79" s="1" t="s">
        <v>215</v>
      </c>
      <c r="E79" s="1" t="s">
        <v>75</v>
      </c>
      <c r="F79" s="1">
        <v>3</v>
      </c>
      <c r="G79" s="1" t="str">
        <f>CONCATENATE(Table1[[#This Row],[Duration_Years]]," ","years")</f>
        <v>3 years</v>
      </c>
      <c r="H79" s="11">
        <v>29800</v>
      </c>
      <c r="I79" s="1">
        <v>64.5</v>
      </c>
      <c r="J79" s="11">
        <v>900</v>
      </c>
      <c r="K79" s="11">
        <v>450</v>
      </c>
      <c r="L79" s="11">
        <v>650</v>
      </c>
      <c r="M79" s="22">
        <v>1.52</v>
      </c>
      <c r="N79" s="3" t="str">
        <f>IF(Table1[[#This Row],[Exchange_Rate]]&lt;5,"Strong Currency", IF(Table1[[#This Row],[Exchange_Rate]]&lt;=1000, "Medium Currency","Weak Currency"))</f>
        <v>Strong Currency</v>
      </c>
      <c r="O79" s="11">
        <f>(Table1[[#This Row],[Living_Cost_Index]]/123.3)*1850</f>
        <v>967.7615571776156</v>
      </c>
      <c r="P79" s="11">
        <f>Table1[[#This Row],[Monthly_Estimated_Living_cost]]*12</f>
        <v>11613.138686131388</v>
      </c>
      <c r="Q79" s="13">
        <f>Table1[[#This Row],[Tuition_USD]]+Table1[[#This Row],[Rent_USD]]+Table1[[#This Row],[Insurance_USD]]+Table1[[#This Row],[Visa_Fee_USD]]+Table1[[#This Row],[Annual_Estimated_Living_cost]]</f>
        <v>43413.138686131388</v>
      </c>
    </row>
    <row r="80" spans="1:17" x14ac:dyDescent="0.25">
      <c r="A80" s="2" t="s">
        <v>25</v>
      </c>
      <c r="B80" s="1" t="s">
        <v>237</v>
      </c>
      <c r="C80" s="1" t="s">
        <v>238</v>
      </c>
      <c r="D80" s="1" t="s">
        <v>71</v>
      </c>
      <c r="E80" s="1" t="s">
        <v>16</v>
      </c>
      <c r="F80" s="1">
        <v>2</v>
      </c>
      <c r="G80" s="1" t="str">
        <f>CONCATENATE(Table1[[#This Row],[Duration_Years]]," ","years")</f>
        <v>2 years</v>
      </c>
      <c r="H80" s="11">
        <v>31200</v>
      </c>
      <c r="I80" s="1">
        <v>65.8</v>
      </c>
      <c r="J80" s="11">
        <v>950</v>
      </c>
      <c r="K80" s="11">
        <v>450</v>
      </c>
      <c r="L80" s="11">
        <v>650</v>
      </c>
      <c r="M80" s="22">
        <v>1.52</v>
      </c>
      <c r="N80" s="3" t="str">
        <f>IF(Table1[[#This Row],[Exchange_Rate]]&lt;5,"Strong Currency", IF(Table1[[#This Row],[Exchange_Rate]]&lt;=1000, "Medium Currency","Weak Currency"))</f>
        <v>Strong Currency</v>
      </c>
      <c r="O80" s="11">
        <f>(Table1[[#This Row],[Living_Cost_Index]]/123.3)*1850</f>
        <v>987.26682887266816</v>
      </c>
      <c r="P80" s="11">
        <f>Table1[[#This Row],[Monthly_Estimated_Living_cost]]*12</f>
        <v>11847.201946472018</v>
      </c>
      <c r="Q80" s="13">
        <f>Table1[[#This Row],[Tuition_USD]]+Table1[[#This Row],[Rent_USD]]+Table1[[#This Row],[Insurance_USD]]+Table1[[#This Row],[Visa_Fee_USD]]+Table1[[#This Row],[Annual_Estimated_Living_cost]]</f>
        <v>45097.201946472022</v>
      </c>
    </row>
    <row r="81" spans="1:17" x14ac:dyDescent="0.25">
      <c r="A81" s="2" t="s">
        <v>25</v>
      </c>
      <c r="B81" s="1" t="s">
        <v>239</v>
      </c>
      <c r="C81" s="1" t="s">
        <v>240</v>
      </c>
      <c r="D81" s="1" t="s">
        <v>241</v>
      </c>
      <c r="E81" s="1" t="s">
        <v>75</v>
      </c>
      <c r="F81" s="1">
        <v>3</v>
      </c>
      <c r="G81" s="1" t="str">
        <f>CONCATENATE(Table1[[#This Row],[Duration_Years]]," ","years")</f>
        <v>3 years</v>
      </c>
      <c r="H81" s="11">
        <v>29500</v>
      </c>
      <c r="I81" s="1">
        <v>66.2</v>
      </c>
      <c r="J81" s="11">
        <v>1000</v>
      </c>
      <c r="K81" s="11">
        <v>450</v>
      </c>
      <c r="L81" s="11">
        <v>650</v>
      </c>
      <c r="M81" s="22">
        <v>1.52</v>
      </c>
      <c r="N81" s="3" t="str">
        <f>IF(Table1[[#This Row],[Exchange_Rate]]&lt;5,"Strong Currency", IF(Table1[[#This Row],[Exchange_Rate]]&lt;=1000, "Medium Currency","Weak Currency"))</f>
        <v>Strong Currency</v>
      </c>
      <c r="O81" s="11">
        <f>(Table1[[#This Row],[Living_Cost_Index]]/123.3)*1850</f>
        <v>993.26845093268469</v>
      </c>
      <c r="P81" s="11">
        <f>Table1[[#This Row],[Monthly_Estimated_Living_cost]]*12</f>
        <v>11919.221411192217</v>
      </c>
      <c r="Q81" s="13">
        <f>Table1[[#This Row],[Tuition_USD]]+Table1[[#This Row],[Rent_USD]]+Table1[[#This Row],[Insurance_USD]]+Table1[[#This Row],[Visa_Fee_USD]]+Table1[[#This Row],[Annual_Estimated_Living_cost]]</f>
        <v>43519.221411192215</v>
      </c>
    </row>
    <row r="82" spans="1:17" x14ac:dyDescent="0.25">
      <c r="A82" s="2" t="s">
        <v>25</v>
      </c>
      <c r="B82" s="1" t="s">
        <v>242</v>
      </c>
      <c r="C82" s="1" t="s">
        <v>243</v>
      </c>
      <c r="D82" s="1" t="s">
        <v>244</v>
      </c>
      <c r="E82" s="1" t="s">
        <v>16</v>
      </c>
      <c r="F82" s="1">
        <v>2</v>
      </c>
      <c r="G82" s="1" t="str">
        <f>CONCATENATE(Table1[[#This Row],[Duration_Years]]," ","years")</f>
        <v>2 years</v>
      </c>
      <c r="H82" s="11">
        <v>30500</v>
      </c>
      <c r="I82" s="1">
        <v>64.8</v>
      </c>
      <c r="J82" s="11">
        <v>850</v>
      </c>
      <c r="K82" s="11">
        <v>450</v>
      </c>
      <c r="L82" s="11">
        <v>650</v>
      </c>
      <c r="M82" s="22">
        <v>1.52</v>
      </c>
      <c r="N82" s="3" t="str">
        <f>IF(Table1[[#This Row],[Exchange_Rate]]&lt;5,"Strong Currency", IF(Table1[[#This Row],[Exchange_Rate]]&lt;=1000, "Medium Currency","Weak Currency"))</f>
        <v>Strong Currency</v>
      </c>
      <c r="O82" s="11">
        <f>(Table1[[#This Row],[Living_Cost_Index]]/123.3)*1850</f>
        <v>972.2627737226278</v>
      </c>
      <c r="P82" s="11">
        <f>Table1[[#This Row],[Monthly_Estimated_Living_cost]]*12</f>
        <v>11667.153284671534</v>
      </c>
      <c r="Q82" s="13">
        <f>Table1[[#This Row],[Tuition_USD]]+Table1[[#This Row],[Rent_USD]]+Table1[[#This Row],[Insurance_USD]]+Table1[[#This Row],[Visa_Fee_USD]]+Table1[[#This Row],[Annual_Estimated_Living_cost]]</f>
        <v>44117.153284671534</v>
      </c>
    </row>
    <row r="83" spans="1:17" x14ac:dyDescent="0.25">
      <c r="A83" s="2" t="s">
        <v>29</v>
      </c>
      <c r="B83" s="1" t="s">
        <v>245</v>
      </c>
      <c r="C83" s="1" t="s">
        <v>246</v>
      </c>
      <c r="D83" s="1" t="s">
        <v>15</v>
      </c>
      <c r="E83" s="1" t="s">
        <v>16</v>
      </c>
      <c r="F83" s="1">
        <v>2</v>
      </c>
      <c r="G83" s="1" t="str">
        <f>CONCATENATE(Table1[[#This Row],[Duration_Years]]," ","years")</f>
        <v>2 years</v>
      </c>
      <c r="H83" s="11">
        <v>500</v>
      </c>
      <c r="I83" s="1">
        <v>65.8</v>
      </c>
      <c r="J83" s="11">
        <v>750</v>
      </c>
      <c r="K83" s="11">
        <v>75</v>
      </c>
      <c r="L83" s="11">
        <v>550</v>
      </c>
      <c r="M83" s="22">
        <v>0.92</v>
      </c>
      <c r="N83" s="3" t="str">
        <f>IF(Table1[[#This Row],[Exchange_Rate]]&lt;5,"Strong Currency", IF(Table1[[#This Row],[Exchange_Rate]]&lt;=1000, "Medium Currency","Weak Currency"))</f>
        <v>Strong Currency</v>
      </c>
      <c r="O83" s="11">
        <f>(Table1[[#This Row],[Living_Cost_Index]]/123.3)*1850</f>
        <v>987.26682887266816</v>
      </c>
      <c r="P83" s="11">
        <f>Table1[[#This Row],[Monthly_Estimated_Living_cost]]*12</f>
        <v>11847.201946472018</v>
      </c>
      <c r="Q83" s="13">
        <f>Table1[[#This Row],[Tuition_USD]]+Table1[[#This Row],[Rent_USD]]+Table1[[#This Row],[Insurance_USD]]+Table1[[#This Row],[Visa_Fee_USD]]+Table1[[#This Row],[Annual_Estimated_Living_cost]]</f>
        <v>13722.201946472018</v>
      </c>
    </row>
    <row r="84" spans="1:17" x14ac:dyDescent="0.25">
      <c r="A84" s="2" t="s">
        <v>29</v>
      </c>
      <c r="B84" s="1" t="s">
        <v>247</v>
      </c>
      <c r="C84" s="1" t="s">
        <v>248</v>
      </c>
      <c r="D84" s="1" t="s">
        <v>207</v>
      </c>
      <c r="E84" s="1" t="s">
        <v>75</v>
      </c>
      <c r="F84" s="1">
        <v>3</v>
      </c>
      <c r="G84" s="1" t="str">
        <f>CONCATENATE(Table1[[#This Row],[Duration_Years]]," ","years")</f>
        <v>3 years</v>
      </c>
      <c r="H84" s="11">
        <v>450</v>
      </c>
      <c r="I84" s="1">
        <v>68.5</v>
      </c>
      <c r="J84" s="11">
        <v>850</v>
      </c>
      <c r="K84" s="11">
        <v>75</v>
      </c>
      <c r="L84" s="11">
        <v>550</v>
      </c>
      <c r="M84" s="22">
        <v>0.92</v>
      </c>
      <c r="N84" s="3" t="str">
        <f>IF(Table1[[#This Row],[Exchange_Rate]]&lt;5,"Strong Currency", IF(Table1[[#This Row],[Exchange_Rate]]&lt;=1000, "Medium Currency","Weak Currency"))</f>
        <v>Strong Currency</v>
      </c>
      <c r="O84" s="11">
        <f>(Table1[[#This Row],[Living_Cost_Index]]/123.3)*1850</f>
        <v>1027.7777777777778</v>
      </c>
      <c r="P84" s="11">
        <f>Table1[[#This Row],[Monthly_Estimated_Living_cost]]*12</f>
        <v>12333.333333333334</v>
      </c>
      <c r="Q84" s="13">
        <f>Table1[[#This Row],[Tuition_USD]]+Table1[[#This Row],[Rent_USD]]+Table1[[#This Row],[Insurance_USD]]+Table1[[#This Row],[Visa_Fee_USD]]+Table1[[#This Row],[Annual_Estimated_Living_cost]]</f>
        <v>14258.333333333334</v>
      </c>
    </row>
    <row r="85" spans="1:17" x14ac:dyDescent="0.25">
      <c r="A85" s="2" t="s">
        <v>29</v>
      </c>
      <c r="B85" s="1" t="s">
        <v>249</v>
      </c>
      <c r="C85" s="1" t="s">
        <v>250</v>
      </c>
      <c r="D85" s="1" t="s">
        <v>251</v>
      </c>
      <c r="E85" s="1" t="s">
        <v>16</v>
      </c>
      <c r="F85" s="1">
        <v>2</v>
      </c>
      <c r="G85" s="1" t="str">
        <f>CONCATENATE(Table1[[#This Row],[Duration_Years]]," ","years")</f>
        <v>2 years</v>
      </c>
      <c r="H85" s="11">
        <v>500</v>
      </c>
      <c r="I85" s="1">
        <v>71.2</v>
      </c>
      <c r="J85" s="11">
        <v>950</v>
      </c>
      <c r="K85" s="11">
        <v>75</v>
      </c>
      <c r="L85" s="11">
        <v>550</v>
      </c>
      <c r="M85" s="22">
        <v>0.92</v>
      </c>
      <c r="N85" s="3" t="str">
        <f>IF(Table1[[#This Row],[Exchange_Rate]]&lt;5,"Strong Currency", IF(Table1[[#This Row],[Exchange_Rate]]&lt;=1000, "Medium Currency","Weak Currency"))</f>
        <v>Strong Currency</v>
      </c>
      <c r="O85" s="11">
        <f>(Table1[[#This Row],[Living_Cost_Index]]/123.3)*1850</f>
        <v>1068.2887266828873</v>
      </c>
      <c r="P85" s="11">
        <f>Table1[[#This Row],[Monthly_Estimated_Living_cost]]*12</f>
        <v>12819.464720194646</v>
      </c>
      <c r="Q85" s="13">
        <f>Table1[[#This Row],[Tuition_USD]]+Table1[[#This Row],[Rent_USD]]+Table1[[#This Row],[Insurance_USD]]+Table1[[#This Row],[Visa_Fee_USD]]+Table1[[#This Row],[Annual_Estimated_Living_cost]]</f>
        <v>14894.464720194646</v>
      </c>
    </row>
    <row r="86" spans="1:17" x14ac:dyDescent="0.25">
      <c r="A86" s="2" t="s">
        <v>29</v>
      </c>
      <c r="B86" s="1" t="s">
        <v>252</v>
      </c>
      <c r="C86" s="1" t="s">
        <v>253</v>
      </c>
      <c r="D86" s="1" t="s">
        <v>63</v>
      </c>
      <c r="E86" s="1" t="s">
        <v>75</v>
      </c>
      <c r="F86" s="1">
        <v>3</v>
      </c>
      <c r="G86" s="1" t="str">
        <f>CONCATENATE(Table1[[#This Row],[Duration_Years]]," ","years")</f>
        <v>3 years</v>
      </c>
      <c r="H86" s="11">
        <v>500</v>
      </c>
      <c r="I86" s="1">
        <v>66.400000000000006</v>
      </c>
      <c r="J86" s="11">
        <v>700</v>
      </c>
      <c r="K86" s="11">
        <v>75</v>
      </c>
      <c r="L86" s="11">
        <v>550</v>
      </c>
      <c r="M86" s="22">
        <v>0.92</v>
      </c>
      <c r="N86" s="3" t="str">
        <f>IF(Table1[[#This Row],[Exchange_Rate]]&lt;5,"Strong Currency", IF(Table1[[#This Row],[Exchange_Rate]]&lt;=1000, "Medium Currency","Weak Currency"))</f>
        <v>Strong Currency</v>
      </c>
      <c r="O86" s="11">
        <f>(Table1[[#This Row],[Living_Cost_Index]]/123.3)*1850</f>
        <v>996.26926196269267</v>
      </c>
      <c r="P86" s="11">
        <f>Table1[[#This Row],[Monthly_Estimated_Living_cost]]*12</f>
        <v>11955.231143552312</v>
      </c>
      <c r="Q86" s="13">
        <f>Table1[[#This Row],[Tuition_USD]]+Table1[[#This Row],[Rent_USD]]+Table1[[#This Row],[Insurance_USD]]+Table1[[#This Row],[Visa_Fee_USD]]+Table1[[#This Row],[Annual_Estimated_Living_cost]]</f>
        <v>13780.231143552312</v>
      </c>
    </row>
    <row r="87" spans="1:17" x14ac:dyDescent="0.25">
      <c r="A87" s="2" t="s">
        <v>29</v>
      </c>
      <c r="B87" s="1" t="s">
        <v>254</v>
      </c>
      <c r="C87" s="1" t="s">
        <v>255</v>
      </c>
      <c r="D87" s="1" t="s">
        <v>40</v>
      </c>
      <c r="E87" s="1" t="s">
        <v>16</v>
      </c>
      <c r="F87" s="1">
        <v>2</v>
      </c>
      <c r="G87" s="1" t="str">
        <f>CONCATENATE(Table1[[#This Row],[Duration_Years]]," ","years")</f>
        <v>2 years</v>
      </c>
      <c r="H87" s="11">
        <v>500</v>
      </c>
      <c r="I87" s="1">
        <v>67.8</v>
      </c>
      <c r="J87" s="11">
        <v>800</v>
      </c>
      <c r="K87" s="11">
        <v>75</v>
      </c>
      <c r="L87" s="11">
        <v>550</v>
      </c>
      <c r="M87" s="22">
        <v>0.92</v>
      </c>
      <c r="N87" s="3" t="str">
        <f>IF(Table1[[#This Row],[Exchange_Rate]]&lt;5,"Strong Currency", IF(Table1[[#This Row],[Exchange_Rate]]&lt;=1000, "Medium Currency","Weak Currency"))</f>
        <v>Strong Currency</v>
      </c>
      <c r="O87" s="11">
        <f>(Table1[[#This Row],[Living_Cost_Index]]/123.3)*1850</f>
        <v>1017.2749391727493</v>
      </c>
      <c r="P87" s="11">
        <f>Table1[[#This Row],[Monthly_Estimated_Living_cost]]*12</f>
        <v>12207.299270072992</v>
      </c>
      <c r="Q87" s="13">
        <f>Table1[[#This Row],[Tuition_USD]]+Table1[[#This Row],[Rent_USD]]+Table1[[#This Row],[Insurance_USD]]+Table1[[#This Row],[Visa_Fee_USD]]+Table1[[#This Row],[Annual_Estimated_Living_cost]]</f>
        <v>14132.299270072992</v>
      </c>
    </row>
    <row r="88" spans="1:17" x14ac:dyDescent="0.25">
      <c r="A88" s="2" t="s">
        <v>29</v>
      </c>
      <c r="B88" s="1" t="s">
        <v>256</v>
      </c>
      <c r="C88" s="1" t="s">
        <v>257</v>
      </c>
      <c r="D88" s="1" t="s">
        <v>215</v>
      </c>
      <c r="E88" s="1" t="s">
        <v>75</v>
      </c>
      <c r="F88" s="1">
        <v>3</v>
      </c>
      <c r="G88" s="1" t="str">
        <f>CONCATENATE(Table1[[#This Row],[Duration_Years]]," ","years")</f>
        <v>3 years</v>
      </c>
      <c r="H88" s="11">
        <v>450</v>
      </c>
      <c r="I88" s="1">
        <v>66.900000000000006</v>
      </c>
      <c r="J88" s="11">
        <v>750</v>
      </c>
      <c r="K88" s="11">
        <v>75</v>
      </c>
      <c r="L88" s="11">
        <v>550</v>
      </c>
      <c r="M88" s="22">
        <v>0.92</v>
      </c>
      <c r="N88" s="3" t="str">
        <f>IF(Table1[[#This Row],[Exchange_Rate]]&lt;5,"Strong Currency", IF(Table1[[#This Row],[Exchange_Rate]]&lt;=1000, "Medium Currency","Weak Currency"))</f>
        <v>Strong Currency</v>
      </c>
      <c r="O88" s="11">
        <f>(Table1[[#This Row],[Living_Cost_Index]]/123.3)*1850</f>
        <v>1003.7712895377128</v>
      </c>
      <c r="P88" s="11">
        <f>Table1[[#This Row],[Monthly_Estimated_Living_cost]]*12</f>
        <v>12045.255474452555</v>
      </c>
      <c r="Q88" s="13">
        <f>Table1[[#This Row],[Tuition_USD]]+Table1[[#This Row],[Rent_USD]]+Table1[[#This Row],[Insurance_USD]]+Table1[[#This Row],[Visa_Fee_USD]]+Table1[[#This Row],[Annual_Estimated_Living_cost]]</f>
        <v>13870.255474452555</v>
      </c>
    </row>
    <row r="89" spans="1:17" x14ac:dyDescent="0.25">
      <c r="A89" s="2" t="s">
        <v>29</v>
      </c>
      <c r="B89" s="1" t="s">
        <v>258</v>
      </c>
      <c r="C89" s="1" t="s">
        <v>259</v>
      </c>
      <c r="D89" s="1" t="s">
        <v>260</v>
      </c>
      <c r="E89" s="1" t="s">
        <v>16</v>
      </c>
      <c r="F89" s="1">
        <v>2</v>
      </c>
      <c r="G89" s="1" t="str">
        <f>CONCATENATE(Table1[[#This Row],[Duration_Years]]," ","years")</f>
        <v>2 years</v>
      </c>
      <c r="H89" s="11">
        <v>500</v>
      </c>
      <c r="I89" s="1">
        <v>64.5</v>
      </c>
      <c r="J89" s="11">
        <v>650</v>
      </c>
      <c r="K89" s="11">
        <v>75</v>
      </c>
      <c r="L89" s="11">
        <v>550</v>
      </c>
      <c r="M89" s="22">
        <v>0.92</v>
      </c>
      <c r="N89" s="3" t="str">
        <f>IF(Table1[[#This Row],[Exchange_Rate]]&lt;5,"Strong Currency", IF(Table1[[#This Row],[Exchange_Rate]]&lt;=1000, "Medium Currency","Weak Currency"))</f>
        <v>Strong Currency</v>
      </c>
      <c r="O89" s="11">
        <f>(Table1[[#This Row],[Living_Cost_Index]]/123.3)*1850</f>
        <v>967.7615571776156</v>
      </c>
      <c r="P89" s="11">
        <f>Table1[[#This Row],[Monthly_Estimated_Living_cost]]*12</f>
        <v>11613.138686131388</v>
      </c>
      <c r="Q89" s="13">
        <f>Table1[[#This Row],[Tuition_USD]]+Table1[[#This Row],[Rent_USD]]+Table1[[#This Row],[Insurance_USD]]+Table1[[#This Row],[Visa_Fee_USD]]+Table1[[#This Row],[Annual_Estimated_Living_cost]]</f>
        <v>13388.138686131388</v>
      </c>
    </row>
    <row r="90" spans="1:17" x14ac:dyDescent="0.25">
      <c r="A90" s="2" t="s">
        <v>29</v>
      </c>
      <c r="B90" s="1" t="s">
        <v>261</v>
      </c>
      <c r="C90" s="1" t="s">
        <v>262</v>
      </c>
      <c r="D90" s="1" t="s">
        <v>20</v>
      </c>
      <c r="E90" s="1" t="s">
        <v>75</v>
      </c>
      <c r="F90" s="1">
        <v>3</v>
      </c>
      <c r="G90" s="1" t="str">
        <f>CONCATENATE(Table1[[#This Row],[Duration_Years]]," ","years")</f>
        <v>3 years</v>
      </c>
      <c r="H90" s="11">
        <v>450</v>
      </c>
      <c r="I90" s="1">
        <v>63.8</v>
      </c>
      <c r="J90" s="11">
        <v>600</v>
      </c>
      <c r="K90" s="11">
        <v>75</v>
      </c>
      <c r="L90" s="11">
        <v>550</v>
      </c>
      <c r="M90" s="22">
        <v>0.92</v>
      </c>
      <c r="N90" s="3" t="str">
        <f>IF(Table1[[#This Row],[Exchange_Rate]]&lt;5,"Strong Currency", IF(Table1[[#This Row],[Exchange_Rate]]&lt;=1000, "Medium Currency","Weak Currency"))</f>
        <v>Strong Currency</v>
      </c>
      <c r="O90" s="11">
        <f>(Table1[[#This Row],[Living_Cost_Index]]/123.3)*1850</f>
        <v>957.25871857258721</v>
      </c>
      <c r="P90" s="11">
        <f>Table1[[#This Row],[Monthly_Estimated_Living_cost]]*12</f>
        <v>11487.104622871047</v>
      </c>
      <c r="Q90" s="13">
        <f>Table1[[#This Row],[Tuition_USD]]+Table1[[#This Row],[Rent_USD]]+Table1[[#This Row],[Insurance_USD]]+Table1[[#This Row],[Visa_Fee_USD]]+Table1[[#This Row],[Annual_Estimated_Living_cost]]</f>
        <v>13162.104622871047</v>
      </c>
    </row>
    <row r="91" spans="1:17" x14ac:dyDescent="0.25">
      <c r="A91" s="2" t="s">
        <v>29</v>
      </c>
      <c r="B91" s="1" t="s">
        <v>263</v>
      </c>
      <c r="C91" s="1" t="s">
        <v>264</v>
      </c>
      <c r="D91" s="1" t="s">
        <v>265</v>
      </c>
      <c r="E91" s="1" t="s">
        <v>16</v>
      </c>
      <c r="F91" s="1">
        <v>2</v>
      </c>
      <c r="G91" s="1" t="str">
        <f>CONCATENATE(Table1[[#This Row],[Duration_Years]]," ","years")</f>
        <v>2 years</v>
      </c>
      <c r="H91" s="11">
        <v>500</v>
      </c>
      <c r="I91" s="1">
        <v>66.2</v>
      </c>
      <c r="J91" s="11">
        <v>750</v>
      </c>
      <c r="K91" s="11">
        <v>75</v>
      </c>
      <c r="L91" s="11">
        <v>550</v>
      </c>
      <c r="M91" s="22">
        <v>0.92</v>
      </c>
      <c r="N91" s="3" t="str">
        <f>IF(Table1[[#This Row],[Exchange_Rate]]&lt;5,"Strong Currency", IF(Table1[[#This Row],[Exchange_Rate]]&lt;=1000, "Medium Currency","Weak Currency"))</f>
        <v>Strong Currency</v>
      </c>
      <c r="O91" s="11">
        <f>(Table1[[#This Row],[Living_Cost_Index]]/123.3)*1850</f>
        <v>993.26845093268469</v>
      </c>
      <c r="P91" s="11">
        <f>Table1[[#This Row],[Monthly_Estimated_Living_cost]]*12</f>
        <v>11919.221411192217</v>
      </c>
      <c r="Q91" s="13">
        <f>Table1[[#This Row],[Tuition_USD]]+Table1[[#This Row],[Rent_USD]]+Table1[[#This Row],[Insurance_USD]]+Table1[[#This Row],[Visa_Fee_USD]]+Table1[[#This Row],[Annual_Estimated_Living_cost]]</f>
        <v>13794.221411192217</v>
      </c>
    </row>
    <row r="92" spans="1:17" x14ac:dyDescent="0.25">
      <c r="A92" s="2" t="s">
        <v>29</v>
      </c>
      <c r="B92" s="1" t="s">
        <v>266</v>
      </c>
      <c r="C92" s="1" t="s">
        <v>267</v>
      </c>
      <c r="D92" s="1" t="s">
        <v>268</v>
      </c>
      <c r="E92" s="1" t="s">
        <v>16</v>
      </c>
      <c r="F92" s="1">
        <v>2</v>
      </c>
      <c r="G92" s="1" t="str">
        <f>CONCATENATE(Table1[[#This Row],[Duration_Years]]," ","years")</f>
        <v>2 years</v>
      </c>
      <c r="H92" s="11">
        <v>500</v>
      </c>
      <c r="I92" s="1">
        <v>67.5</v>
      </c>
      <c r="J92" s="11">
        <v>800</v>
      </c>
      <c r="K92" s="11">
        <v>75</v>
      </c>
      <c r="L92" s="11">
        <v>550</v>
      </c>
      <c r="M92" s="22">
        <v>0.92</v>
      </c>
      <c r="N92" s="3" t="str">
        <f>IF(Table1[[#This Row],[Exchange_Rate]]&lt;5,"Strong Currency", IF(Table1[[#This Row],[Exchange_Rate]]&lt;=1000, "Medium Currency","Weak Currency"))</f>
        <v>Strong Currency</v>
      </c>
      <c r="O92" s="11">
        <f>(Table1[[#This Row],[Living_Cost_Index]]/123.3)*1850</f>
        <v>1012.7737226277372</v>
      </c>
      <c r="P92" s="11">
        <f>Table1[[#This Row],[Monthly_Estimated_Living_cost]]*12</f>
        <v>12153.284671532847</v>
      </c>
      <c r="Q92" s="13">
        <f>Table1[[#This Row],[Tuition_USD]]+Table1[[#This Row],[Rent_USD]]+Table1[[#This Row],[Insurance_USD]]+Table1[[#This Row],[Visa_Fee_USD]]+Table1[[#This Row],[Annual_Estimated_Living_cost]]</f>
        <v>14078.284671532847</v>
      </c>
    </row>
    <row r="93" spans="1:17" x14ac:dyDescent="0.25">
      <c r="A93" s="2" t="s">
        <v>12</v>
      </c>
      <c r="B93" s="1" t="s">
        <v>269</v>
      </c>
      <c r="C93" s="1" t="s">
        <v>270</v>
      </c>
      <c r="D93" s="1" t="s">
        <v>15</v>
      </c>
      <c r="E93" s="1" t="s">
        <v>16</v>
      </c>
      <c r="F93" s="1">
        <v>2</v>
      </c>
      <c r="G93" s="1" t="str">
        <f>CONCATENATE(Table1[[#This Row],[Duration_Years]]," ","years")</f>
        <v>2 years</v>
      </c>
      <c r="H93" s="11">
        <v>51900</v>
      </c>
      <c r="I93" s="1">
        <v>76.8</v>
      </c>
      <c r="J93" s="11">
        <v>1900</v>
      </c>
      <c r="K93" s="11">
        <v>160</v>
      </c>
      <c r="L93" s="11">
        <v>1500</v>
      </c>
      <c r="M93" s="22">
        <v>1</v>
      </c>
      <c r="N93" s="3" t="str">
        <f>IF(Table1[[#This Row],[Exchange_Rate]]&lt;5,"Strong Currency", IF(Table1[[#This Row],[Exchange_Rate]]&lt;=1000, "Medium Currency","Weak Currency"))</f>
        <v>Strong Currency</v>
      </c>
      <c r="O93" s="11">
        <f>(Table1[[#This Row],[Living_Cost_Index]]/123.3)*1850</f>
        <v>1152.3114355231144</v>
      </c>
      <c r="P93" s="11">
        <f>Table1[[#This Row],[Monthly_Estimated_Living_cost]]*12</f>
        <v>13827.737226277372</v>
      </c>
      <c r="Q93" s="13">
        <f>Table1[[#This Row],[Tuition_USD]]+Table1[[#This Row],[Rent_USD]]+Table1[[#This Row],[Insurance_USD]]+Table1[[#This Row],[Visa_Fee_USD]]+Table1[[#This Row],[Annual_Estimated_Living_cost]]</f>
        <v>69287.737226277372</v>
      </c>
    </row>
    <row r="94" spans="1:17" x14ac:dyDescent="0.25">
      <c r="A94" s="2" t="s">
        <v>12</v>
      </c>
      <c r="B94" s="1" t="s">
        <v>271</v>
      </c>
      <c r="C94" s="1" t="s">
        <v>272</v>
      </c>
      <c r="D94" s="1" t="s">
        <v>71</v>
      </c>
      <c r="E94" s="1" t="s">
        <v>16</v>
      </c>
      <c r="F94" s="1">
        <v>2</v>
      </c>
      <c r="G94" s="1" t="str">
        <f>CONCATENATE(Table1[[#This Row],[Duration_Years]]," ","years")</f>
        <v>2 years</v>
      </c>
      <c r="H94" s="11">
        <v>52400</v>
      </c>
      <c r="I94" s="1">
        <v>78.900000000000006</v>
      </c>
      <c r="J94" s="11">
        <v>2000</v>
      </c>
      <c r="K94" s="11">
        <v>160</v>
      </c>
      <c r="L94" s="11">
        <v>1500</v>
      </c>
      <c r="M94" s="22">
        <v>1</v>
      </c>
      <c r="N94" s="3" t="str">
        <f>IF(Table1[[#This Row],[Exchange_Rate]]&lt;5,"Strong Currency", IF(Table1[[#This Row],[Exchange_Rate]]&lt;=1000, "Medium Currency","Weak Currency"))</f>
        <v>Strong Currency</v>
      </c>
      <c r="O94" s="11">
        <f>(Table1[[#This Row],[Living_Cost_Index]]/123.3)*1850</f>
        <v>1183.8199513381996</v>
      </c>
      <c r="P94" s="11">
        <f>Table1[[#This Row],[Monthly_Estimated_Living_cost]]*12</f>
        <v>14205.839416058396</v>
      </c>
      <c r="Q94" s="13">
        <f>Table1[[#This Row],[Tuition_USD]]+Table1[[#This Row],[Rent_USD]]+Table1[[#This Row],[Insurance_USD]]+Table1[[#This Row],[Visa_Fee_USD]]+Table1[[#This Row],[Annual_Estimated_Living_cost]]</f>
        <v>70265.839416058399</v>
      </c>
    </row>
    <row r="95" spans="1:17" x14ac:dyDescent="0.25">
      <c r="A95" s="2" t="s">
        <v>12</v>
      </c>
      <c r="B95" s="1" t="s">
        <v>273</v>
      </c>
      <c r="C95" s="1" t="s">
        <v>274</v>
      </c>
      <c r="D95" s="1" t="s">
        <v>40</v>
      </c>
      <c r="E95" s="1" t="s">
        <v>1353</v>
      </c>
      <c r="F95" s="1">
        <v>5</v>
      </c>
      <c r="G95" s="1" t="str">
        <f>CONCATENATE(Table1[[#This Row],[Duration_Years]]," ","years")</f>
        <v>5 years</v>
      </c>
      <c r="H95" s="11">
        <v>53600</v>
      </c>
      <c r="I95" s="1">
        <v>72.5</v>
      </c>
      <c r="J95" s="11">
        <v>1700</v>
      </c>
      <c r="K95" s="11">
        <v>160</v>
      </c>
      <c r="L95" s="11">
        <v>1500</v>
      </c>
      <c r="M95" s="22">
        <v>1</v>
      </c>
      <c r="N95" s="3" t="str">
        <f>IF(Table1[[#This Row],[Exchange_Rate]]&lt;5,"Strong Currency", IF(Table1[[#This Row],[Exchange_Rate]]&lt;=1000, "Medium Currency","Weak Currency"))</f>
        <v>Strong Currency</v>
      </c>
      <c r="O95" s="11">
        <f>(Table1[[#This Row],[Living_Cost_Index]]/123.3)*1850</f>
        <v>1087.7939983779399</v>
      </c>
      <c r="P95" s="11">
        <f>Table1[[#This Row],[Monthly_Estimated_Living_cost]]*12</f>
        <v>13053.52798053528</v>
      </c>
      <c r="Q95" s="13">
        <f>Table1[[#This Row],[Tuition_USD]]+Table1[[#This Row],[Rent_USD]]+Table1[[#This Row],[Insurance_USD]]+Table1[[#This Row],[Visa_Fee_USD]]+Table1[[#This Row],[Annual_Estimated_Living_cost]]</f>
        <v>70013.527980535277</v>
      </c>
    </row>
    <row r="96" spans="1:17" x14ac:dyDescent="0.25">
      <c r="A96" s="2" t="s">
        <v>12</v>
      </c>
      <c r="B96" s="1" t="s">
        <v>275</v>
      </c>
      <c r="C96" s="1" t="s">
        <v>276</v>
      </c>
      <c r="D96" s="1" t="s">
        <v>63</v>
      </c>
      <c r="E96" s="1" t="s">
        <v>75</v>
      </c>
      <c r="F96" s="1">
        <v>4</v>
      </c>
      <c r="G96" s="1" t="str">
        <f>CONCATENATE(Table1[[#This Row],[Duration_Years]]," ","years")</f>
        <v>4 years</v>
      </c>
      <c r="H96" s="11">
        <v>50800</v>
      </c>
      <c r="I96" s="1">
        <v>71.2</v>
      </c>
      <c r="J96" s="11">
        <v>1600</v>
      </c>
      <c r="K96" s="11">
        <v>160</v>
      </c>
      <c r="L96" s="11">
        <v>1500</v>
      </c>
      <c r="M96" s="22">
        <v>1</v>
      </c>
      <c r="N96" s="3" t="str">
        <f>IF(Table1[[#This Row],[Exchange_Rate]]&lt;5,"Strong Currency", IF(Table1[[#This Row],[Exchange_Rate]]&lt;=1000, "Medium Currency","Weak Currency"))</f>
        <v>Strong Currency</v>
      </c>
      <c r="O96" s="11">
        <f>(Table1[[#This Row],[Living_Cost_Index]]/123.3)*1850</f>
        <v>1068.2887266828873</v>
      </c>
      <c r="P96" s="11">
        <f>Table1[[#This Row],[Monthly_Estimated_Living_cost]]*12</f>
        <v>12819.464720194646</v>
      </c>
      <c r="Q96" s="13">
        <f>Table1[[#This Row],[Tuition_USD]]+Table1[[#This Row],[Rent_USD]]+Table1[[#This Row],[Insurance_USD]]+Table1[[#This Row],[Visa_Fee_USD]]+Table1[[#This Row],[Annual_Estimated_Living_cost]]</f>
        <v>66879.46472019465</v>
      </c>
    </row>
    <row r="97" spans="1:17" x14ac:dyDescent="0.25">
      <c r="A97" s="2" t="s">
        <v>12</v>
      </c>
      <c r="B97" s="1" t="s">
        <v>277</v>
      </c>
      <c r="C97" s="1" t="s">
        <v>278</v>
      </c>
      <c r="D97" s="1" t="s">
        <v>207</v>
      </c>
      <c r="E97" s="1" t="s">
        <v>16</v>
      </c>
      <c r="F97" s="1">
        <v>2</v>
      </c>
      <c r="G97" s="1" t="str">
        <f>CONCATENATE(Table1[[#This Row],[Duration_Years]]," ","years")</f>
        <v>2 years</v>
      </c>
      <c r="H97" s="11">
        <v>51500</v>
      </c>
      <c r="I97" s="1">
        <v>70.8</v>
      </c>
      <c r="J97" s="11">
        <v>1500</v>
      </c>
      <c r="K97" s="11">
        <v>160</v>
      </c>
      <c r="L97" s="11">
        <v>1500</v>
      </c>
      <c r="M97" s="22">
        <v>1</v>
      </c>
      <c r="N97" s="3" t="str">
        <f>IF(Table1[[#This Row],[Exchange_Rate]]&lt;5,"Strong Currency", IF(Table1[[#This Row],[Exchange_Rate]]&lt;=1000, "Medium Currency","Weak Currency"))</f>
        <v>Strong Currency</v>
      </c>
      <c r="O97" s="11">
        <f>(Table1[[#This Row],[Living_Cost_Index]]/123.3)*1850</f>
        <v>1062.2871046228711</v>
      </c>
      <c r="P97" s="11">
        <f>Table1[[#This Row],[Monthly_Estimated_Living_cost]]*12</f>
        <v>12747.445255474453</v>
      </c>
      <c r="Q97" s="13">
        <f>Table1[[#This Row],[Tuition_USD]]+Table1[[#This Row],[Rent_USD]]+Table1[[#This Row],[Insurance_USD]]+Table1[[#This Row],[Visa_Fee_USD]]+Table1[[#This Row],[Annual_Estimated_Living_cost]]</f>
        <v>67407.445255474449</v>
      </c>
    </row>
    <row r="98" spans="1:17" x14ac:dyDescent="0.25">
      <c r="A98" s="2" t="s">
        <v>12</v>
      </c>
      <c r="B98" s="1" t="s">
        <v>279</v>
      </c>
      <c r="C98" s="1" t="s">
        <v>280</v>
      </c>
      <c r="D98" s="1" t="s">
        <v>15</v>
      </c>
      <c r="E98" s="1" t="s">
        <v>1353</v>
      </c>
      <c r="F98" s="1">
        <v>5</v>
      </c>
      <c r="G98" s="1" t="str">
        <f>CONCATENATE(Table1[[#This Row],[Duration_Years]]," ","years")</f>
        <v>5 years</v>
      </c>
      <c r="H98" s="11">
        <v>38200</v>
      </c>
      <c r="I98" s="1">
        <v>69.5</v>
      </c>
      <c r="J98" s="11">
        <v>1400</v>
      </c>
      <c r="K98" s="11">
        <v>160</v>
      </c>
      <c r="L98" s="11">
        <v>1500</v>
      </c>
      <c r="M98" s="22">
        <v>1</v>
      </c>
      <c r="N98" s="3" t="str">
        <f>IF(Table1[[#This Row],[Exchange_Rate]]&lt;5,"Strong Currency", IF(Table1[[#This Row],[Exchange_Rate]]&lt;=1000, "Medium Currency","Weak Currency"))</f>
        <v>Strong Currency</v>
      </c>
      <c r="O98" s="11">
        <f>(Table1[[#This Row],[Living_Cost_Index]]/123.3)*1850</f>
        <v>1042.7818329278184</v>
      </c>
      <c r="P98" s="11">
        <f>Table1[[#This Row],[Monthly_Estimated_Living_cost]]*12</f>
        <v>12513.381995133821</v>
      </c>
      <c r="Q98" s="13">
        <f>Table1[[#This Row],[Tuition_USD]]+Table1[[#This Row],[Rent_USD]]+Table1[[#This Row],[Insurance_USD]]+Table1[[#This Row],[Visa_Fee_USD]]+Table1[[#This Row],[Annual_Estimated_Living_cost]]</f>
        <v>53773.381995133823</v>
      </c>
    </row>
    <row r="99" spans="1:17" x14ac:dyDescent="0.25">
      <c r="A99" s="2" t="s">
        <v>12</v>
      </c>
      <c r="B99" s="1" t="s">
        <v>281</v>
      </c>
      <c r="C99" s="1" t="s">
        <v>282</v>
      </c>
      <c r="D99" s="1" t="s">
        <v>222</v>
      </c>
      <c r="E99" s="1" t="s">
        <v>75</v>
      </c>
      <c r="F99" s="1">
        <v>4</v>
      </c>
      <c r="G99" s="1" t="str">
        <f>CONCATENATE(Table1[[#This Row],[Duration_Years]]," ","years")</f>
        <v>4 years</v>
      </c>
      <c r="H99" s="11">
        <v>41200</v>
      </c>
      <c r="I99" s="1">
        <v>70.2</v>
      </c>
      <c r="J99" s="11">
        <v>1300</v>
      </c>
      <c r="K99" s="11">
        <v>160</v>
      </c>
      <c r="L99" s="11">
        <v>1500</v>
      </c>
      <c r="M99" s="22">
        <v>1</v>
      </c>
      <c r="N99" s="3" t="str">
        <f>IF(Table1[[#This Row],[Exchange_Rate]]&lt;5,"Strong Currency", IF(Table1[[#This Row],[Exchange_Rate]]&lt;=1000, "Medium Currency","Weak Currency"))</f>
        <v>Strong Currency</v>
      </c>
      <c r="O99" s="11">
        <f>(Table1[[#This Row],[Living_Cost_Index]]/123.3)*1850</f>
        <v>1053.2846715328469</v>
      </c>
      <c r="P99" s="11">
        <f>Table1[[#This Row],[Monthly_Estimated_Living_cost]]*12</f>
        <v>12639.416058394163</v>
      </c>
      <c r="Q99" s="13">
        <f>Table1[[#This Row],[Tuition_USD]]+Table1[[#This Row],[Rent_USD]]+Table1[[#This Row],[Insurance_USD]]+Table1[[#This Row],[Visa_Fee_USD]]+Table1[[#This Row],[Annual_Estimated_Living_cost]]</f>
        <v>56799.416058394163</v>
      </c>
    </row>
    <row r="100" spans="1:17" x14ac:dyDescent="0.25">
      <c r="A100" s="2" t="s">
        <v>12</v>
      </c>
      <c r="B100" s="1" t="s">
        <v>283</v>
      </c>
      <c r="C100" s="1" t="s">
        <v>284</v>
      </c>
      <c r="D100" s="1" t="s">
        <v>20</v>
      </c>
      <c r="E100" s="1" t="s">
        <v>16</v>
      </c>
      <c r="F100" s="1">
        <v>2</v>
      </c>
      <c r="G100" s="1" t="str">
        <f>CONCATENATE(Table1[[#This Row],[Duration_Years]]," ","years")</f>
        <v>2 years</v>
      </c>
      <c r="H100" s="11">
        <v>39800</v>
      </c>
      <c r="I100" s="1">
        <v>71.5</v>
      </c>
      <c r="J100" s="11">
        <v>1600</v>
      </c>
      <c r="K100" s="11">
        <v>160</v>
      </c>
      <c r="L100" s="11">
        <v>1500</v>
      </c>
      <c r="M100" s="22">
        <v>1</v>
      </c>
      <c r="N100" s="3" t="str">
        <f>IF(Table1[[#This Row],[Exchange_Rate]]&lt;5,"Strong Currency", IF(Table1[[#This Row],[Exchange_Rate]]&lt;=1000, "Medium Currency","Weak Currency"))</f>
        <v>Strong Currency</v>
      </c>
      <c r="O100" s="11">
        <f>(Table1[[#This Row],[Living_Cost_Index]]/123.3)*1850</f>
        <v>1072.7899432278994</v>
      </c>
      <c r="P100" s="11">
        <f>Table1[[#This Row],[Monthly_Estimated_Living_cost]]*12</f>
        <v>12873.479318734793</v>
      </c>
      <c r="Q100" s="13">
        <f>Table1[[#This Row],[Tuition_USD]]+Table1[[#This Row],[Rent_USD]]+Table1[[#This Row],[Insurance_USD]]+Table1[[#This Row],[Visa_Fee_USD]]+Table1[[#This Row],[Annual_Estimated_Living_cost]]</f>
        <v>55933.479318734797</v>
      </c>
    </row>
    <row r="101" spans="1:17" x14ac:dyDescent="0.25">
      <c r="A101" s="2" t="s">
        <v>12</v>
      </c>
      <c r="B101" s="1" t="s">
        <v>285</v>
      </c>
      <c r="C101" s="1" t="s">
        <v>286</v>
      </c>
      <c r="D101" s="1" t="s">
        <v>15</v>
      </c>
      <c r="E101" s="1" t="s">
        <v>75</v>
      </c>
      <c r="F101" s="1">
        <v>4</v>
      </c>
      <c r="G101" s="1" t="str">
        <f>CONCATENATE(Table1[[#This Row],[Duration_Years]]," ","years")</f>
        <v>4 years</v>
      </c>
      <c r="H101" s="11">
        <v>42500</v>
      </c>
      <c r="I101" s="1">
        <v>72.8</v>
      </c>
      <c r="J101" s="11">
        <v>1500</v>
      </c>
      <c r="K101" s="11">
        <v>160</v>
      </c>
      <c r="L101" s="11">
        <v>1500</v>
      </c>
      <c r="M101" s="22">
        <v>1</v>
      </c>
      <c r="N101" s="3" t="str">
        <f>IF(Table1[[#This Row],[Exchange_Rate]]&lt;5,"Strong Currency", IF(Table1[[#This Row],[Exchange_Rate]]&lt;=1000, "Medium Currency","Weak Currency"))</f>
        <v>Strong Currency</v>
      </c>
      <c r="O101" s="11">
        <f>(Table1[[#This Row],[Living_Cost_Index]]/123.3)*1850</f>
        <v>1092.2952149229523</v>
      </c>
      <c r="P101" s="11">
        <f>Table1[[#This Row],[Monthly_Estimated_Living_cost]]*12</f>
        <v>13107.542579075427</v>
      </c>
      <c r="Q101" s="13">
        <f>Table1[[#This Row],[Tuition_USD]]+Table1[[#This Row],[Rent_USD]]+Table1[[#This Row],[Insurance_USD]]+Table1[[#This Row],[Visa_Fee_USD]]+Table1[[#This Row],[Annual_Estimated_Living_cost]]</f>
        <v>58767.542579075423</v>
      </c>
    </row>
    <row r="102" spans="1:17" x14ac:dyDescent="0.25">
      <c r="A102" s="2" t="s">
        <v>12</v>
      </c>
      <c r="B102" s="1" t="s">
        <v>287</v>
      </c>
      <c r="C102" s="1" t="s">
        <v>288</v>
      </c>
      <c r="D102" s="1" t="s">
        <v>63</v>
      </c>
      <c r="E102" s="1" t="s">
        <v>16</v>
      </c>
      <c r="F102" s="1">
        <v>2</v>
      </c>
      <c r="G102" s="1" t="str">
        <f>CONCATENATE(Table1[[#This Row],[Duration_Years]]," ","years")</f>
        <v>2 years</v>
      </c>
      <c r="H102" s="11">
        <v>42800</v>
      </c>
      <c r="I102" s="1">
        <v>73.5</v>
      </c>
      <c r="J102" s="11">
        <v>1700</v>
      </c>
      <c r="K102" s="11">
        <v>160</v>
      </c>
      <c r="L102" s="11">
        <v>1500</v>
      </c>
      <c r="M102" s="22">
        <v>1</v>
      </c>
      <c r="N102" s="3" t="str">
        <f>IF(Table1[[#This Row],[Exchange_Rate]]&lt;5,"Strong Currency", IF(Table1[[#This Row],[Exchange_Rate]]&lt;=1000, "Medium Currency","Weak Currency"))</f>
        <v>Strong Currency</v>
      </c>
      <c r="O102" s="11">
        <f>(Table1[[#This Row],[Living_Cost_Index]]/123.3)*1850</f>
        <v>1102.7980535279805</v>
      </c>
      <c r="P102" s="11">
        <f>Table1[[#This Row],[Monthly_Estimated_Living_cost]]*12</f>
        <v>13233.576642335767</v>
      </c>
      <c r="Q102" s="13">
        <f>Table1[[#This Row],[Tuition_USD]]+Table1[[#This Row],[Rent_USD]]+Table1[[#This Row],[Insurance_USD]]+Table1[[#This Row],[Visa_Fee_USD]]+Table1[[#This Row],[Annual_Estimated_Living_cost]]</f>
        <v>59393.576642335771</v>
      </c>
    </row>
    <row r="103" spans="1:17" x14ac:dyDescent="0.25">
      <c r="A103" s="2" t="s">
        <v>17</v>
      </c>
      <c r="B103" s="1" t="s">
        <v>18</v>
      </c>
      <c r="C103" s="1" t="s">
        <v>289</v>
      </c>
      <c r="D103" s="1" t="s">
        <v>15</v>
      </c>
      <c r="E103" s="1" t="s">
        <v>16</v>
      </c>
      <c r="F103" s="1">
        <v>1</v>
      </c>
      <c r="G103" s="1" t="str">
        <f>CONCATENATE(Table1[[#This Row],[Duration_Years]]," ","years")</f>
        <v>1 years</v>
      </c>
      <c r="H103" s="11">
        <v>39200</v>
      </c>
      <c r="I103" s="1">
        <v>76.2</v>
      </c>
      <c r="J103" s="11">
        <v>1900</v>
      </c>
      <c r="K103" s="11">
        <v>485</v>
      </c>
      <c r="L103" s="11">
        <v>800</v>
      </c>
      <c r="M103" s="22">
        <v>0.79</v>
      </c>
      <c r="N103" s="3" t="str">
        <f>IF(Table1[[#This Row],[Exchange_Rate]]&lt;5,"Strong Currency", IF(Table1[[#This Row],[Exchange_Rate]]&lt;=1000, "Medium Currency","Weak Currency"))</f>
        <v>Strong Currency</v>
      </c>
      <c r="O103" s="11">
        <f>(Table1[[#This Row],[Living_Cost_Index]]/123.3)*1850</f>
        <v>1143.30900243309</v>
      </c>
      <c r="P103" s="11">
        <f>Table1[[#This Row],[Monthly_Estimated_Living_cost]]*12</f>
        <v>13719.70802919708</v>
      </c>
      <c r="Q103" s="13">
        <f>Table1[[#This Row],[Tuition_USD]]+Table1[[#This Row],[Rent_USD]]+Table1[[#This Row],[Insurance_USD]]+Table1[[#This Row],[Visa_Fee_USD]]+Table1[[#This Row],[Annual_Estimated_Living_cost]]</f>
        <v>56104.708029197078</v>
      </c>
    </row>
    <row r="104" spans="1:17" x14ac:dyDescent="0.25">
      <c r="A104" s="2" t="s">
        <v>17</v>
      </c>
      <c r="B104" s="1" t="s">
        <v>290</v>
      </c>
      <c r="C104" s="1" t="s">
        <v>291</v>
      </c>
      <c r="D104" s="1" t="s">
        <v>207</v>
      </c>
      <c r="E104" s="1" t="s">
        <v>75</v>
      </c>
      <c r="F104" s="1">
        <v>3</v>
      </c>
      <c r="G104" s="1" t="str">
        <f>CONCATENATE(Table1[[#This Row],[Duration_Years]]," ","years")</f>
        <v>3 years</v>
      </c>
      <c r="H104" s="11">
        <v>28500</v>
      </c>
      <c r="I104" s="1">
        <v>65.8</v>
      </c>
      <c r="J104" s="11">
        <v>950</v>
      </c>
      <c r="K104" s="11">
        <v>485</v>
      </c>
      <c r="L104" s="11">
        <v>800</v>
      </c>
      <c r="M104" s="22">
        <v>0.79</v>
      </c>
      <c r="N104" s="3" t="str">
        <f>IF(Table1[[#This Row],[Exchange_Rate]]&lt;5,"Strong Currency", IF(Table1[[#This Row],[Exchange_Rate]]&lt;=1000, "Medium Currency","Weak Currency"))</f>
        <v>Strong Currency</v>
      </c>
      <c r="O104" s="11">
        <f>(Table1[[#This Row],[Living_Cost_Index]]/123.3)*1850</f>
        <v>987.26682887266816</v>
      </c>
      <c r="P104" s="11">
        <f>Table1[[#This Row],[Monthly_Estimated_Living_cost]]*12</f>
        <v>11847.201946472018</v>
      </c>
      <c r="Q104" s="13">
        <f>Table1[[#This Row],[Tuition_USD]]+Table1[[#This Row],[Rent_USD]]+Table1[[#This Row],[Insurance_USD]]+Table1[[#This Row],[Visa_Fee_USD]]+Table1[[#This Row],[Annual_Estimated_Living_cost]]</f>
        <v>42582.201946472022</v>
      </c>
    </row>
    <row r="105" spans="1:17" x14ac:dyDescent="0.25">
      <c r="A105" s="2" t="s">
        <v>17</v>
      </c>
      <c r="B105" s="1" t="s">
        <v>292</v>
      </c>
      <c r="C105" s="1" t="s">
        <v>293</v>
      </c>
      <c r="D105" s="1" t="s">
        <v>20</v>
      </c>
      <c r="E105" s="1" t="s">
        <v>16</v>
      </c>
      <c r="F105" s="1">
        <v>1</v>
      </c>
      <c r="G105" s="1" t="str">
        <f>CONCATENATE(Table1[[#This Row],[Duration_Years]]," ","years")</f>
        <v>1 years</v>
      </c>
      <c r="H105" s="11">
        <v>36800</v>
      </c>
      <c r="I105" s="1">
        <v>67.2</v>
      </c>
      <c r="J105" s="11">
        <v>1000</v>
      </c>
      <c r="K105" s="11">
        <v>485</v>
      </c>
      <c r="L105" s="11">
        <v>800</v>
      </c>
      <c r="M105" s="22">
        <v>0.79</v>
      </c>
      <c r="N105" s="3" t="str">
        <f>IF(Table1[[#This Row],[Exchange_Rate]]&lt;5,"Strong Currency", IF(Table1[[#This Row],[Exchange_Rate]]&lt;=1000, "Medium Currency","Weak Currency"))</f>
        <v>Strong Currency</v>
      </c>
      <c r="O105" s="11">
        <f>(Table1[[#This Row],[Living_Cost_Index]]/123.3)*1850</f>
        <v>1008.272506082725</v>
      </c>
      <c r="P105" s="11">
        <f>Table1[[#This Row],[Monthly_Estimated_Living_cost]]*12</f>
        <v>12099.2700729927</v>
      </c>
      <c r="Q105" s="13">
        <f>Table1[[#This Row],[Tuition_USD]]+Table1[[#This Row],[Rent_USD]]+Table1[[#This Row],[Insurance_USD]]+Table1[[#This Row],[Visa_Fee_USD]]+Table1[[#This Row],[Annual_Estimated_Living_cost]]</f>
        <v>51184.270072992702</v>
      </c>
    </row>
    <row r="106" spans="1:17" x14ac:dyDescent="0.25">
      <c r="A106" s="2" t="s">
        <v>17</v>
      </c>
      <c r="B106" s="1" t="s">
        <v>294</v>
      </c>
      <c r="C106" s="1" t="s">
        <v>295</v>
      </c>
      <c r="D106" s="1" t="s">
        <v>40</v>
      </c>
      <c r="E106" s="1" t="s">
        <v>1353</v>
      </c>
      <c r="F106" s="1">
        <v>3</v>
      </c>
      <c r="G106" s="1" t="str">
        <f>CONCATENATE(Table1[[#This Row],[Duration_Years]]," ","years")</f>
        <v>3 years</v>
      </c>
      <c r="H106" s="11">
        <v>27900</v>
      </c>
      <c r="I106" s="1">
        <v>64.5</v>
      </c>
      <c r="J106" s="11">
        <v>850</v>
      </c>
      <c r="K106" s="11">
        <v>485</v>
      </c>
      <c r="L106" s="11">
        <v>800</v>
      </c>
      <c r="M106" s="22">
        <v>0.79</v>
      </c>
      <c r="N106" s="3" t="str">
        <f>IF(Table1[[#This Row],[Exchange_Rate]]&lt;5,"Strong Currency", IF(Table1[[#This Row],[Exchange_Rate]]&lt;=1000, "Medium Currency","Weak Currency"))</f>
        <v>Strong Currency</v>
      </c>
      <c r="O106" s="11">
        <f>(Table1[[#This Row],[Living_Cost_Index]]/123.3)*1850</f>
        <v>967.7615571776156</v>
      </c>
      <c r="P106" s="11">
        <f>Table1[[#This Row],[Monthly_Estimated_Living_cost]]*12</f>
        <v>11613.138686131388</v>
      </c>
      <c r="Q106" s="13">
        <f>Table1[[#This Row],[Tuition_USD]]+Table1[[#This Row],[Rent_USD]]+Table1[[#This Row],[Insurance_USD]]+Table1[[#This Row],[Visa_Fee_USD]]+Table1[[#This Row],[Annual_Estimated_Living_cost]]</f>
        <v>41648.138686131388</v>
      </c>
    </row>
    <row r="107" spans="1:17" x14ac:dyDescent="0.25">
      <c r="A107" s="2" t="s">
        <v>17</v>
      </c>
      <c r="B107" s="1" t="s">
        <v>296</v>
      </c>
      <c r="C107" s="1" t="s">
        <v>297</v>
      </c>
      <c r="D107" s="1" t="s">
        <v>63</v>
      </c>
      <c r="E107" s="1" t="s">
        <v>75</v>
      </c>
      <c r="F107" s="1">
        <v>3</v>
      </c>
      <c r="G107" s="1" t="str">
        <f>CONCATENATE(Table1[[#This Row],[Duration_Years]]," ","years")</f>
        <v>3 years</v>
      </c>
      <c r="H107" s="11">
        <v>29500</v>
      </c>
      <c r="I107" s="1">
        <v>66.8</v>
      </c>
      <c r="J107" s="11">
        <v>950</v>
      </c>
      <c r="K107" s="11">
        <v>485</v>
      </c>
      <c r="L107" s="11">
        <v>800</v>
      </c>
      <c r="M107" s="22">
        <v>0.79</v>
      </c>
      <c r="N107" s="3" t="str">
        <f>IF(Table1[[#This Row],[Exchange_Rate]]&lt;5,"Strong Currency", IF(Table1[[#This Row],[Exchange_Rate]]&lt;=1000, "Medium Currency","Weak Currency"))</f>
        <v>Strong Currency</v>
      </c>
      <c r="O107" s="11">
        <f>(Table1[[#This Row],[Living_Cost_Index]]/123.3)*1850</f>
        <v>1002.2708840227087</v>
      </c>
      <c r="P107" s="11">
        <f>Table1[[#This Row],[Monthly_Estimated_Living_cost]]*12</f>
        <v>12027.250608272505</v>
      </c>
      <c r="Q107" s="13">
        <f>Table1[[#This Row],[Tuition_USD]]+Table1[[#This Row],[Rent_USD]]+Table1[[#This Row],[Insurance_USD]]+Table1[[#This Row],[Visa_Fee_USD]]+Table1[[#This Row],[Annual_Estimated_Living_cost]]</f>
        <v>43762.250608272501</v>
      </c>
    </row>
    <row r="108" spans="1:17" x14ac:dyDescent="0.25">
      <c r="A108" s="2" t="s">
        <v>17</v>
      </c>
      <c r="B108" s="1" t="s">
        <v>298</v>
      </c>
      <c r="C108" s="1" t="s">
        <v>299</v>
      </c>
      <c r="D108" s="1" t="s">
        <v>300</v>
      </c>
      <c r="E108" s="1" t="s">
        <v>16</v>
      </c>
      <c r="F108" s="1">
        <v>1</v>
      </c>
      <c r="G108" s="1" t="str">
        <f>CONCATENATE(Table1[[#This Row],[Duration_Years]]," ","years")</f>
        <v>1 years</v>
      </c>
      <c r="H108" s="11">
        <v>32400</v>
      </c>
      <c r="I108" s="1">
        <v>65.900000000000006</v>
      </c>
      <c r="J108" s="11">
        <v>900</v>
      </c>
      <c r="K108" s="11">
        <v>485</v>
      </c>
      <c r="L108" s="11">
        <v>800</v>
      </c>
      <c r="M108" s="22">
        <v>0.79</v>
      </c>
      <c r="N108" s="3" t="str">
        <f>IF(Table1[[#This Row],[Exchange_Rate]]&lt;5,"Strong Currency", IF(Table1[[#This Row],[Exchange_Rate]]&lt;=1000, "Medium Currency","Weak Currency"))</f>
        <v>Strong Currency</v>
      </c>
      <c r="O108" s="11">
        <f>(Table1[[#This Row],[Living_Cost_Index]]/123.3)*1850</f>
        <v>988.76723438767249</v>
      </c>
      <c r="P108" s="11">
        <f>Table1[[#This Row],[Monthly_Estimated_Living_cost]]*12</f>
        <v>11865.20681265207</v>
      </c>
      <c r="Q108" s="13">
        <f>Table1[[#This Row],[Tuition_USD]]+Table1[[#This Row],[Rent_USD]]+Table1[[#This Row],[Insurance_USD]]+Table1[[#This Row],[Visa_Fee_USD]]+Table1[[#This Row],[Annual_Estimated_Living_cost]]</f>
        <v>46450.206812652068</v>
      </c>
    </row>
    <row r="109" spans="1:17" x14ac:dyDescent="0.25">
      <c r="A109" s="2" t="s">
        <v>17</v>
      </c>
      <c r="B109" s="1" t="s">
        <v>301</v>
      </c>
      <c r="C109" s="1" t="s">
        <v>302</v>
      </c>
      <c r="D109" s="1" t="s">
        <v>15</v>
      </c>
      <c r="E109" s="1" t="s">
        <v>75</v>
      </c>
      <c r="F109" s="1">
        <v>3</v>
      </c>
      <c r="G109" s="1" t="str">
        <f>CONCATENATE(Table1[[#This Row],[Duration_Years]]," ","years")</f>
        <v>3 years</v>
      </c>
      <c r="H109" s="11">
        <v>28900</v>
      </c>
      <c r="I109" s="1">
        <v>64.8</v>
      </c>
      <c r="J109" s="11">
        <v>850</v>
      </c>
      <c r="K109" s="11">
        <v>485</v>
      </c>
      <c r="L109" s="11">
        <v>800</v>
      </c>
      <c r="M109" s="22">
        <v>0.79</v>
      </c>
      <c r="N109" s="3" t="str">
        <f>IF(Table1[[#This Row],[Exchange_Rate]]&lt;5,"Strong Currency", IF(Table1[[#This Row],[Exchange_Rate]]&lt;=1000, "Medium Currency","Weak Currency"))</f>
        <v>Strong Currency</v>
      </c>
      <c r="O109" s="11">
        <f>(Table1[[#This Row],[Living_Cost_Index]]/123.3)*1850</f>
        <v>972.2627737226278</v>
      </c>
      <c r="P109" s="11">
        <f>Table1[[#This Row],[Monthly_Estimated_Living_cost]]*12</f>
        <v>11667.153284671534</v>
      </c>
      <c r="Q109" s="13">
        <f>Table1[[#This Row],[Tuition_USD]]+Table1[[#This Row],[Rent_USD]]+Table1[[#This Row],[Insurance_USD]]+Table1[[#This Row],[Visa_Fee_USD]]+Table1[[#This Row],[Annual_Estimated_Living_cost]]</f>
        <v>42702.153284671534</v>
      </c>
    </row>
    <row r="110" spans="1:17" x14ac:dyDescent="0.25">
      <c r="A110" s="2" t="s">
        <v>17</v>
      </c>
      <c r="B110" s="1" t="s">
        <v>303</v>
      </c>
      <c r="C110" s="1" t="s">
        <v>304</v>
      </c>
      <c r="D110" s="1" t="s">
        <v>241</v>
      </c>
      <c r="E110" s="1" t="s">
        <v>16</v>
      </c>
      <c r="F110" s="1">
        <v>1</v>
      </c>
      <c r="G110" s="1" t="str">
        <f>CONCATENATE(Table1[[#This Row],[Duration_Years]]," ","years")</f>
        <v>1 years</v>
      </c>
      <c r="H110" s="11">
        <v>31200</v>
      </c>
      <c r="I110" s="1">
        <v>64.2</v>
      </c>
      <c r="J110" s="11">
        <v>800</v>
      </c>
      <c r="K110" s="11">
        <v>485</v>
      </c>
      <c r="L110" s="11">
        <v>800</v>
      </c>
      <c r="M110" s="22">
        <v>0.79</v>
      </c>
      <c r="N110" s="3" t="str">
        <f>IF(Table1[[#This Row],[Exchange_Rate]]&lt;5,"Strong Currency", IF(Table1[[#This Row],[Exchange_Rate]]&lt;=1000, "Medium Currency","Weak Currency"))</f>
        <v>Strong Currency</v>
      </c>
      <c r="O110" s="11">
        <f>(Table1[[#This Row],[Living_Cost_Index]]/123.3)*1850</f>
        <v>963.26034063260352</v>
      </c>
      <c r="P110" s="11">
        <f>Table1[[#This Row],[Monthly_Estimated_Living_cost]]*12</f>
        <v>11559.124087591243</v>
      </c>
      <c r="Q110" s="13">
        <f>Table1[[#This Row],[Tuition_USD]]+Table1[[#This Row],[Rent_USD]]+Table1[[#This Row],[Insurance_USD]]+Table1[[#This Row],[Visa_Fee_USD]]+Table1[[#This Row],[Annual_Estimated_Living_cost]]</f>
        <v>44844.124087591241</v>
      </c>
    </row>
    <row r="111" spans="1:17" x14ac:dyDescent="0.25">
      <c r="A111" s="2" t="s">
        <v>17</v>
      </c>
      <c r="B111" s="1" t="s">
        <v>305</v>
      </c>
      <c r="C111" s="1" t="s">
        <v>306</v>
      </c>
      <c r="D111" s="1" t="s">
        <v>307</v>
      </c>
      <c r="E111" s="1" t="s">
        <v>75</v>
      </c>
      <c r="F111" s="1">
        <v>3</v>
      </c>
      <c r="G111" s="1" t="str">
        <f>CONCATENATE(Table1[[#This Row],[Duration_Years]]," ","years")</f>
        <v>3 years</v>
      </c>
      <c r="H111" s="11">
        <v>27500</v>
      </c>
      <c r="I111" s="1">
        <v>63.5</v>
      </c>
      <c r="J111" s="11">
        <v>750</v>
      </c>
      <c r="K111" s="11">
        <v>485</v>
      </c>
      <c r="L111" s="11">
        <v>800</v>
      </c>
      <c r="M111" s="22">
        <v>0.79</v>
      </c>
      <c r="N111" s="3" t="str">
        <f>IF(Table1[[#This Row],[Exchange_Rate]]&lt;5,"Strong Currency", IF(Table1[[#This Row],[Exchange_Rate]]&lt;=1000, "Medium Currency","Weak Currency"))</f>
        <v>Strong Currency</v>
      </c>
      <c r="O111" s="11">
        <f>(Table1[[#This Row],[Living_Cost_Index]]/123.3)*1850</f>
        <v>952.75750202757501</v>
      </c>
      <c r="P111" s="11">
        <f>Table1[[#This Row],[Monthly_Estimated_Living_cost]]*12</f>
        <v>11433.090024330901</v>
      </c>
      <c r="Q111" s="13">
        <f>Table1[[#This Row],[Tuition_USD]]+Table1[[#This Row],[Rent_USD]]+Table1[[#This Row],[Insurance_USD]]+Table1[[#This Row],[Visa_Fee_USD]]+Table1[[#This Row],[Annual_Estimated_Living_cost]]</f>
        <v>40968.090024330901</v>
      </c>
    </row>
    <row r="112" spans="1:17" x14ac:dyDescent="0.25">
      <c r="A112" s="2" t="s">
        <v>17</v>
      </c>
      <c r="B112" s="1" t="s">
        <v>231</v>
      </c>
      <c r="C112" s="1" t="s">
        <v>308</v>
      </c>
      <c r="D112" s="1" t="s">
        <v>71</v>
      </c>
      <c r="E112" s="1" t="s">
        <v>16</v>
      </c>
      <c r="F112" s="1">
        <v>1</v>
      </c>
      <c r="G112" s="1" t="str">
        <f>CONCATENATE(Table1[[#This Row],[Duration_Years]]," ","years")</f>
        <v>1 years</v>
      </c>
      <c r="H112" s="11">
        <v>30800</v>
      </c>
      <c r="I112" s="1">
        <v>64.599999999999994</v>
      </c>
      <c r="J112" s="11">
        <v>800</v>
      </c>
      <c r="K112" s="11">
        <v>485</v>
      </c>
      <c r="L112" s="11">
        <v>800</v>
      </c>
      <c r="M112" s="22">
        <v>0.79</v>
      </c>
      <c r="N112" s="3" t="str">
        <f>IF(Table1[[#This Row],[Exchange_Rate]]&lt;5,"Strong Currency", IF(Table1[[#This Row],[Exchange_Rate]]&lt;=1000, "Medium Currency","Weak Currency"))</f>
        <v>Strong Currency</v>
      </c>
      <c r="O112" s="11">
        <f>(Table1[[#This Row],[Living_Cost_Index]]/123.3)*1850</f>
        <v>969.26196269261959</v>
      </c>
      <c r="P112" s="11">
        <f>Table1[[#This Row],[Monthly_Estimated_Living_cost]]*12</f>
        <v>11631.143552311434</v>
      </c>
      <c r="Q112" s="13">
        <f>Table1[[#This Row],[Tuition_USD]]+Table1[[#This Row],[Rent_USD]]+Table1[[#This Row],[Insurance_USD]]+Table1[[#This Row],[Visa_Fee_USD]]+Table1[[#This Row],[Annual_Estimated_Living_cost]]</f>
        <v>44516.143552311434</v>
      </c>
    </row>
    <row r="113" spans="1:17" x14ac:dyDescent="0.25">
      <c r="A113" s="2" t="s">
        <v>21</v>
      </c>
      <c r="B113" s="1" t="s">
        <v>309</v>
      </c>
      <c r="C113" s="1" t="s">
        <v>310</v>
      </c>
      <c r="D113" s="1" t="s">
        <v>207</v>
      </c>
      <c r="E113" s="1" t="s">
        <v>75</v>
      </c>
      <c r="F113" s="1">
        <v>4</v>
      </c>
      <c r="G113" s="1" t="str">
        <f>CONCATENATE(Table1[[#This Row],[Duration_Years]]," ","years")</f>
        <v>4 years</v>
      </c>
      <c r="H113" s="11">
        <v>32500</v>
      </c>
      <c r="I113" s="1">
        <v>68.5</v>
      </c>
      <c r="J113" s="11">
        <v>1200</v>
      </c>
      <c r="K113" s="11">
        <v>235</v>
      </c>
      <c r="L113" s="11">
        <v>900</v>
      </c>
      <c r="M113" s="22">
        <v>1.35</v>
      </c>
      <c r="N113" s="3" t="str">
        <f>IF(Table1[[#This Row],[Exchange_Rate]]&lt;5,"Strong Currency", IF(Table1[[#This Row],[Exchange_Rate]]&lt;=1000, "Medium Currency","Weak Currency"))</f>
        <v>Strong Currency</v>
      </c>
      <c r="O113" s="11">
        <f>(Table1[[#This Row],[Living_Cost_Index]]/123.3)*1850</f>
        <v>1027.7777777777778</v>
      </c>
      <c r="P113" s="11">
        <f>Table1[[#This Row],[Monthly_Estimated_Living_cost]]*12</f>
        <v>12333.333333333334</v>
      </c>
      <c r="Q113" s="13">
        <f>Table1[[#This Row],[Tuition_USD]]+Table1[[#This Row],[Rent_USD]]+Table1[[#This Row],[Insurance_USD]]+Table1[[#This Row],[Visa_Fee_USD]]+Table1[[#This Row],[Annual_Estimated_Living_cost]]</f>
        <v>47168.333333333336</v>
      </c>
    </row>
    <row r="114" spans="1:17" x14ac:dyDescent="0.25">
      <c r="A114" s="2" t="s">
        <v>21</v>
      </c>
      <c r="B114" s="1" t="s">
        <v>311</v>
      </c>
      <c r="C114" s="1" t="s">
        <v>312</v>
      </c>
      <c r="D114" s="1" t="s">
        <v>15</v>
      </c>
      <c r="E114" s="1" t="s">
        <v>16</v>
      </c>
      <c r="F114" s="1">
        <v>2</v>
      </c>
      <c r="G114" s="1" t="str">
        <f>CONCATENATE(Table1[[#This Row],[Duration_Years]]," ","years")</f>
        <v>2 years</v>
      </c>
      <c r="H114" s="11">
        <v>29800</v>
      </c>
      <c r="I114" s="1">
        <v>65.8</v>
      </c>
      <c r="J114" s="11">
        <v>1100</v>
      </c>
      <c r="K114" s="11">
        <v>235</v>
      </c>
      <c r="L114" s="11">
        <v>900</v>
      </c>
      <c r="M114" s="22">
        <v>1.35</v>
      </c>
      <c r="N114" s="3" t="str">
        <f>IF(Table1[[#This Row],[Exchange_Rate]]&lt;5,"Strong Currency", IF(Table1[[#This Row],[Exchange_Rate]]&lt;=1000, "Medium Currency","Weak Currency"))</f>
        <v>Strong Currency</v>
      </c>
      <c r="O114" s="11">
        <f>(Table1[[#This Row],[Living_Cost_Index]]/123.3)*1850</f>
        <v>987.26682887266816</v>
      </c>
      <c r="P114" s="11">
        <f>Table1[[#This Row],[Monthly_Estimated_Living_cost]]*12</f>
        <v>11847.201946472018</v>
      </c>
      <c r="Q114" s="13">
        <f>Table1[[#This Row],[Tuition_USD]]+Table1[[#This Row],[Rent_USD]]+Table1[[#This Row],[Insurance_USD]]+Table1[[#This Row],[Visa_Fee_USD]]+Table1[[#This Row],[Annual_Estimated_Living_cost]]</f>
        <v>43882.201946472022</v>
      </c>
    </row>
    <row r="115" spans="1:17" x14ac:dyDescent="0.25">
      <c r="A115" s="2" t="s">
        <v>21</v>
      </c>
      <c r="B115" s="1" t="s">
        <v>313</v>
      </c>
      <c r="C115" s="1" t="s">
        <v>314</v>
      </c>
      <c r="D115" s="1" t="s">
        <v>20</v>
      </c>
      <c r="E115" s="1" t="s">
        <v>16</v>
      </c>
      <c r="F115" s="1">
        <v>2</v>
      </c>
      <c r="G115" s="1" t="str">
        <f>CONCATENATE(Table1[[#This Row],[Duration_Years]]," ","years")</f>
        <v>2 years</v>
      </c>
      <c r="H115" s="11">
        <v>28500</v>
      </c>
      <c r="I115" s="1">
        <v>64.5</v>
      </c>
      <c r="J115" s="11">
        <v>1200</v>
      </c>
      <c r="K115" s="11">
        <v>235</v>
      </c>
      <c r="L115" s="11">
        <v>900</v>
      </c>
      <c r="M115" s="22">
        <v>1.35</v>
      </c>
      <c r="N115" s="3" t="str">
        <f>IF(Table1[[#This Row],[Exchange_Rate]]&lt;5,"Strong Currency", IF(Table1[[#This Row],[Exchange_Rate]]&lt;=1000, "Medium Currency","Weak Currency"))</f>
        <v>Strong Currency</v>
      </c>
      <c r="O115" s="11">
        <f>(Table1[[#This Row],[Living_Cost_Index]]/123.3)*1850</f>
        <v>967.7615571776156</v>
      </c>
      <c r="P115" s="11">
        <f>Table1[[#This Row],[Monthly_Estimated_Living_cost]]*12</f>
        <v>11613.138686131388</v>
      </c>
      <c r="Q115" s="13">
        <f>Table1[[#This Row],[Tuition_USD]]+Table1[[#This Row],[Rent_USD]]+Table1[[#This Row],[Insurance_USD]]+Table1[[#This Row],[Visa_Fee_USD]]+Table1[[#This Row],[Annual_Estimated_Living_cost]]</f>
        <v>42448.138686131388</v>
      </c>
    </row>
    <row r="116" spans="1:17" x14ac:dyDescent="0.25">
      <c r="A116" s="2" t="s">
        <v>21</v>
      </c>
      <c r="B116" s="1" t="s">
        <v>315</v>
      </c>
      <c r="C116" s="1" t="s">
        <v>316</v>
      </c>
      <c r="D116" s="1" t="s">
        <v>63</v>
      </c>
      <c r="E116" s="1" t="s">
        <v>75</v>
      </c>
      <c r="F116" s="1">
        <v>4</v>
      </c>
      <c r="G116" s="1" t="str">
        <f>CONCATENATE(Table1[[#This Row],[Duration_Years]]," ","years")</f>
        <v>4 years</v>
      </c>
      <c r="H116" s="11">
        <v>27900</v>
      </c>
      <c r="I116" s="1">
        <v>69.2</v>
      </c>
      <c r="J116" s="11">
        <v>1300</v>
      </c>
      <c r="K116" s="11">
        <v>235</v>
      </c>
      <c r="L116" s="11">
        <v>900</v>
      </c>
      <c r="M116" s="22">
        <v>1.35</v>
      </c>
      <c r="N116" s="3" t="str">
        <f>IF(Table1[[#This Row],[Exchange_Rate]]&lt;5,"Strong Currency", IF(Table1[[#This Row],[Exchange_Rate]]&lt;=1000, "Medium Currency","Weak Currency"))</f>
        <v>Strong Currency</v>
      </c>
      <c r="O116" s="11">
        <f>(Table1[[#This Row],[Living_Cost_Index]]/123.3)*1850</f>
        <v>1038.2806163828063</v>
      </c>
      <c r="P116" s="11">
        <f>Table1[[#This Row],[Monthly_Estimated_Living_cost]]*12</f>
        <v>12459.367396593676</v>
      </c>
      <c r="Q116" s="13">
        <f>Table1[[#This Row],[Tuition_USD]]+Table1[[#This Row],[Rent_USD]]+Table1[[#This Row],[Insurance_USD]]+Table1[[#This Row],[Visa_Fee_USD]]+Table1[[#This Row],[Annual_Estimated_Living_cost]]</f>
        <v>42794.367396593676</v>
      </c>
    </row>
    <row r="117" spans="1:17" x14ac:dyDescent="0.25">
      <c r="A117" s="2" t="s">
        <v>21</v>
      </c>
      <c r="B117" s="1" t="s">
        <v>317</v>
      </c>
      <c r="C117" s="1" t="s">
        <v>318</v>
      </c>
      <c r="D117" s="1" t="s">
        <v>40</v>
      </c>
      <c r="E117" s="1" t="s">
        <v>16</v>
      </c>
      <c r="F117" s="1">
        <v>2</v>
      </c>
      <c r="G117" s="1" t="str">
        <f>CONCATENATE(Table1[[#This Row],[Duration_Years]]," ","years")</f>
        <v>2 years</v>
      </c>
      <c r="H117" s="11">
        <v>21500</v>
      </c>
      <c r="I117" s="1">
        <v>63.8</v>
      </c>
      <c r="J117" s="11">
        <v>900</v>
      </c>
      <c r="K117" s="11">
        <v>235</v>
      </c>
      <c r="L117" s="11">
        <v>900</v>
      </c>
      <c r="M117" s="22">
        <v>1.35</v>
      </c>
      <c r="N117" s="3" t="str">
        <f>IF(Table1[[#This Row],[Exchange_Rate]]&lt;5,"Strong Currency", IF(Table1[[#This Row],[Exchange_Rate]]&lt;=1000, "Medium Currency","Weak Currency"))</f>
        <v>Strong Currency</v>
      </c>
      <c r="O117" s="11">
        <f>(Table1[[#This Row],[Living_Cost_Index]]/123.3)*1850</f>
        <v>957.25871857258721</v>
      </c>
      <c r="P117" s="11">
        <f>Table1[[#This Row],[Monthly_Estimated_Living_cost]]*12</f>
        <v>11487.104622871047</v>
      </c>
      <c r="Q117" s="13">
        <f>Table1[[#This Row],[Tuition_USD]]+Table1[[#This Row],[Rent_USD]]+Table1[[#This Row],[Insurance_USD]]+Table1[[#This Row],[Visa_Fee_USD]]+Table1[[#This Row],[Annual_Estimated_Living_cost]]</f>
        <v>35022.104622871047</v>
      </c>
    </row>
    <row r="118" spans="1:17" x14ac:dyDescent="0.25">
      <c r="A118" s="2" t="s">
        <v>21</v>
      </c>
      <c r="B118" s="1" t="s">
        <v>319</v>
      </c>
      <c r="C118" s="1" t="s">
        <v>320</v>
      </c>
      <c r="D118" s="1" t="s">
        <v>15</v>
      </c>
      <c r="E118" s="1" t="s">
        <v>75</v>
      </c>
      <c r="F118" s="1">
        <v>4</v>
      </c>
      <c r="G118" s="1" t="str">
        <f>CONCATENATE(Table1[[#This Row],[Duration_Years]]," ","years")</f>
        <v>4 years</v>
      </c>
      <c r="H118" s="11">
        <v>26800</v>
      </c>
      <c r="I118" s="1">
        <v>62.5</v>
      </c>
      <c r="J118" s="11">
        <v>950</v>
      </c>
      <c r="K118" s="11">
        <v>235</v>
      </c>
      <c r="L118" s="11">
        <v>900</v>
      </c>
      <c r="M118" s="22">
        <v>1.35</v>
      </c>
      <c r="N118" s="3" t="str">
        <f>IF(Table1[[#This Row],[Exchange_Rate]]&lt;5,"Strong Currency", IF(Table1[[#This Row],[Exchange_Rate]]&lt;=1000, "Medium Currency","Weak Currency"))</f>
        <v>Strong Currency</v>
      </c>
      <c r="O118" s="11">
        <f>(Table1[[#This Row],[Living_Cost_Index]]/123.3)*1850</f>
        <v>937.75344687753443</v>
      </c>
      <c r="P118" s="11">
        <f>Table1[[#This Row],[Monthly_Estimated_Living_cost]]*12</f>
        <v>11253.041362530414</v>
      </c>
      <c r="Q118" s="13">
        <f>Table1[[#This Row],[Tuition_USD]]+Table1[[#This Row],[Rent_USD]]+Table1[[#This Row],[Insurance_USD]]+Table1[[#This Row],[Visa_Fee_USD]]+Table1[[#This Row],[Annual_Estimated_Living_cost]]</f>
        <v>40138.041362530414</v>
      </c>
    </row>
    <row r="119" spans="1:17" x14ac:dyDescent="0.25">
      <c r="A119" s="2" t="s">
        <v>21</v>
      </c>
      <c r="B119" s="1" t="s">
        <v>321</v>
      </c>
      <c r="C119" s="1" t="s">
        <v>322</v>
      </c>
      <c r="D119" s="1" t="s">
        <v>260</v>
      </c>
      <c r="E119" s="1" t="s">
        <v>75</v>
      </c>
      <c r="F119" s="1">
        <v>4</v>
      </c>
      <c r="G119" s="1" t="str">
        <f>CONCATENATE(Table1[[#This Row],[Duration_Years]]," ","years")</f>
        <v>4 years</v>
      </c>
      <c r="H119" s="11">
        <v>25500</v>
      </c>
      <c r="I119" s="1">
        <v>61.8</v>
      </c>
      <c r="J119" s="11">
        <v>900</v>
      </c>
      <c r="K119" s="11">
        <v>235</v>
      </c>
      <c r="L119" s="11">
        <v>900</v>
      </c>
      <c r="M119" s="22">
        <v>1.35</v>
      </c>
      <c r="N119" s="3" t="str">
        <f>IF(Table1[[#This Row],[Exchange_Rate]]&lt;5,"Strong Currency", IF(Table1[[#This Row],[Exchange_Rate]]&lt;=1000, "Medium Currency","Weak Currency"))</f>
        <v>Strong Currency</v>
      </c>
      <c r="O119" s="11">
        <f>(Table1[[#This Row],[Living_Cost_Index]]/123.3)*1850</f>
        <v>927.25060827250593</v>
      </c>
      <c r="P119" s="11">
        <f>Table1[[#This Row],[Monthly_Estimated_Living_cost]]*12</f>
        <v>11127.007299270072</v>
      </c>
      <c r="Q119" s="13">
        <f>Table1[[#This Row],[Tuition_USD]]+Table1[[#This Row],[Rent_USD]]+Table1[[#This Row],[Insurance_USD]]+Table1[[#This Row],[Visa_Fee_USD]]+Table1[[#This Row],[Annual_Estimated_Living_cost]]</f>
        <v>38662.007299270073</v>
      </c>
    </row>
    <row r="120" spans="1:17" x14ac:dyDescent="0.25">
      <c r="A120" s="2" t="s">
        <v>21</v>
      </c>
      <c r="B120" s="1" t="s">
        <v>323</v>
      </c>
      <c r="C120" s="1" t="s">
        <v>324</v>
      </c>
      <c r="D120" s="1" t="s">
        <v>15</v>
      </c>
      <c r="E120" s="1" t="s">
        <v>16</v>
      </c>
      <c r="F120" s="1">
        <v>2</v>
      </c>
      <c r="G120" s="1" t="str">
        <f>CONCATENATE(Table1[[#This Row],[Duration_Years]]," ","years")</f>
        <v>2 years</v>
      </c>
      <c r="H120" s="11">
        <v>19800</v>
      </c>
      <c r="I120" s="1">
        <v>63.2</v>
      </c>
      <c r="J120" s="11">
        <v>950</v>
      </c>
      <c r="K120" s="11">
        <v>235</v>
      </c>
      <c r="L120" s="11">
        <v>900</v>
      </c>
      <c r="M120" s="22">
        <v>1.35</v>
      </c>
      <c r="N120" s="3" t="str">
        <f>IF(Table1[[#This Row],[Exchange_Rate]]&lt;5,"Strong Currency", IF(Table1[[#This Row],[Exchange_Rate]]&lt;=1000, "Medium Currency","Weak Currency"))</f>
        <v>Strong Currency</v>
      </c>
      <c r="O120" s="11">
        <f>(Table1[[#This Row],[Living_Cost_Index]]/123.3)*1850</f>
        <v>948.25628548256282</v>
      </c>
      <c r="P120" s="11">
        <f>Table1[[#This Row],[Monthly_Estimated_Living_cost]]*12</f>
        <v>11379.075425790754</v>
      </c>
      <c r="Q120" s="13">
        <f>Table1[[#This Row],[Tuition_USD]]+Table1[[#This Row],[Rent_USD]]+Table1[[#This Row],[Insurance_USD]]+Table1[[#This Row],[Visa_Fee_USD]]+Table1[[#This Row],[Annual_Estimated_Living_cost]]</f>
        <v>33264.075425790754</v>
      </c>
    </row>
    <row r="121" spans="1:17" x14ac:dyDescent="0.25">
      <c r="A121" s="2" t="s">
        <v>21</v>
      </c>
      <c r="B121" s="1" t="s">
        <v>325</v>
      </c>
      <c r="C121" s="1" t="s">
        <v>326</v>
      </c>
      <c r="D121" s="1" t="s">
        <v>71</v>
      </c>
      <c r="E121" s="1" t="s">
        <v>16</v>
      </c>
      <c r="F121" s="1">
        <v>2</v>
      </c>
      <c r="G121" s="1" t="str">
        <f>CONCATENATE(Table1[[#This Row],[Duration_Years]]," ","years")</f>
        <v>2 years</v>
      </c>
      <c r="H121" s="11">
        <v>24500</v>
      </c>
      <c r="I121" s="1">
        <v>62.8</v>
      </c>
      <c r="J121" s="11">
        <v>1000</v>
      </c>
      <c r="K121" s="11">
        <v>235</v>
      </c>
      <c r="L121" s="11">
        <v>900</v>
      </c>
      <c r="M121" s="22">
        <v>1.35</v>
      </c>
      <c r="N121" s="3" t="str">
        <f>IF(Table1[[#This Row],[Exchange_Rate]]&lt;5,"Strong Currency", IF(Table1[[#This Row],[Exchange_Rate]]&lt;=1000, "Medium Currency","Weak Currency"))</f>
        <v>Strong Currency</v>
      </c>
      <c r="O121" s="11">
        <f>(Table1[[#This Row],[Living_Cost_Index]]/123.3)*1850</f>
        <v>942.25466342254663</v>
      </c>
      <c r="P121" s="11">
        <f>Table1[[#This Row],[Monthly_Estimated_Living_cost]]*12</f>
        <v>11307.05596107056</v>
      </c>
      <c r="Q121" s="13">
        <f>Table1[[#This Row],[Tuition_USD]]+Table1[[#This Row],[Rent_USD]]+Table1[[#This Row],[Insurance_USD]]+Table1[[#This Row],[Visa_Fee_USD]]+Table1[[#This Row],[Annual_Estimated_Living_cost]]</f>
        <v>37942.05596107056</v>
      </c>
    </row>
    <row r="122" spans="1:17" x14ac:dyDescent="0.25">
      <c r="A122" s="2" t="s">
        <v>21</v>
      </c>
      <c r="B122" s="1" t="s">
        <v>327</v>
      </c>
      <c r="C122" s="1" t="s">
        <v>328</v>
      </c>
      <c r="D122" s="1" t="s">
        <v>63</v>
      </c>
      <c r="E122" s="1" t="s">
        <v>1353</v>
      </c>
      <c r="F122" s="1">
        <v>4</v>
      </c>
      <c r="G122" s="1" t="str">
        <f>CONCATENATE(Table1[[#This Row],[Duration_Years]]," ","years")</f>
        <v>4 years</v>
      </c>
      <c r="H122" s="11">
        <v>20500</v>
      </c>
      <c r="I122" s="1">
        <v>61.5</v>
      </c>
      <c r="J122" s="11">
        <v>850</v>
      </c>
      <c r="K122" s="11">
        <v>235</v>
      </c>
      <c r="L122" s="11">
        <v>900</v>
      </c>
      <c r="M122" s="22">
        <v>1.35</v>
      </c>
      <c r="N122" s="3" t="str">
        <f>IF(Table1[[#This Row],[Exchange_Rate]]&lt;5,"Strong Currency", IF(Table1[[#This Row],[Exchange_Rate]]&lt;=1000, "Medium Currency","Weak Currency"))</f>
        <v>Strong Currency</v>
      </c>
      <c r="O122" s="11">
        <f>(Table1[[#This Row],[Living_Cost_Index]]/123.3)*1850</f>
        <v>922.74939172749396</v>
      </c>
      <c r="P122" s="11">
        <f>Table1[[#This Row],[Monthly_Estimated_Living_cost]]*12</f>
        <v>11072.992700729927</v>
      </c>
      <c r="Q122" s="13">
        <f>Table1[[#This Row],[Tuition_USD]]+Table1[[#This Row],[Rent_USD]]+Table1[[#This Row],[Insurance_USD]]+Table1[[#This Row],[Visa_Fee_USD]]+Table1[[#This Row],[Annual_Estimated_Living_cost]]</f>
        <v>33557.992700729927</v>
      </c>
    </row>
    <row r="123" spans="1:17" x14ac:dyDescent="0.25">
      <c r="A123" s="2" t="s">
        <v>12</v>
      </c>
      <c r="B123" s="1" t="s">
        <v>329</v>
      </c>
      <c r="C123" s="1" t="s">
        <v>330</v>
      </c>
      <c r="D123" s="1" t="s">
        <v>15</v>
      </c>
      <c r="E123" s="1" t="s">
        <v>16</v>
      </c>
      <c r="F123" s="1">
        <v>2</v>
      </c>
      <c r="G123" s="1" t="str">
        <f>CONCATENATE(Table1[[#This Row],[Duration_Years]]," ","years")</f>
        <v>2 years</v>
      </c>
      <c r="H123" s="11">
        <v>51200</v>
      </c>
      <c r="I123" s="1">
        <v>72.400000000000006</v>
      </c>
      <c r="J123" s="11">
        <v>1800</v>
      </c>
      <c r="K123" s="11">
        <v>160</v>
      </c>
      <c r="L123" s="11">
        <v>1500</v>
      </c>
      <c r="M123" s="22">
        <v>1</v>
      </c>
      <c r="N123" s="3" t="str">
        <f>IF(Table1[[#This Row],[Exchange_Rate]]&lt;5,"Strong Currency", IF(Table1[[#This Row],[Exchange_Rate]]&lt;=1000, "Medium Currency","Weak Currency"))</f>
        <v>Strong Currency</v>
      </c>
      <c r="O123" s="11">
        <f>(Table1[[#This Row],[Living_Cost_Index]]/123.3)*1850</f>
        <v>1086.2935928629361</v>
      </c>
      <c r="P123" s="11">
        <f>Table1[[#This Row],[Monthly_Estimated_Living_cost]]*12</f>
        <v>13035.523114355234</v>
      </c>
      <c r="Q123" s="13">
        <f>Table1[[#This Row],[Tuition_USD]]+Table1[[#This Row],[Rent_USD]]+Table1[[#This Row],[Insurance_USD]]+Table1[[#This Row],[Visa_Fee_USD]]+Table1[[#This Row],[Annual_Estimated_Living_cost]]</f>
        <v>67695.523114355237</v>
      </c>
    </row>
    <row r="124" spans="1:17" x14ac:dyDescent="0.25">
      <c r="A124" s="2" t="s">
        <v>12</v>
      </c>
      <c r="B124" s="1" t="s">
        <v>331</v>
      </c>
      <c r="C124" s="1" t="s">
        <v>332</v>
      </c>
      <c r="D124" s="1" t="s">
        <v>15</v>
      </c>
      <c r="E124" s="1" t="s">
        <v>1353</v>
      </c>
      <c r="F124" s="1">
        <v>5</v>
      </c>
      <c r="G124" s="1" t="str">
        <f>CONCATENATE(Table1[[#This Row],[Duration_Years]]," ","years")</f>
        <v>5 years</v>
      </c>
      <c r="H124" s="11">
        <v>45800</v>
      </c>
      <c r="I124" s="1">
        <v>68.5</v>
      </c>
      <c r="J124" s="11">
        <v>1400</v>
      </c>
      <c r="K124" s="11">
        <v>160</v>
      </c>
      <c r="L124" s="11">
        <v>1500</v>
      </c>
      <c r="M124" s="22">
        <v>1</v>
      </c>
      <c r="N124" s="3" t="str">
        <f>IF(Table1[[#This Row],[Exchange_Rate]]&lt;5,"Strong Currency", IF(Table1[[#This Row],[Exchange_Rate]]&lt;=1000, "Medium Currency","Weak Currency"))</f>
        <v>Strong Currency</v>
      </c>
      <c r="O124" s="11">
        <f>(Table1[[#This Row],[Living_Cost_Index]]/123.3)*1850</f>
        <v>1027.7777777777778</v>
      </c>
      <c r="P124" s="11">
        <f>Table1[[#This Row],[Monthly_Estimated_Living_cost]]*12</f>
        <v>12333.333333333334</v>
      </c>
      <c r="Q124" s="13">
        <f>Table1[[#This Row],[Tuition_USD]]+Table1[[#This Row],[Rent_USD]]+Table1[[#This Row],[Insurance_USD]]+Table1[[#This Row],[Visa_Fee_USD]]+Table1[[#This Row],[Annual_Estimated_Living_cost]]</f>
        <v>61193.333333333336</v>
      </c>
    </row>
    <row r="125" spans="1:17" x14ac:dyDescent="0.25">
      <c r="A125" s="2" t="s">
        <v>21</v>
      </c>
      <c r="B125" s="1" t="s">
        <v>333</v>
      </c>
      <c r="C125" s="1" t="s">
        <v>334</v>
      </c>
      <c r="D125" s="1" t="s">
        <v>207</v>
      </c>
      <c r="E125" s="1" t="s">
        <v>75</v>
      </c>
      <c r="F125" s="1">
        <v>4</v>
      </c>
      <c r="G125" s="1" t="str">
        <f>CONCATENATE(Table1[[#This Row],[Duration_Years]]," ","years")</f>
        <v>4 years</v>
      </c>
      <c r="H125" s="11">
        <v>26500</v>
      </c>
      <c r="I125" s="1">
        <v>69.2</v>
      </c>
      <c r="J125" s="11">
        <v>1300</v>
      </c>
      <c r="K125" s="11">
        <v>235</v>
      </c>
      <c r="L125" s="11">
        <v>900</v>
      </c>
      <c r="M125" s="22">
        <v>1.35</v>
      </c>
      <c r="N125" s="3" t="str">
        <f>IF(Table1[[#This Row],[Exchange_Rate]]&lt;5,"Strong Currency", IF(Table1[[#This Row],[Exchange_Rate]]&lt;=1000, "Medium Currency","Weak Currency"))</f>
        <v>Strong Currency</v>
      </c>
      <c r="O125" s="11">
        <f>(Table1[[#This Row],[Living_Cost_Index]]/123.3)*1850</f>
        <v>1038.2806163828063</v>
      </c>
      <c r="P125" s="11">
        <f>Table1[[#This Row],[Monthly_Estimated_Living_cost]]*12</f>
        <v>12459.367396593676</v>
      </c>
      <c r="Q125" s="13">
        <f>Table1[[#This Row],[Tuition_USD]]+Table1[[#This Row],[Rent_USD]]+Table1[[#This Row],[Insurance_USD]]+Table1[[#This Row],[Visa_Fee_USD]]+Table1[[#This Row],[Annual_Estimated_Living_cost]]</f>
        <v>41394.367396593676</v>
      </c>
    </row>
    <row r="126" spans="1:17" x14ac:dyDescent="0.25">
      <c r="A126" s="2" t="s">
        <v>335</v>
      </c>
      <c r="B126" s="1" t="s">
        <v>336</v>
      </c>
      <c r="C126" s="1" t="s">
        <v>337</v>
      </c>
      <c r="D126" s="1" t="s">
        <v>15</v>
      </c>
      <c r="E126" s="1" t="s">
        <v>16</v>
      </c>
      <c r="F126" s="1">
        <v>2</v>
      </c>
      <c r="G126" s="1" t="str">
        <f>CONCATENATE(Table1[[#This Row],[Duration_Years]]," ","years")</f>
        <v>2 years</v>
      </c>
      <c r="H126" s="11">
        <v>0</v>
      </c>
      <c r="I126" s="1">
        <v>48.5</v>
      </c>
      <c r="J126" s="11">
        <v>600</v>
      </c>
      <c r="K126" s="11">
        <v>160</v>
      </c>
      <c r="L126" s="11">
        <v>400</v>
      </c>
      <c r="M126" s="22">
        <v>4.95</v>
      </c>
      <c r="N126" s="3" t="str">
        <f>IF(Table1[[#This Row],[Exchange_Rate]]&lt;5,"Strong Currency", IF(Table1[[#This Row],[Exchange_Rate]]&lt;=1000, "Medium Currency","Weak Currency"))</f>
        <v>Strong Currency</v>
      </c>
      <c r="O126" s="11">
        <f>(Table1[[#This Row],[Living_Cost_Index]]/123.3)*1850</f>
        <v>727.69667477696669</v>
      </c>
      <c r="P126" s="11">
        <f>Table1[[#This Row],[Monthly_Estimated_Living_cost]]*12</f>
        <v>8732.3600973236007</v>
      </c>
      <c r="Q126" s="13">
        <f>Table1[[#This Row],[Tuition_USD]]+Table1[[#This Row],[Rent_USD]]+Table1[[#This Row],[Insurance_USD]]+Table1[[#This Row],[Visa_Fee_USD]]+Table1[[#This Row],[Annual_Estimated_Living_cost]]</f>
        <v>9892.3600973236007</v>
      </c>
    </row>
    <row r="127" spans="1:17" x14ac:dyDescent="0.25">
      <c r="A127" s="2" t="s">
        <v>338</v>
      </c>
      <c r="B127" s="1" t="s">
        <v>339</v>
      </c>
      <c r="C127" s="1" t="s">
        <v>340</v>
      </c>
      <c r="D127" s="1" t="s">
        <v>63</v>
      </c>
      <c r="E127" s="1" t="s">
        <v>75</v>
      </c>
      <c r="F127" s="1">
        <v>4</v>
      </c>
      <c r="G127" s="1" t="str">
        <f>CONCATENATE(Table1[[#This Row],[Duration_Years]]," ","years")</f>
        <v>4 years</v>
      </c>
      <c r="H127" s="11">
        <v>1800</v>
      </c>
      <c r="I127" s="1">
        <v>42.8</v>
      </c>
      <c r="J127" s="11">
        <v>450</v>
      </c>
      <c r="K127" s="11">
        <v>100</v>
      </c>
      <c r="L127" s="11">
        <v>300</v>
      </c>
      <c r="M127" s="22">
        <v>30.5</v>
      </c>
      <c r="N127" s="3" t="str">
        <f>IF(Table1[[#This Row],[Exchange_Rate]]&lt;5,"Strong Currency", IF(Table1[[#This Row],[Exchange_Rate]]&lt;=1000, "Medium Currency","Weak Currency"))</f>
        <v>Medium Currency</v>
      </c>
      <c r="O127" s="11">
        <f>(Table1[[#This Row],[Living_Cost_Index]]/123.3)*1850</f>
        <v>642.1735604217356</v>
      </c>
      <c r="P127" s="11">
        <f>Table1[[#This Row],[Monthly_Estimated_Living_cost]]*12</f>
        <v>7706.0827250608272</v>
      </c>
      <c r="Q127" s="13">
        <f>Table1[[#This Row],[Tuition_USD]]+Table1[[#This Row],[Rent_USD]]+Table1[[#This Row],[Insurance_USD]]+Table1[[#This Row],[Visa_Fee_USD]]+Table1[[#This Row],[Annual_Estimated_Living_cost]]</f>
        <v>10356.082725060827</v>
      </c>
    </row>
    <row r="128" spans="1:17" x14ac:dyDescent="0.25">
      <c r="A128" s="2" t="s">
        <v>341</v>
      </c>
      <c r="B128" s="1" t="s">
        <v>342</v>
      </c>
      <c r="C128" s="1" t="s">
        <v>343</v>
      </c>
      <c r="D128" s="1" t="s">
        <v>344</v>
      </c>
      <c r="E128" s="1" t="s">
        <v>16</v>
      </c>
      <c r="F128" s="1">
        <v>2</v>
      </c>
      <c r="G128" s="1" t="str">
        <f>CONCATENATE(Table1[[#This Row],[Duration_Years]]," ","years")</f>
        <v>2 years</v>
      </c>
      <c r="H128" s="11">
        <v>3900</v>
      </c>
      <c r="I128" s="1">
        <v>51.2</v>
      </c>
      <c r="J128" s="11">
        <v>700</v>
      </c>
      <c r="K128" s="11">
        <v>120</v>
      </c>
      <c r="L128" s="11">
        <v>350</v>
      </c>
      <c r="M128" s="22">
        <v>92.8</v>
      </c>
      <c r="N128" s="3" t="str">
        <f>IF(Table1[[#This Row],[Exchange_Rate]]&lt;5,"Strong Currency", IF(Table1[[#This Row],[Exchange_Rate]]&lt;=1000, "Medium Currency","Weak Currency"))</f>
        <v>Medium Currency</v>
      </c>
      <c r="O128" s="11">
        <f>(Table1[[#This Row],[Living_Cost_Index]]/123.3)*1850</f>
        <v>768.20762368207625</v>
      </c>
      <c r="P128" s="11">
        <f>Table1[[#This Row],[Monthly_Estimated_Living_cost]]*12</f>
        <v>9218.491484184915</v>
      </c>
      <c r="Q128" s="13">
        <f>Table1[[#This Row],[Tuition_USD]]+Table1[[#This Row],[Rent_USD]]+Table1[[#This Row],[Insurance_USD]]+Table1[[#This Row],[Visa_Fee_USD]]+Table1[[#This Row],[Annual_Estimated_Living_cost]]</f>
        <v>14288.491484184915</v>
      </c>
    </row>
    <row r="129" spans="1:17" x14ac:dyDescent="0.25">
      <c r="A129" s="2" t="s">
        <v>345</v>
      </c>
      <c r="B129" s="1" t="s">
        <v>346</v>
      </c>
      <c r="C129" s="1" t="s">
        <v>347</v>
      </c>
      <c r="D129" s="1" t="s">
        <v>63</v>
      </c>
      <c r="E129" s="1" t="s">
        <v>75</v>
      </c>
      <c r="F129" s="1">
        <v>4</v>
      </c>
      <c r="G129" s="1" t="str">
        <f>CONCATENATE(Table1[[#This Row],[Duration_Years]]," ","years")</f>
        <v>4 years</v>
      </c>
      <c r="H129" s="11">
        <v>800</v>
      </c>
      <c r="I129" s="1">
        <v>44.6</v>
      </c>
      <c r="J129" s="11">
        <v>500</v>
      </c>
      <c r="K129" s="11">
        <v>160</v>
      </c>
      <c r="L129" s="11">
        <v>400</v>
      </c>
      <c r="M129" s="22">
        <v>17.2</v>
      </c>
      <c r="N129" s="3" t="str">
        <f>IF(Table1[[#This Row],[Exchange_Rate]]&lt;5,"Strong Currency", IF(Table1[[#This Row],[Exchange_Rate]]&lt;=1000, "Medium Currency","Weak Currency"))</f>
        <v>Medium Currency</v>
      </c>
      <c r="O129" s="11">
        <f>(Table1[[#This Row],[Living_Cost_Index]]/123.3)*1850</f>
        <v>669.18085969180868</v>
      </c>
      <c r="P129" s="11">
        <f>Table1[[#This Row],[Monthly_Estimated_Living_cost]]*12</f>
        <v>8030.1703163017046</v>
      </c>
      <c r="Q129" s="13">
        <f>Table1[[#This Row],[Tuition_USD]]+Table1[[#This Row],[Rent_USD]]+Table1[[#This Row],[Insurance_USD]]+Table1[[#This Row],[Visa_Fee_USD]]+Table1[[#This Row],[Annual_Estimated_Living_cost]]</f>
        <v>9890.1703163017046</v>
      </c>
    </row>
    <row r="130" spans="1:17" x14ac:dyDescent="0.25">
      <c r="A130" s="2" t="s">
        <v>348</v>
      </c>
      <c r="B130" s="1" t="s">
        <v>349</v>
      </c>
      <c r="C130" s="1" t="s">
        <v>350</v>
      </c>
      <c r="D130" s="1" t="s">
        <v>207</v>
      </c>
      <c r="E130" s="1" t="s">
        <v>16</v>
      </c>
      <c r="F130" s="1">
        <v>2</v>
      </c>
      <c r="G130" s="1" t="str">
        <f>CONCATENATE(Table1[[#This Row],[Duration_Years]]," ","years")</f>
        <v>2 years</v>
      </c>
      <c r="H130" s="11">
        <v>2500</v>
      </c>
      <c r="I130" s="1">
        <v>54.8</v>
      </c>
      <c r="J130" s="11">
        <v>550</v>
      </c>
      <c r="K130" s="11">
        <v>120</v>
      </c>
      <c r="L130" s="11">
        <v>400</v>
      </c>
      <c r="M130" s="22">
        <v>0.92</v>
      </c>
      <c r="N130" s="3" t="str">
        <f>IF(Table1[[#This Row],[Exchange_Rate]]&lt;5,"Strong Currency", IF(Table1[[#This Row],[Exchange_Rate]]&lt;=1000, "Medium Currency","Weak Currency"))</f>
        <v>Strong Currency</v>
      </c>
      <c r="O130" s="11">
        <f>(Table1[[#This Row],[Living_Cost_Index]]/123.3)*1850</f>
        <v>822.22222222222217</v>
      </c>
      <c r="P130" s="11">
        <f>Table1[[#This Row],[Monthly_Estimated_Living_cost]]*12</f>
        <v>9866.6666666666661</v>
      </c>
      <c r="Q130" s="13">
        <f>Table1[[#This Row],[Tuition_USD]]+Table1[[#This Row],[Rent_USD]]+Table1[[#This Row],[Insurance_USD]]+Table1[[#This Row],[Visa_Fee_USD]]+Table1[[#This Row],[Annual_Estimated_Living_cost]]</f>
        <v>13436.666666666666</v>
      </c>
    </row>
    <row r="131" spans="1:17" x14ac:dyDescent="0.25">
      <c r="A131" s="2" t="s">
        <v>351</v>
      </c>
      <c r="B131" s="1" t="s">
        <v>352</v>
      </c>
      <c r="C131" s="1" t="s">
        <v>353</v>
      </c>
      <c r="D131" s="1" t="s">
        <v>15</v>
      </c>
      <c r="E131" s="1" t="s">
        <v>75</v>
      </c>
      <c r="F131" s="1">
        <v>4</v>
      </c>
      <c r="G131" s="1" t="str">
        <f>CONCATENATE(Table1[[#This Row],[Duration_Years]]," ","years")</f>
        <v>4 years</v>
      </c>
      <c r="H131" s="11">
        <v>3800</v>
      </c>
      <c r="I131" s="1">
        <v>46.5</v>
      </c>
      <c r="J131" s="11">
        <v>450</v>
      </c>
      <c r="K131" s="11">
        <v>140</v>
      </c>
      <c r="L131" s="11">
        <v>300</v>
      </c>
      <c r="M131" s="22">
        <v>35.200000000000003</v>
      </c>
      <c r="N131" s="3" t="str">
        <f>IF(Table1[[#This Row],[Exchange_Rate]]&lt;5,"Strong Currency", IF(Table1[[#This Row],[Exchange_Rate]]&lt;=1000, "Medium Currency","Weak Currency"))</f>
        <v>Medium Currency</v>
      </c>
      <c r="O131" s="11">
        <f>(Table1[[#This Row],[Living_Cost_Index]]/123.3)*1850</f>
        <v>697.68856447688563</v>
      </c>
      <c r="P131" s="11">
        <f>Table1[[#This Row],[Monthly_Estimated_Living_cost]]*12</f>
        <v>8372.2627737226285</v>
      </c>
      <c r="Q131" s="13">
        <f>Table1[[#This Row],[Tuition_USD]]+Table1[[#This Row],[Rent_USD]]+Table1[[#This Row],[Insurance_USD]]+Table1[[#This Row],[Visa_Fee_USD]]+Table1[[#This Row],[Annual_Estimated_Living_cost]]</f>
        <v>13062.262773722628</v>
      </c>
    </row>
    <row r="132" spans="1:17" x14ac:dyDescent="0.25">
      <c r="A132" s="2" t="s">
        <v>354</v>
      </c>
      <c r="B132" s="1" t="s">
        <v>355</v>
      </c>
      <c r="C132" s="1" t="s">
        <v>356</v>
      </c>
      <c r="D132" s="1" t="s">
        <v>15</v>
      </c>
      <c r="E132" s="1" t="s">
        <v>75</v>
      </c>
      <c r="F132" s="1">
        <v>4</v>
      </c>
      <c r="G132" s="1" t="str">
        <f>CONCATENATE(Table1[[#This Row],[Duration_Years]]," ","years")</f>
        <v>4 years</v>
      </c>
      <c r="H132" s="11">
        <v>29500</v>
      </c>
      <c r="I132" s="1">
        <v>72.400000000000006</v>
      </c>
      <c r="J132" s="11">
        <v>1200</v>
      </c>
      <c r="K132" s="11">
        <v>270</v>
      </c>
      <c r="L132" s="11">
        <v>800</v>
      </c>
      <c r="M132" s="22">
        <v>3.67</v>
      </c>
      <c r="N132" s="3" t="str">
        <f>IF(Table1[[#This Row],[Exchange_Rate]]&lt;5,"Strong Currency", IF(Table1[[#This Row],[Exchange_Rate]]&lt;=1000, "Medium Currency","Weak Currency"))</f>
        <v>Strong Currency</v>
      </c>
      <c r="O132" s="11">
        <f>(Table1[[#This Row],[Living_Cost_Index]]/123.3)*1850</f>
        <v>1086.2935928629361</v>
      </c>
      <c r="P132" s="11">
        <f>Table1[[#This Row],[Monthly_Estimated_Living_cost]]*12</f>
        <v>13035.523114355234</v>
      </c>
      <c r="Q132" s="13">
        <f>Table1[[#This Row],[Tuition_USD]]+Table1[[#This Row],[Rent_USD]]+Table1[[#This Row],[Insurance_USD]]+Table1[[#This Row],[Visa_Fee_USD]]+Table1[[#This Row],[Annual_Estimated_Living_cost]]</f>
        <v>44805.523114355237</v>
      </c>
    </row>
    <row r="133" spans="1:17" x14ac:dyDescent="0.25">
      <c r="A133" s="2" t="s">
        <v>12</v>
      </c>
      <c r="B133" s="1" t="s">
        <v>357</v>
      </c>
      <c r="C133" s="1" t="s">
        <v>358</v>
      </c>
      <c r="D133" s="1" t="s">
        <v>20</v>
      </c>
      <c r="E133" s="1" t="s">
        <v>16</v>
      </c>
      <c r="F133" s="1">
        <v>2</v>
      </c>
      <c r="G133" s="1" t="str">
        <f>CONCATENATE(Table1[[#This Row],[Duration_Years]]," ","years")</f>
        <v>2 years</v>
      </c>
      <c r="H133" s="11">
        <v>52800</v>
      </c>
      <c r="I133" s="1">
        <v>100</v>
      </c>
      <c r="J133" s="11">
        <v>2500</v>
      </c>
      <c r="K133" s="11">
        <v>160</v>
      </c>
      <c r="L133" s="11">
        <v>1500</v>
      </c>
      <c r="M133" s="22">
        <v>1</v>
      </c>
      <c r="N133" s="3" t="str">
        <f>IF(Table1[[#This Row],[Exchange_Rate]]&lt;5,"Strong Currency", IF(Table1[[#This Row],[Exchange_Rate]]&lt;=1000, "Medium Currency","Weak Currency"))</f>
        <v>Strong Currency</v>
      </c>
      <c r="O133" s="11">
        <f>(Table1[[#This Row],[Living_Cost_Index]]/123.3)*1850</f>
        <v>1500.4055150040551</v>
      </c>
      <c r="P133" s="11">
        <f>Table1[[#This Row],[Monthly_Estimated_Living_cost]]*12</f>
        <v>18004.866180048662</v>
      </c>
      <c r="Q133" s="13">
        <f>Table1[[#This Row],[Tuition_USD]]+Table1[[#This Row],[Rent_USD]]+Table1[[#This Row],[Insurance_USD]]+Table1[[#This Row],[Visa_Fee_USD]]+Table1[[#This Row],[Annual_Estimated_Living_cost]]</f>
        <v>74964.866180048659</v>
      </c>
    </row>
    <row r="134" spans="1:17" x14ac:dyDescent="0.25">
      <c r="A134" s="2" t="s">
        <v>12</v>
      </c>
      <c r="B134" s="1" t="s">
        <v>359</v>
      </c>
      <c r="C134" s="1" t="s">
        <v>360</v>
      </c>
      <c r="D134" s="1" t="s">
        <v>15</v>
      </c>
      <c r="E134" s="1" t="s">
        <v>1353</v>
      </c>
      <c r="F134" s="1">
        <v>5</v>
      </c>
      <c r="G134" s="1" t="str">
        <f>CONCATENATE(Table1[[#This Row],[Duration_Years]]," ","years")</f>
        <v>5 years</v>
      </c>
      <c r="H134" s="11">
        <v>49800</v>
      </c>
      <c r="I134" s="1">
        <v>70.5</v>
      </c>
      <c r="J134" s="11">
        <v>1600</v>
      </c>
      <c r="K134" s="11">
        <v>160</v>
      </c>
      <c r="L134" s="11">
        <v>1500</v>
      </c>
      <c r="M134" s="22">
        <v>1</v>
      </c>
      <c r="N134" s="3" t="str">
        <f>IF(Table1[[#This Row],[Exchange_Rate]]&lt;5,"Strong Currency", IF(Table1[[#This Row],[Exchange_Rate]]&lt;=1000, "Medium Currency","Weak Currency"))</f>
        <v>Strong Currency</v>
      </c>
      <c r="O134" s="11">
        <f>(Table1[[#This Row],[Living_Cost_Index]]/123.3)*1850</f>
        <v>1057.7858880778588</v>
      </c>
      <c r="P134" s="11">
        <f>Table1[[#This Row],[Monthly_Estimated_Living_cost]]*12</f>
        <v>12693.430656934306</v>
      </c>
      <c r="Q134" s="13">
        <f>Table1[[#This Row],[Tuition_USD]]+Table1[[#This Row],[Rent_USD]]+Table1[[#This Row],[Insurance_USD]]+Table1[[#This Row],[Visa_Fee_USD]]+Table1[[#This Row],[Annual_Estimated_Living_cost]]</f>
        <v>65753.430656934303</v>
      </c>
    </row>
    <row r="135" spans="1:17" x14ac:dyDescent="0.25">
      <c r="A135" s="2" t="s">
        <v>60</v>
      </c>
      <c r="B135" s="1" t="s">
        <v>361</v>
      </c>
      <c r="C135" s="1" t="s">
        <v>362</v>
      </c>
      <c r="D135" s="1" t="s">
        <v>40</v>
      </c>
      <c r="E135" s="1" t="s">
        <v>16</v>
      </c>
      <c r="F135" s="1">
        <v>2</v>
      </c>
      <c r="G135" s="1" t="str">
        <f>CONCATENATE(Table1[[#This Row],[Duration_Years]]," ","years")</f>
        <v>2 years</v>
      </c>
      <c r="H135" s="11">
        <v>8200</v>
      </c>
      <c r="I135" s="1">
        <v>58.4</v>
      </c>
      <c r="J135" s="11">
        <v>800</v>
      </c>
      <c r="K135" s="11">
        <v>140</v>
      </c>
      <c r="L135" s="11">
        <v>400</v>
      </c>
      <c r="M135" s="22">
        <v>7.18</v>
      </c>
      <c r="N135" s="3" t="str">
        <f>IF(Table1[[#This Row],[Exchange_Rate]]&lt;5,"Strong Currency", IF(Table1[[#This Row],[Exchange_Rate]]&lt;=1000, "Medium Currency","Weak Currency"))</f>
        <v>Medium Currency</v>
      </c>
      <c r="O135" s="11">
        <f>(Table1[[#This Row],[Living_Cost_Index]]/123.3)*1850</f>
        <v>876.23682076236821</v>
      </c>
      <c r="P135" s="11">
        <f>Table1[[#This Row],[Monthly_Estimated_Living_cost]]*12</f>
        <v>10514.841849148419</v>
      </c>
      <c r="Q135" s="13">
        <f>Table1[[#This Row],[Tuition_USD]]+Table1[[#This Row],[Rent_USD]]+Table1[[#This Row],[Insurance_USD]]+Table1[[#This Row],[Visa_Fee_USD]]+Table1[[#This Row],[Annual_Estimated_Living_cost]]</f>
        <v>20054.841849148419</v>
      </c>
    </row>
    <row r="136" spans="1:17" x14ac:dyDescent="0.25">
      <c r="A136" s="2" t="s">
        <v>363</v>
      </c>
      <c r="B136" s="1" t="s">
        <v>364</v>
      </c>
      <c r="C136" s="1" t="s">
        <v>365</v>
      </c>
      <c r="D136" s="1" t="s">
        <v>15</v>
      </c>
      <c r="E136" s="1" t="s">
        <v>75</v>
      </c>
      <c r="F136" s="1">
        <v>3</v>
      </c>
      <c r="G136" s="1" t="str">
        <f>CONCATENATE(Table1[[#This Row],[Duration_Years]]," ","years")</f>
        <v>3 years</v>
      </c>
      <c r="H136" s="11">
        <v>5900</v>
      </c>
      <c r="I136" s="1">
        <v>49.2</v>
      </c>
      <c r="J136" s="11">
        <v>600</v>
      </c>
      <c r="K136" s="11">
        <v>140</v>
      </c>
      <c r="L136" s="11">
        <v>400</v>
      </c>
      <c r="M136" s="22">
        <v>18.72</v>
      </c>
      <c r="N136" s="3" t="str">
        <f>IF(Table1[[#This Row],[Exchange_Rate]]&lt;5,"Strong Currency", IF(Table1[[#This Row],[Exchange_Rate]]&lt;=1000, "Medium Currency","Weak Currency"))</f>
        <v>Medium Currency</v>
      </c>
      <c r="O136" s="11">
        <f>(Table1[[#This Row],[Living_Cost_Index]]/123.3)*1850</f>
        <v>738.19951338199519</v>
      </c>
      <c r="P136" s="11">
        <f>Table1[[#This Row],[Monthly_Estimated_Living_cost]]*12</f>
        <v>8858.3941605839427</v>
      </c>
      <c r="Q136" s="13">
        <f>Table1[[#This Row],[Tuition_USD]]+Table1[[#This Row],[Rent_USD]]+Table1[[#This Row],[Insurance_USD]]+Table1[[#This Row],[Visa_Fee_USD]]+Table1[[#This Row],[Annual_Estimated_Living_cost]]</f>
        <v>15898.394160583943</v>
      </c>
    </row>
    <row r="137" spans="1:17" x14ac:dyDescent="0.25">
      <c r="A137" s="2" t="s">
        <v>366</v>
      </c>
      <c r="B137" s="1" t="s">
        <v>367</v>
      </c>
      <c r="C137" s="1" t="s">
        <v>368</v>
      </c>
      <c r="D137" s="1" t="s">
        <v>63</v>
      </c>
      <c r="E137" s="1" t="s">
        <v>75</v>
      </c>
      <c r="F137" s="1">
        <v>4</v>
      </c>
      <c r="G137" s="1" t="str">
        <f>CONCATENATE(Table1[[#This Row],[Duration_Years]]," ","years")</f>
        <v>4 years</v>
      </c>
      <c r="H137" s="11">
        <v>19800</v>
      </c>
      <c r="I137" s="1">
        <v>38.4</v>
      </c>
      <c r="J137" s="11">
        <v>450</v>
      </c>
      <c r="K137" s="11">
        <v>130</v>
      </c>
      <c r="L137" s="11">
        <v>350</v>
      </c>
      <c r="M137" s="22">
        <v>30.9</v>
      </c>
      <c r="N137" s="3" t="str">
        <f>IF(Table1[[#This Row],[Exchange_Rate]]&lt;5,"Strong Currency", IF(Table1[[#This Row],[Exchange_Rate]]&lt;=1000, "Medium Currency","Weak Currency"))</f>
        <v>Medium Currency</v>
      </c>
      <c r="O137" s="11">
        <f>(Table1[[#This Row],[Living_Cost_Index]]/123.3)*1850</f>
        <v>576.15571776155718</v>
      </c>
      <c r="P137" s="11">
        <f>Table1[[#This Row],[Monthly_Estimated_Living_cost]]*12</f>
        <v>6913.8686131386858</v>
      </c>
      <c r="Q137" s="13">
        <f>Table1[[#This Row],[Tuition_USD]]+Table1[[#This Row],[Rent_USD]]+Table1[[#This Row],[Insurance_USD]]+Table1[[#This Row],[Visa_Fee_USD]]+Table1[[#This Row],[Annual_Estimated_Living_cost]]</f>
        <v>27643.868613138686</v>
      </c>
    </row>
    <row r="138" spans="1:17" x14ac:dyDescent="0.25">
      <c r="A138" s="2" t="s">
        <v>369</v>
      </c>
      <c r="B138" s="1" t="s">
        <v>370</v>
      </c>
      <c r="C138" s="1" t="s">
        <v>371</v>
      </c>
      <c r="D138" s="1" t="s">
        <v>207</v>
      </c>
      <c r="E138" s="1" t="s">
        <v>75</v>
      </c>
      <c r="F138" s="1">
        <v>5</v>
      </c>
      <c r="G138" s="1" t="str">
        <f>CONCATENATE(Table1[[#This Row],[Duration_Years]]," ","years")</f>
        <v>5 years</v>
      </c>
      <c r="H138" s="11">
        <v>0</v>
      </c>
      <c r="I138" s="1">
        <v>42.6</v>
      </c>
      <c r="J138" s="11">
        <v>400</v>
      </c>
      <c r="K138" s="11">
        <v>150</v>
      </c>
      <c r="L138" s="11">
        <v>300</v>
      </c>
      <c r="M138" s="22">
        <v>821.5</v>
      </c>
      <c r="N138" s="3" t="str">
        <f>IF(Table1[[#This Row],[Exchange_Rate]]&lt;5,"Strong Currency", IF(Table1[[#This Row],[Exchange_Rate]]&lt;=1000, "Medium Currency","Weak Currency"))</f>
        <v>Medium Currency</v>
      </c>
      <c r="O138" s="11">
        <f>(Table1[[#This Row],[Living_Cost_Index]]/123.3)*1850</f>
        <v>639.17274939172751</v>
      </c>
      <c r="P138" s="11">
        <f>Table1[[#This Row],[Monthly_Estimated_Living_cost]]*12</f>
        <v>7670.0729927007305</v>
      </c>
      <c r="Q138" s="13">
        <f>Table1[[#This Row],[Tuition_USD]]+Table1[[#This Row],[Rent_USD]]+Table1[[#This Row],[Insurance_USD]]+Table1[[#This Row],[Visa_Fee_USD]]+Table1[[#This Row],[Annual_Estimated_Living_cost]]</f>
        <v>8520.0729927007305</v>
      </c>
    </row>
    <row r="139" spans="1:17" x14ac:dyDescent="0.25">
      <c r="A139" s="2" t="s">
        <v>372</v>
      </c>
      <c r="B139" s="1" t="s">
        <v>373</v>
      </c>
      <c r="C139" s="1" t="s">
        <v>374</v>
      </c>
      <c r="D139" s="1" t="s">
        <v>215</v>
      </c>
      <c r="E139" s="1" t="s">
        <v>75</v>
      </c>
      <c r="F139" s="1">
        <v>4</v>
      </c>
      <c r="G139" s="1" t="str">
        <f>CONCATENATE(Table1[[#This Row],[Duration_Years]]," ","years")</f>
        <v>4 years</v>
      </c>
      <c r="H139" s="11">
        <v>4200</v>
      </c>
      <c r="I139" s="1">
        <v>45.8</v>
      </c>
      <c r="J139" s="11">
        <v>500</v>
      </c>
      <c r="K139" s="11">
        <v>130</v>
      </c>
      <c r="L139" s="11">
        <v>300</v>
      </c>
      <c r="M139" s="22">
        <v>15640</v>
      </c>
      <c r="N139" s="3" t="str">
        <f>IF(Table1[[#This Row],[Exchange_Rate]]&lt;5,"Strong Currency", IF(Table1[[#This Row],[Exchange_Rate]]&lt;=1000, "Medium Currency","Weak Currency"))</f>
        <v>Weak Currency</v>
      </c>
      <c r="O139" s="11">
        <f>(Table1[[#This Row],[Living_Cost_Index]]/123.3)*1850</f>
        <v>687.18572587185724</v>
      </c>
      <c r="P139" s="11">
        <f>Table1[[#This Row],[Monthly_Estimated_Living_cost]]*12</f>
        <v>8246.2287104622865</v>
      </c>
      <c r="Q139" s="13">
        <f>Table1[[#This Row],[Tuition_USD]]+Table1[[#This Row],[Rent_USD]]+Table1[[#This Row],[Insurance_USD]]+Table1[[#This Row],[Visa_Fee_USD]]+Table1[[#This Row],[Annual_Estimated_Living_cost]]</f>
        <v>13376.228710462286</v>
      </c>
    </row>
    <row r="140" spans="1:17" x14ac:dyDescent="0.25">
      <c r="A140" s="2" t="s">
        <v>375</v>
      </c>
      <c r="B140" s="1" t="s">
        <v>376</v>
      </c>
      <c r="C140" s="1" t="s">
        <v>377</v>
      </c>
      <c r="D140" s="1" t="s">
        <v>15</v>
      </c>
      <c r="E140" s="1" t="s">
        <v>16</v>
      </c>
      <c r="F140" s="1">
        <v>2</v>
      </c>
      <c r="G140" s="1" t="str">
        <f>CONCATENATE(Table1[[#This Row],[Duration_Years]]," ","years")</f>
        <v>2 years</v>
      </c>
      <c r="H140" s="11">
        <v>7800</v>
      </c>
      <c r="I140" s="1">
        <v>52.4</v>
      </c>
      <c r="J140" s="11">
        <v>800</v>
      </c>
      <c r="K140" s="11">
        <v>250</v>
      </c>
      <c r="L140" s="11">
        <v>600</v>
      </c>
      <c r="M140" s="22">
        <v>3.75</v>
      </c>
      <c r="N140" s="3" t="str">
        <f>IF(Table1[[#This Row],[Exchange_Rate]]&lt;5,"Strong Currency", IF(Table1[[#This Row],[Exchange_Rate]]&lt;=1000, "Medium Currency","Weak Currency"))</f>
        <v>Strong Currency</v>
      </c>
      <c r="O140" s="11">
        <f>(Table1[[#This Row],[Living_Cost_Index]]/123.3)*1850</f>
        <v>786.21248986212493</v>
      </c>
      <c r="P140" s="11">
        <f>Table1[[#This Row],[Monthly_Estimated_Living_cost]]*12</f>
        <v>9434.5498783454987</v>
      </c>
      <c r="Q140" s="13">
        <f>Table1[[#This Row],[Tuition_USD]]+Table1[[#This Row],[Rent_USD]]+Table1[[#This Row],[Insurance_USD]]+Table1[[#This Row],[Visa_Fee_USD]]+Table1[[#This Row],[Annual_Estimated_Living_cost]]</f>
        <v>18884.549878345497</v>
      </c>
    </row>
    <row r="141" spans="1:17" x14ac:dyDescent="0.25">
      <c r="A141" s="2" t="s">
        <v>378</v>
      </c>
      <c r="B141" s="1" t="s">
        <v>379</v>
      </c>
      <c r="C141" s="1" t="s">
        <v>380</v>
      </c>
      <c r="D141" s="1" t="s">
        <v>63</v>
      </c>
      <c r="E141" s="1" t="s">
        <v>75</v>
      </c>
      <c r="F141" s="1">
        <v>4</v>
      </c>
      <c r="G141" s="1" t="str">
        <f>CONCATENATE(Table1[[#This Row],[Duration_Years]]," ","years")</f>
        <v>4 years</v>
      </c>
      <c r="H141" s="11">
        <v>2500</v>
      </c>
      <c r="I141" s="1">
        <v>40.200000000000003</v>
      </c>
      <c r="J141" s="11">
        <v>400</v>
      </c>
      <c r="K141" s="11">
        <v>180</v>
      </c>
      <c r="L141" s="11">
        <v>300</v>
      </c>
      <c r="M141" s="22">
        <v>860.2</v>
      </c>
      <c r="N141" s="3" t="str">
        <f>IF(Table1[[#This Row],[Exchange_Rate]]&lt;5,"Strong Currency", IF(Table1[[#This Row],[Exchange_Rate]]&lt;=1000, "Medium Currency","Weak Currency"))</f>
        <v>Medium Currency</v>
      </c>
      <c r="O141" s="11">
        <f>(Table1[[#This Row],[Living_Cost_Index]]/123.3)*1850</f>
        <v>603.16301703163026</v>
      </c>
      <c r="P141" s="11">
        <f>Table1[[#This Row],[Monthly_Estimated_Living_cost]]*12</f>
        <v>7237.9562043795631</v>
      </c>
      <c r="Q141" s="13">
        <f>Table1[[#This Row],[Tuition_USD]]+Table1[[#This Row],[Rent_USD]]+Table1[[#This Row],[Insurance_USD]]+Table1[[#This Row],[Visa_Fee_USD]]+Table1[[#This Row],[Annual_Estimated_Living_cost]]</f>
        <v>10617.956204379563</v>
      </c>
    </row>
    <row r="142" spans="1:17" x14ac:dyDescent="0.25">
      <c r="A142" s="2" t="s">
        <v>381</v>
      </c>
      <c r="B142" s="1" t="s">
        <v>382</v>
      </c>
      <c r="C142" s="1" t="s">
        <v>383</v>
      </c>
      <c r="D142" s="1" t="s">
        <v>207</v>
      </c>
      <c r="E142" s="1" t="s">
        <v>75</v>
      </c>
      <c r="F142" s="1">
        <v>4</v>
      </c>
      <c r="G142" s="1" t="str">
        <f>CONCATENATE(Table1[[#This Row],[Duration_Years]]," ","years")</f>
        <v>4 years</v>
      </c>
      <c r="H142" s="11">
        <v>3200</v>
      </c>
      <c r="I142" s="1">
        <v>43.6</v>
      </c>
      <c r="J142" s="11">
        <v>450</v>
      </c>
      <c r="K142" s="11">
        <v>120</v>
      </c>
      <c r="L142" s="11">
        <v>250</v>
      </c>
      <c r="M142" s="22">
        <v>24450</v>
      </c>
      <c r="N142" s="3" t="str">
        <f>IF(Table1[[#This Row],[Exchange_Rate]]&lt;5,"Strong Currency", IF(Table1[[#This Row],[Exchange_Rate]]&lt;=1000, "Medium Currency","Weak Currency"))</f>
        <v>Weak Currency</v>
      </c>
      <c r="O142" s="11">
        <f>(Table1[[#This Row],[Living_Cost_Index]]/123.3)*1850</f>
        <v>654.17680454176798</v>
      </c>
      <c r="P142" s="11">
        <f>Table1[[#This Row],[Monthly_Estimated_Living_cost]]*12</f>
        <v>7850.1216545012157</v>
      </c>
      <c r="Q142" s="13">
        <f>Table1[[#This Row],[Tuition_USD]]+Table1[[#This Row],[Rent_USD]]+Table1[[#This Row],[Insurance_USD]]+Table1[[#This Row],[Visa_Fee_USD]]+Table1[[#This Row],[Annual_Estimated_Living_cost]]</f>
        <v>11870.121654501216</v>
      </c>
    </row>
    <row r="143" spans="1:17" x14ac:dyDescent="0.25">
      <c r="A143" s="2" t="s">
        <v>37</v>
      </c>
      <c r="B143" s="1" t="s">
        <v>384</v>
      </c>
      <c r="C143" s="1" t="s">
        <v>385</v>
      </c>
      <c r="D143" s="1" t="s">
        <v>15</v>
      </c>
      <c r="E143" s="1" t="s">
        <v>16</v>
      </c>
      <c r="F143" s="1">
        <v>2</v>
      </c>
      <c r="G143" s="1" t="str">
        <f>CONCATENATE(Table1[[#This Row],[Duration_Years]]," ","years")</f>
        <v>2 years</v>
      </c>
      <c r="H143" s="11">
        <v>15600</v>
      </c>
      <c r="I143" s="1">
        <v>69.8</v>
      </c>
      <c r="J143" s="11">
        <v>950</v>
      </c>
      <c r="K143" s="11">
        <v>180</v>
      </c>
      <c r="L143" s="11">
        <v>720</v>
      </c>
      <c r="M143" s="22">
        <v>0.92</v>
      </c>
      <c r="N143" s="3" t="str">
        <f>IF(Table1[[#This Row],[Exchange_Rate]]&lt;5,"Strong Currency", IF(Table1[[#This Row],[Exchange_Rate]]&lt;=1000, "Medium Currency","Weak Currency"))</f>
        <v>Strong Currency</v>
      </c>
      <c r="O143" s="11">
        <f>(Table1[[#This Row],[Living_Cost_Index]]/123.3)*1850</f>
        <v>1047.2830494728303</v>
      </c>
      <c r="P143" s="11">
        <f>Table1[[#This Row],[Monthly_Estimated_Living_cost]]*12</f>
        <v>12567.396593673962</v>
      </c>
      <c r="Q143" s="13">
        <f>Table1[[#This Row],[Tuition_USD]]+Table1[[#This Row],[Rent_USD]]+Table1[[#This Row],[Insurance_USD]]+Table1[[#This Row],[Visa_Fee_USD]]+Table1[[#This Row],[Annual_Estimated_Living_cost]]</f>
        <v>30017.396593673962</v>
      </c>
    </row>
    <row r="144" spans="1:17" x14ac:dyDescent="0.25">
      <c r="A144" s="2" t="s">
        <v>37</v>
      </c>
      <c r="B144" s="1" t="s">
        <v>386</v>
      </c>
      <c r="C144" s="1" t="s">
        <v>387</v>
      </c>
      <c r="D144" s="1" t="s">
        <v>40</v>
      </c>
      <c r="E144" s="1" t="s">
        <v>75</v>
      </c>
      <c r="F144" s="1">
        <v>3</v>
      </c>
      <c r="G144" s="1" t="str">
        <f>CONCATENATE(Table1[[#This Row],[Duration_Years]]," ","years")</f>
        <v>3 years</v>
      </c>
      <c r="H144" s="11">
        <v>11200</v>
      </c>
      <c r="I144" s="1">
        <v>65.400000000000006</v>
      </c>
      <c r="J144" s="11">
        <v>750</v>
      </c>
      <c r="K144" s="11">
        <v>180</v>
      </c>
      <c r="L144" s="11">
        <v>720</v>
      </c>
      <c r="M144" s="22">
        <v>0.92</v>
      </c>
      <c r="N144" s="3" t="str">
        <f>IF(Table1[[#This Row],[Exchange_Rate]]&lt;5,"Strong Currency", IF(Table1[[#This Row],[Exchange_Rate]]&lt;=1000, "Medium Currency","Weak Currency"))</f>
        <v>Strong Currency</v>
      </c>
      <c r="O144" s="11">
        <f>(Table1[[#This Row],[Living_Cost_Index]]/123.3)*1850</f>
        <v>981.26520681265208</v>
      </c>
      <c r="P144" s="11">
        <f>Table1[[#This Row],[Monthly_Estimated_Living_cost]]*12</f>
        <v>11775.182481751825</v>
      </c>
      <c r="Q144" s="13">
        <f>Table1[[#This Row],[Tuition_USD]]+Table1[[#This Row],[Rent_USD]]+Table1[[#This Row],[Insurance_USD]]+Table1[[#This Row],[Visa_Fee_USD]]+Table1[[#This Row],[Annual_Estimated_Living_cost]]</f>
        <v>24625.182481751825</v>
      </c>
    </row>
    <row r="145" spans="1:17" x14ac:dyDescent="0.25">
      <c r="A145" s="2" t="s">
        <v>37</v>
      </c>
      <c r="B145" s="1" t="s">
        <v>388</v>
      </c>
      <c r="C145" s="1" t="s">
        <v>389</v>
      </c>
      <c r="D145" s="1" t="s">
        <v>244</v>
      </c>
      <c r="E145" s="1" t="s">
        <v>16</v>
      </c>
      <c r="F145" s="1">
        <v>2</v>
      </c>
      <c r="G145" s="1" t="str">
        <f>CONCATENATE(Table1[[#This Row],[Duration_Years]]," ","years")</f>
        <v>2 years</v>
      </c>
      <c r="H145" s="11">
        <v>14800</v>
      </c>
      <c r="I145" s="1">
        <v>66.8</v>
      </c>
      <c r="J145" s="11">
        <v>800</v>
      </c>
      <c r="K145" s="11">
        <v>180</v>
      </c>
      <c r="L145" s="11">
        <v>720</v>
      </c>
      <c r="M145" s="22">
        <v>0.92</v>
      </c>
      <c r="N145" s="3" t="str">
        <f>IF(Table1[[#This Row],[Exchange_Rate]]&lt;5,"Strong Currency", IF(Table1[[#This Row],[Exchange_Rate]]&lt;=1000, "Medium Currency","Weak Currency"))</f>
        <v>Strong Currency</v>
      </c>
      <c r="O145" s="11">
        <f>(Table1[[#This Row],[Living_Cost_Index]]/123.3)*1850</f>
        <v>1002.2708840227087</v>
      </c>
      <c r="P145" s="11">
        <f>Table1[[#This Row],[Monthly_Estimated_Living_cost]]*12</f>
        <v>12027.250608272505</v>
      </c>
      <c r="Q145" s="13">
        <f>Table1[[#This Row],[Tuition_USD]]+Table1[[#This Row],[Rent_USD]]+Table1[[#This Row],[Insurance_USD]]+Table1[[#This Row],[Visa_Fee_USD]]+Table1[[#This Row],[Annual_Estimated_Living_cost]]</f>
        <v>28527.250608272505</v>
      </c>
    </row>
    <row r="146" spans="1:17" x14ac:dyDescent="0.25">
      <c r="A146" s="2" t="s">
        <v>37</v>
      </c>
      <c r="B146" s="1" t="s">
        <v>390</v>
      </c>
      <c r="C146" s="1" t="s">
        <v>391</v>
      </c>
      <c r="D146" s="1" t="s">
        <v>20</v>
      </c>
      <c r="E146" s="1" t="s">
        <v>75</v>
      </c>
      <c r="F146" s="1">
        <v>3</v>
      </c>
      <c r="G146" s="1" t="str">
        <f>CONCATENATE(Table1[[#This Row],[Duration_Years]]," ","years")</f>
        <v>3 years</v>
      </c>
      <c r="H146" s="11">
        <v>11500</v>
      </c>
      <c r="I146" s="1">
        <v>67.2</v>
      </c>
      <c r="J146" s="11">
        <v>850</v>
      </c>
      <c r="K146" s="11">
        <v>180</v>
      </c>
      <c r="L146" s="11">
        <v>720</v>
      </c>
      <c r="M146" s="22">
        <v>0.92</v>
      </c>
      <c r="N146" s="3" t="str">
        <f>IF(Table1[[#This Row],[Exchange_Rate]]&lt;5,"Strong Currency", IF(Table1[[#This Row],[Exchange_Rate]]&lt;=1000, "Medium Currency","Weak Currency"))</f>
        <v>Strong Currency</v>
      </c>
      <c r="O146" s="11">
        <f>(Table1[[#This Row],[Living_Cost_Index]]/123.3)*1850</f>
        <v>1008.272506082725</v>
      </c>
      <c r="P146" s="11">
        <f>Table1[[#This Row],[Monthly_Estimated_Living_cost]]*12</f>
        <v>12099.2700729927</v>
      </c>
      <c r="Q146" s="13">
        <f>Table1[[#This Row],[Tuition_USD]]+Table1[[#This Row],[Rent_USD]]+Table1[[#This Row],[Insurance_USD]]+Table1[[#This Row],[Visa_Fee_USD]]+Table1[[#This Row],[Annual_Estimated_Living_cost]]</f>
        <v>25349.270072992702</v>
      </c>
    </row>
    <row r="147" spans="1:17" x14ac:dyDescent="0.25">
      <c r="A147" s="2" t="s">
        <v>37</v>
      </c>
      <c r="B147" s="1" t="s">
        <v>392</v>
      </c>
      <c r="C147" s="1" t="s">
        <v>393</v>
      </c>
      <c r="D147" s="1" t="s">
        <v>394</v>
      </c>
      <c r="E147" s="1" t="s">
        <v>16</v>
      </c>
      <c r="F147" s="1">
        <v>2</v>
      </c>
      <c r="G147" s="1" t="str">
        <f>CONCATENATE(Table1[[#This Row],[Duration_Years]]," ","years")</f>
        <v>2 years</v>
      </c>
      <c r="H147" s="11">
        <v>14500</v>
      </c>
      <c r="I147" s="1">
        <v>66.5</v>
      </c>
      <c r="J147" s="11">
        <v>800</v>
      </c>
      <c r="K147" s="11">
        <v>180</v>
      </c>
      <c r="L147" s="11">
        <v>720</v>
      </c>
      <c r="M147" s="22">
        <v>0.92</v>
      </c>
      <c r="N147" s="3" t="str">
        <f>IF(Table1[[#This Row],[Exchange_Rate]]&lt;5,"Strong Currency", IF(Table1[[#This Row],[Exchange_Rate]]&lt;=1000, "Medium Currency","Weak Currency"))</f>
        <v>Strong Currency</v>
      </c>
      <c r="O147" s="11">
        <f>(Table1[[#This Row],[Living_Cost_Index]]/123.3)*1850</f>
        <v>997.76966747769666</v>
      </c>
      <c r="P147" s="11">
        <f>Table1[[#This Row],[Monthly_Estimated_Living_cost]]*12</f>
        <v>11973.23600973236</v>
      </c>
      <c r="Q147" s="13">
        <f>Table1[[#This Row],[Tuition_USD]]+Table1[[#This Row],[Rent_USD]]+Table1[[#This Row],[Insurance_USD]]+Table1[[#This Row],[Visa_Fee_USD]]+Table1[[#This Row],[Annual_Estimated_Living_cost]]</f>
        <v>28173.236009732362</v>
      </c>
    </row>
    <row r="148" spans="1:17" x14ac:dyDescent="0.25">
      <c r="A148" s="2" t="s">
        <v>37</v>
      </c>
      <c r="B148" s="1" t="s">
        <v>395</v>
      </c>
      <c r="C148" s="1" t="s">
        <v>396</v>
      </c>
      <c r="D148" s="1" t="s">
        <v>215</v>
      </c>
      <c r="E148" s="1" t="s">
        <v>75</v>
      </c>
      <c r="F148" s="1">
        <v>3</v>
      </c>
      <c r="G148" s="1" t="str">
        <f>CONCATENATE(Table1[[#This Row],[Duration_Years]]," ","years")</f>
        <v>3 years</v>
      </c>
      <c r="H148" s="11">
        <v>11300</v>
      </c>
      <c r="I148" s="1">
        <v>65.8</v>
      </c>
      <c r="J148" s="11">
        <v>750</v>
      </c>
      <c r="K148" s="11">
        <v>180</v>
      </c>
      <c r="L148" s="11">
        <v>720</v>
      </c>
      <c r="M148" s="22">
        <v>0.92</v>
      </c>
      <c r="N148" s="3" t="str">
        <f>IF(Table1[[#This Row],[Exchange_Rate]]&lt;5,"Strong Currency", IF(Table1[[#This Row],[Exchange_Rate]]&lt;=1000, "Medium Currency","Weak Currency"))</f>
        <v>Strong Currency</v>
      </c>
      <c r="O148" s="11">
        <f>(Table1[[#This Row],[Living_Cost_Index]]/123.3)*1850</f>
        <v>987.26682887266816</v>
      </c>
      <c r="P148" s="11">
        <f>Table1[[#This Row],[Monthly_Estimated_Living_cost]]*12</f>
        <v>11847.201946472018</v>
      </c>
      <c r="Q148" s="13">
        <f>Table1[[#This Row],[Tuition_USD]]+Table1[[#This Row],[Rent_USD]]+Table1[[#This Row],[Insurance_USD]]+Table1[[#This Row],[Visa_Fee_USD]]+Table1[[#This Row],[Annual_Estimated_Living_cost]]</f>
        <v>24797.201946472018</v>
      </c>
    </row>
    <row r="149" spans="1:17" x14ac:dyDescent="0.25">
      <c r="A149" s="2" t="s">
        <v>37</v>
      </c>
      <c r="B149" s="1" t="s">
        <v>397</v>
      </c>
      <c r="C149" s="1" t="s">
        <v>398</v>
      </c>
      <c r="D149" s="1" t="s">
        <v>399</v>
      </c>
      <c r="E149" s="1" t="s">
        <v>16</v>
      </c>
      <c r="F149" s="1">
        <v>2</v>
      </c>
      <c r="G149" s="1" t="str">
        <f>CONCATENATE(Table1[[#This Row],[Duration_Years]]," ","years")</f>
        <v>2 years</v>
      </c>
      <c r="H149" s="11">
        <v>15200</v>
      </c>
      <c r="I149" s="1">
        <v>70.2</v>
      </c>
      <c r="J149" s="11">
        <v>1000</v>
      </c>
      <c r="K149" s="11">
        <v>180</v>
      </c>
      <c r="L149" s="11">
        <v>720</v>
      </c>
      <c r="M149" s="22">
        <v>0.92</v>
      </c>
      <c r="N149" s="3" t="str">
        <f>IF(Table1[[#This Row],[Exchange_Rate]]&lt;5,"Strong Currency", IF(Table1[[#This Row],[Exchange_Rate]]&lt;=1000, "Medium Currency","Weak Currency"))</f>
        <v>Strong Currency</v>
      </c>
      <c r="O149" s="11">
        <f>(Table1[[#This Row],[Living_Cost_Index]]/123.3)*1850</f>
        <v>1053.2846715328469</v>
      </c>
      <c r="P149" s="11">
        <f>Table1[[#This Row],[Monthly_Estimated_Living_cost]]*12</f>
        <v>12639.416058394163</v>
      </c>
      <c r="Q149" s="13">
        <f>Table1[[#This Row],[Tuition_USD]]+Table1[[#This Row],[Rent_USD]]+Table1[[#This Row],[Insurance_USD]]+Table1[[#This Row],[Visa_Fee_USD]]+Table1[[#This Row],[Annual_Estimated_Living_cost]]</f>
        <v>29739.416058394163</v>
      </c>
    </row>
    <row r="150" spans="1:17" x14ac:dyDescent="0.25">
      <c r="A150" s="2" t="s">
        <v>37</v>
      </c>
      <c r="B150" s="1" t="s">
        <v>400</v>
      </c>
      <c r="C150" s="1" t="s">
        <v>401</v>
      </c>
      <c r="D150" s="1" t="s">
        <v>63</v>
      </c>
      <c r="E150" s="1" t="s">
        <v>75</v>
      </c>
      <c r="F150" s="1">
        <v>3</v>
      </c>
      <c r="G150" s="1" t="str">
        <f>CONCATENATE(Table1[[#This Row],[Duration_Years]]," ","years")</f>
        <v>3 years</v>
      </c>
      <c r="H150" s="11">
        <v>11400</v>
      </c>
      <c r="I150" s="1">
        <v>69.5</v>
      </c>
      <c r="J150" s="11">
        <v>950</v>
      </c>
      <c r="K150" s="11">
        <v>180</v>
      </c>
      <c r="L150" s="11">
        <v>720</v>
      </c>
      <c r="M150" s="22">
        <v>0.92</v>
      </c>
      <c r="N150" s="3" t="str">
        <f>IF(Table1[[#This Row],[Exchange_Rate]]&lt;5,"Strong Currency", IF(Table1[[#This Row],[Exchange_Rate]]&lt;=1000, "Medium Currency","Weak Currency"))</f>
        <v>Strong Currency</v>
      </c>
      <c r="O150" s="11">
        <f>(Table1[[#This Row],[Living_Cost_Index]]/123.3)*1850</f>
        <v>1042.7818329278184</v>
      </c>
      <c r="P150" s="11">
        <f>Table1[[#This Row],[Monthly_Estimated_Living_cost]]*12</f>
        <v>12513.381995133821</v>
      </c>
      <c r="Q150" s="13">
        <f>Table1[[#This Row],[Tuition_USD]]+Table1[[#This Row],[Rent_USD]]+Table1[[#This Row],[Insurance_USD]]+Table1[[#This Row],[Visa_Fee_USD]]+Table1[[#This Row],[Annual_Estimated_Living_cost]]</f>
        <v>25763.381995133823</v>
      </c>
    </row>
    <row r="151" spans="1:17" x14ac:dyDescent="0.25">
      <c r="A151" s="2" t="s">
        <v>37</v>
      </c>
      <c r="B151" s="1" t="s">
        <v>402</v>
      </c>
      <c r="C151" s="1" t="s">
        <v>403</v>
      </c>
      <c r="D151" s="1" t="s">
        <v>59</v>
      </c>
      <c r="E151" s="1" t="s">
        <v>16</v>
      </c>
      <c r="F151" s="1">
        <v>2</v>
      </c>
      <c r="G151" s="1" t="str">
        <f>CONCATENATE(Table1[[#This Row],[Duration_Years]]," ","years")</f>
        <v>2 years</v>
      </c>
      <c r="H151" s="11">
        <v>14900</v>
      </c>
      <c r="I151" s="1">
        <v>65.2</v>
      </c>
      <c r="J151" s="11">
        <v>750</v>
      </c>
      <c r="K151" s="11">
        <v>180</v>
      </c>
      <c r="L151" s="11">
        <v>720</v>
      </c>
      <c r="M151" s="22">
        <v>0.92</v>
      </c>
      <c r="N151" s="3" t="str">
        <f>IF(Table1[[#This Row],[Exchange_Rate]]&lt;5,"Strong Currency", IF(Table1[[#This Row],[Exchange_Rate]]&lt;=1000, "Medium Currency","Weak Currency"))</f>
        <v>Strong Currency</v>
      </c>
      <c r="O151" s="11">
        <f>(Table1[[#This Row],[Living_Cost_Index]]/123.3)*1850</f>
        <v>978.2643957826441</v>
      </c>
      <c r="P151" s="11">
        <f>Table1[[#This Row],[Monthly_Estimated_Living_cost]]*12</f>
        <v>11739.17274939173</v>
      </c>
      <c r="Q151" s="13">
        <f>Table1[[#This Row],[Tuition_USD]]+Table1[[#This Row],[Rent_USD]]+Table1[[#This Row],[Insurance_USD]]+Table1[[#This Row],[Visa_Fee_USD]]+Table1[[#This Row],[Annual_Estimated_Living_cost]]</f>
        <v>28289.172749391728</v>
      </c>
    </row>
    <row r="152" spans="1:17" x14ac:dyDescent="0.25">
      <c r="A152" s="2" t="s">
        <v>37</v>
      </c>
      <c r="B152" s="1" t="s">
        <v>38</v>
      </c>
      <c r="C152" s="1" t="s">
        <v>404</v>
      </c>
      <c r="D152" s="1" t="s">
        <v>24</v>
      </c>
      <c r="E152" s="1" t="s">
        <v>16</v>
      </c>
      <c r="F152" s="1">
        <v>2</v>
      </c>
      <c r="G152" s="1" t="str">
        <f>CONCATENATE(Table1[[#This Row],[Duration_Years]]," ","years")</f>
        <v>2 years</v>
      </c>
      <c r="H152" s="11">
        <v>15400</v>
      </c>
      <c r="I152" s="1">
        <v>73.5</v>
      </c>
      <c r="J152" s="11">
        <v>1100</v>
      </c>
      <c r="K152" s="11">
        <v>180</v>
      </c>
      <c r="L152" s="11">
        <v>720</v>
      </c>
      <c r="M152" s="22">
        <v>0.92</v>
      </c>
      <c r="N152" s="3" t="str">
        <f>IF(Table1[[#This Row],[Exchange_Rate]]&lt;5,"Strong Currency", IF(Table1[[#This Row],[Exchange_Rate]]&lt;=1000, "Medium Currency","Weak Currency"))</f>
        <v>Strong Currency</v>
      </c>
      <c r="O152" s="11">
        <f>(Table1[[#This Row],[Living_Cost_Index]]/123.3)*1850</f>
        <v>1102.7980535279805</v>
      </c>
      <c r="P152" s="11">
        <f>Table1[[#This Row],[Monthly_Estimated_Living_cost]]*12</f>
        <v>13233.576642335767</v>
      </c>
      <c r="Q152" s="13">
        <f>Table1[[#This Row],[Tuition_USD]]+Table1[[#This Row],[Rent_USD]]+Table1[[#This Row],[Insurance_USD]]+Table1[[#This Row],[Visa_Fee_USD]]+Table1[[#This Row],[Annual_Estimated_Living_cost]]</f>
        <v>30633.576642335767</v>
      </c>
    </row>
    <row r="153" spans="1:17" x14ac:dyDescent="0.25">
      <c r="A153" s="2" t="s">
        <v>41</v>
      </c>
      <c r="B153" s="1" t="s">
        <v>41</v>
      </c>
      <c r="C153" s="1" t="s">
        <v>405</v>
      </c>
      <c r="D153" s="1" t="s">
        <v>15</v>
      </c>
      <c r="E153" s="1" t="s">
        <v>75</v>
      </c>
      <c r="F153" s="1">
        <v>4</v>
      </c>
      <c r="G153" s="1" t="str">
        <f>CONCATENATE(Table1[[#This Row],[Duration_Years]]," ","years")</f>
        <v>4 years</v>
      </c>
      <c r="H153" s="11">
        <v>32500</v>
      </c>
      <c r="I153" s="1">
        <v>81.099999999999994</v>
      </c>
      <c r="J153" s="11">
        <v>1500</v>
      </c>
      <c r="K153" s="11">
        <v>90</v>
      </c>
      <c r="L153" s="11">
        <v>800</v>
      </c>
      <c r="M153" s="22">
        <v>1.34</v>
      </c>
      <c r="N153" s="3" t="str">
        <f>IF(Table1[[#This Row],[Exchange_Rate]]&lt;5,"Strong Currency", IF(Table1[[#This Row],[Exchange_Rate]]&lt;=1000, "Medium Currency","Weak Currency"))</f>
        <v>Strong Currency</v>
      </c>
      <c r="O153" s="11">
        <f>(Table1[[#This Row],[Living_Cost_Index]]/123.3)*1850</f>
        <v>1216.8288726682888</v>
      </c>
      <c r="P153" s="11">
        <f>Table1[[#This Row],[Monthly_Estimated_Living_cost]]*12</f>
        <v>14601.946472019466</v>
      </c>
      <c r="Q153" s="13">
        <f>Table1[[#This Row],[Tuition_USD]]+Table1[[#This Row],[Rent_USD]]+Table1[[#This Row],[Insurance_USD]]+Table1[[#This Row],[Visa_Fee_USD]]+Table1[[#This Row],[Annual_Estimated_Living_cost]]</f>
        <v>49491.946472019466</v>
      </c>
    </row>
    <row r="154" spans="1:17" x14ac:dyDescent="0.25">
      <c r="A154" s="2" t="s">
        <v>41</v>
      </c>
      <c r="B154" s="1" t="s">
        <v>41</v>
      </c>
      <c r="C154" s="1" t="s">
        <v>406</v>
      </c>
      <c r="D154" s="1" t="s">
        <v>215</v>
      </c>
      <c r="E154" s="1" t="s">
        <v>75</v>
      </c>
      <c r="F154" s="1">
        <v>4</v>
      </c>
      <c r="G154" s="1" t="str">
        <f>CONCATENATE(Table1[[#This Row],[Duration_Years]]," ","years")</f>
        <v>4 years</v>
      </c>
      <c r="H154" s="11">
        <v>31800</v>
      </c>
      <c r="I154" s="1">
        <v>81.099999999999994</v>
      </c>
      <c r="J154" s="11">
        <v>1500</v>
      </c>
      <c r="K154" s="11">
        <v>90</v>
      </c>
      <c r="L154" s="11">
        <v>800</v>
      </c>
      <c r="M154" s="22">
        <v>1.34</v>
      </c>
      <c r="N154" s="3" t="str">
        <f>IF(Table1[[#This Row],[Exchange_Rate]]&lt;5,"Strong Currency", IF(Table1[[#This Row],[Exchange_Rate]]&lt;=1000, "Medium Currency","Weak Currency"))</f>
        <v>Strong Currency</v>
      </c>
      <c r="O154" s="11">
        <f>(Table1[[#This Row],[Living_Cost_Index]]/123.3)*1850</f>
        <v>1216.8288726682888</v>
      </c>
      <c r="P154" s="11">
        <f>Table1[[#This Row],[Monthly_Estimated_Living_cost]]*12</f>
        <v>14601.946472019466</v>
      </c>
      <c r="Q154" s="13">
        <f>Table1[[#This Row],[Tuition_USD]]+Table1[[#This Row],[Rent_USD]]+Table1[[#This Row],[Insurance_USD]]+Table1[[#This Row],[Visa_Fee_USD]]+Table1[[#This Row],[Annual_Estimated_Living_cost]]</f>
        <v>48791.946472019466</v>
      </c>
    </row>
    <row r="155" spans="1:17" x14ac:dyDescent="0.25">
      <c r="A155" s="2" t="s">
        <v>41</v>
      </c>
      <c r="B155" s="1" t="s">
        <v>41</v>
      </c>
      <c r="C155" s="1" t="s">
        <v>407</v>
      </c>
      <c r="D155" s="1" t="s">
        <v>408</v>
      </c>
      <c r="E155" s="1" t="s">
        <v>75</v>
      </c>
      <c r="F155" s="1">
        <v>4</v>
      </c>
      <c r="G155" s="1" t="str">
        <f>CONCATENATE(Table1[[#This Row],[Duration_Years]]," ","years")</f>
        <v>4 years</v>
      </c>
      <c r="H155" s="11">
        <v>31200</v>
      </c>
      <c r="I155" s="1">
        <v>81.099999999999994</v>
      </c>
      <c r="J155" s="11">
        <v>1500</v>
      </c>
      <c r="K155" s="11">
        <v>90</v>
      </c>
      <c r="L155" s="11">
        <v>800</v>
      </c>
      <c r="M155" s="22">
        <v>1.34</v>
      </c>
      <c r="N155" s="3" t="str">
        <f>IF(Table1[[#This Row],[Exchange_Rate]]&lt;5,"Strong Currency", IF(Table1[[#This Row],[Exchange_Rate]]&lt;=1000, "Medium Currency","Weak Currency"))</f>
        <v>Strong Currency</v>
      </c>
      <c r="O155" s="11">
        <f>(Table1[[#This Row],[Living_Cost_Index]]/123.3)*1850</f>
        <v>1216.8288726682888</v>
      </c>
      <c r="P155" s="11">
        <f>Table1[[#This Row],[Monthly_Estimated_Living_cost]]*12</f>
        <v>14601.946472019466</v>
      </c>
      <c r="Q155" s="13">
        <f>Table1[[#This Row],[Tuition_USD]]+Table1[[#This Row],[Rent_USD]]+Table1[[#This Row],[Insurance_USD]]+Table1[[#This Row],[Visa_Fee_USD]]+Table1[[#This Row],[Annual_Estimated_Living_cost]]</f>
        <v>48191.946472019466</v>
      </c>
    </row>
    <row r="156" spans="1:17" x14ac:dyDescent="0.25">
      <c r="A156" s="2" t="s">
        <v>41</v>
      </c>
      <c r="B156" s="1" t="s">
        <v>41</v>
      </c>
      <c r="C156" s="1" t="s">
        <v>409</v>
      </c>
      <c r="D156" s="1" t="s">
        <v>207</v>
      </c>
      <c r="E156" s="1" t="s">
        <v>75</v>
      </c>
      <c r="F156" s="1">
        <v>4</v>
      </c>
      <c r="G156" s="1" t="str">
        <f>CONCATENATE(Table1[[#This Row],[Duration_Years]]," ","years")</f>
        <v>4 years</v>
      </c>
      <c r="H156" s="11">
        <v>29800</v>
      </c>
      <c r="I156" s="1">
        <v>81.099999999999994</v>
      </c>
      <c r="J156" s="11">
        <v>1500</v>
      </c>
      <c r="K156" s="11">
        <v>90</v>
      </c>
      <c r="L156" s="11">
        <v>800</v>
      </c>
      <c r="M156" s="22">
        <v>1.34</v>
      </c>
      <c r="N156" s="3" t="str">
        <f>IF(Table1[[#This Row],[Exchange_Rate]]&lt;5,"Strong Currency", IF(Table1[[#This Row],[Exchange_Rate]]&lt;=1000, "Medium Currency","Weak Currency"))</f>
        <v>Strong Currency</v>
      </c>
      <c r="O156" s="11">
        <f>(Table1[[#This Row],[Living_Cost_Index]]/123.3)*1850</f>
        <v>1216.8288726682888</v>
      </c>
      <c r="P156" s="11">
        <f>Table1[[#This Row],[Monthly_Estimated_Living_cost]]*12</f>
        <v>14601.946472019466</v>
      </c>
      <c r="Q156" s="13">
        <f>Table1[[#This Row],[Tuition_USD]]+Table1[[#This Row],[Rent_USD]]+Table1[[#This Row],[Insurance_USD]]+Table1[[#This Row],[Visa_Fee_USD]]+Table1[[#This Row],[Annual_Estimated_Living_cost]]</f>
        <v>46791.946472019466</v>
      </c>
    </row>
    <row r="157" spans="1:17" x14ac:dyDescent="0.25">
      <c r="A157" s="2" t="s">
        <v>41</v>
      </c>
      <c r="B157" s="1" t="s">
        <v>41</v>
      </c>
      <c r="C157" s="1" t="s">
        <v>410</v>
      </c>
      <c r="D157" s="1" t="s">
        <v>40</v>
      </c>
      <c r="E157" s="1" t="s">
        <v>16</v>
      </c>
      <c r="F157" s="1">
        <v>2</v>
      </c>
      <c r="G157" s="1" t="str">
        <f>CONCATENATE(Table1[[#This Row],[Duration_Years]]," ","years")</f>
        <v>2 years</v>
      </c>
      <c r="H157" s="11">
        <v>35600</v>
      </c>
      <c r="I157" s="1">
        <v>81.099999999999994</v>
      </c>
      <c r="J157" s="11">
        <v>1500</v>
      </c>
      <c r="K157" s="11">
        <v>90</v>
      </c>
      <c r="L157" s="11">
        <v>800</v>
      </c>
      <c r="M157" s="22">
        <v>1.34</v>
      </c>
      <c r="N157" s="3" t="str">
        <f>IF(Table1[[#This Row],[Exchange_Rate]]&lt;5,"Strong Currency", IF(Table1[[#This Row],[Exchange_Rate]]&lt;=1000, "Medium Currency","Weak Currency"))</f>
        <v>Strong Currency</v>
      </c>
      <c r="O157" s="11">
        <f>(Table1[[#This Row],[Living_Cost_Index]]/123.3)*1850</f>
        <v>1216.8288726682888</v>
      </c>
      <c r="P157" s="11">
        <f>Table1[[#This Row],[Monthly_Estimated_Living_cost]]*12</f>
        <v>14601.946472019466</v>
      </c>
      <c r="Q157" s="13">
        <f>Table1[[#This Row],[Tuition_USD]]+Table1[[#This Row],[Rent_USD]]+Table1[[#This Row],[Insurance_USD]]+Table1[[#This Row],[Visa_Fee_USD]]+Table1[[#This Row],[Annual_Estimated_Living_cost]]</f>
        <v>52591.946472019466</v>
      </c>
    </row>
    <row r="158" spans="1:17" x14ac:dyDescent="0.25">
      <c r="A158" s="2" t="s">
        <v>41</v>
      </c>
      <c r="B158" s="1" t="s">
        <v>41</v>
      </c>
      <c r="C158" s="1" t="s">
        <v>411</v>
      </c>
      <c r="D158" s="1" t="s">
        <v>412</v>
      </c>
      <c r="E158" s="1" t="s">
        <v>16</v>
      </c>
      <c r="F158" s="1">
        <v>2</v>
      </c>
      <c r="G158" s="1" t="str">
        <f>CONCATENATE(Table1[[#This Row],[Duration_Years]]," ","years")</f>
        <v>2 years</v>
      </c>
      <c r="H158" s="11">
        <v>34900</v>
      </c>
      <c r="I158" s="1">
        <v>81.099999999999994</v>
      </c>
      <c r="J158" s="11">
        <v>1500</v>
      </c>
      <c r="K158" s="11">
        <v>90</v>
      </c>
      <c r="L158" s="11">
        <v>800</v>
      </c>
      <c r="M158" s="22">
        <v>1.34</v>
      </c>
      <c r="N158" s="3" t="str">
        <f>IF(Table1[[#This Row],[Exchange_Rate]]&lt;5,"Strong Currency", IF(Table1[[#This Row],[Exchange_Rate]]&lt;=1000, "Medium Currency","Weak Currency"))</f>
        <v>Strong Currency</v>
      </c>
      <c r="O158" s="11">
        <f>(Table1[[#This Row],[Living_Cost_Index]]/123.3)*1850</f>
        <v>1216.8288726682888</v>
      </c>
      <c r="P158" s="11">
        <f>Table1[[#This Row],[Monthly_Estimated_Living_cost]]*12</f>
        <v>14601.946472019466</v>
      </c>
      <c r="Q158" s="13">
        <f>Table1[[#This Row],[Tuition_USD]]+Table1[[#This Row],[Rent_USD]]+Table1[[#This Row],[Insurance_USD]]+Table1[[#This Row],[Visa_Fee_USD]]+Table1[[#This Row],[Annual_Estimated_Living_cost]]</f>
        <v>51891.946472019466</v>
      </c>
    </row>
    <row r="159" spans="1:17" x14ac:dyDescent="0.25">
      <c r="A159" s="2" t="s">
        <v>41</v>
      </c>
      <c r="B159" s="1" t="s">
        <v>41</v>
      </c>
      <c r="C159" s="1" t="s">
        <v>407</v>
      </c>
      <c r="D159" s="1" t="s">
        <v>413</v>
      </c>
      <c r="E159" s="1" t="s">
        <v>16</v>
      </c>
      <c r="F159" s="1">
        <v>2</v>
      </c>
      <c r="G159" s="1" t="str">
        <f>CONCATENATE(Table1[[#This Row],[Duration_Years]]," ","years")</f>
        <v>2 years</v>
      </c>
      <c r="H159" s="11">
        <v>33800</v>
      </c>
      <c r="I159" s="1">
        <v>81.099999999999994</v>
      </c>
      <c r="J159" s="11">
        <v>1500</v>
      </c>
      <c r="K159" s="11">
        <v>90</v>
      </c>
      <c r="L159" s="11">
        <v>800</v>
      </c>
      <c r="M159" s="22">
        <v>1.34</v>
      </c>
      <c r="N159" s="3" t="str">
        <f>IF(Table1[[#This Row],[Exchange_Rate]]&lt;5,"Strong Currency", IF(Table1[[#This Row],[Exchange_Rate]]&lt;=1000, "Medium Currency","Weak Currency"))</f>
        <v>Strong Currency</v>
      </c>
      <c r="O159" s="11">
        <f>(Table1[[#This Row],[Living_Cost_Index]]/123.3)*1850</f>
        <v>1216.8288726682888</v>
      </c>
      <c r="P159" s="11">
        <f>Table1[[#This Row],[Monthly_Estimated_Living_cost]]*12</f>
        <v>14601.946472019466</v>
      </c>
      <c r="Q159" s="13">
        <f>Table1[[#This Row],[Tuition_USD]]+Table1[[#This Row],[Rent_USD]]+Table1[[#This Row],[Insurance_USD]]+Table1[[#This Row],[Visa_Fee_USD]]+Table1[[#This Row],[Annual_Estimated_Living_cost]]</f>
        <v>50791.946472019466</v>
      </c>
    </row>
    <row r="160" spans="1:17" x14ac:dyDescent="0.25">
      <c r="A160" s="2" t="s">
        <v>41</v>
      </c>
      <c r="B160" s="1" t="s">
        <v>41</v>
      </c>
      <c r="C160" s="1" t="s">
        <v>414</v>
      </c>
      <c r="D160" s="1" t="s">
        <v>415</v>
      </c>
      <c r="E160" s="1" t="s">
        <v>16</v>
      </c>
      <c r="F160" s="1">
        <v>2</v>
      </c>
      <c r="G160" s="1" t="str">
        <f>CONCATENATE(Table1[[#This Row],[Duration_Years]]," ","years")</f>
        <v>2 years</v>
      </c>
      <c r="H160" s="11">
        <v>34200</v>
      </c>
      <c r="I160" s="1">
        <v>81.099999999999994</v>
      </c>
      <c r="J160" s="11">
        <v>1500</v>
      </c>
      <c r="K160" s="11">
        <v>90</v>
      </c>
      <c r="L160" s="11">
        <v>800</v>
      </c>
      <c r="M160" s="22">
        <v>1.34</v>
      </c>
      <c r="N160" s="3" t="str">
        <f>IF(Table1[[#This Row],[Exchange_Rate]]&lt;5,"Strong Currency", IF(Table1[[#This Row],[Exchange_Rate]]&lt;=1000, "Medium Currency","Weak Currency"))</f>
        <v>Strong Currency</v>
      </c>
      <c r="O160" s="11">
        <f>(Table1[[#This Row],[Living_Cost_Index]]/123.3)*1850</f>
        <v>1216.8288726682888</v>
      </c>
      <c r="P160" s="11">
        <f>Table1[[#This Row],[Monthly_Estimated_Living_cost]]*12</f>
        <v>14601.946472019466</v>
      </c>
      <c r="Q160" s="13">
        <f>Table1[[#This Row],[Tuition_USD]]+Table1[[#This Row],[Rent_USD]]+Table1[[#This Row],[Insurance_USD]]+Table1[[#This Row],[Visa_Fee_USD]]+Table1[[#This Row],[Annual_Estimated_Living_cost]]</f>
        <v>51191.946472019466</v>
      </c>
    </row>
    <row r="161" spans="1:17" x14ac:dyDescent="0.25">
      <c r="A161" s="2" t="s">
        <v>41</v>
      </c>
      <c r="B161" s="1" t="s">
        <v>41</v>
      </c>
      <c r="C161" s="1" t="s">
        <v>410</v>
      </c>
      <c r="D161" s="1" t="s">
        <v>63</v>
      </c>
      <c r="E161" s="1" t="s">
        <v>1353</v>
      </c>
      <c r="F161" s="1">
        <v>4</v>
      </c>
      <c r="G161" s="1" t="str">
        <f>CONCATENATE(Table1[[#This Row],[Duration_Years]]," ","years")</f>
        <v>4 years</v>
      </c>
      <c r="H161" s="11">
        <v>38500</v>
      </c>
      <c r="I161" s="1">
        <v>81.099999999999994</v>
      </c>
      <c r="J161" s="11">
        <v>1500</v>
      </c>
      <c r="K161" s="11">
        <v>90</v>
      </c>
      <c r="L161" s="11">
        <v>800</v>
      </c>
      <c r="M161" s="22">
        <v>1.34</v>
      </c>
      <c r="N161" s="3" t="str">
        <f>IF(Table1[[#This Row],[Exchange_Rate]]&lt;5,"Strong Currency", IF(Table1[[#This Row],[Exchange_Rate]]&lt;=1000, "Medium Currency","Weak Currency"))</f>
        <v>Strong Currency</v>
      </c>
      <c r="O161" s="11">
        <f>(Table1[[#This Row],[Living_Cost_Index]]/123.3)*1850</f>
        <v>1216.8288726682888</v>
      </c>
      <c r="P161" s="11">
        <f>Table1[[#This Row],[Monthly_Estimated_Living_cost]]*12</f>
        <v>14601.946472019466</v>
      </c>
      <c r="Q161" s="13">
        <f>Table1[[#This Row],[Tuition_USD]]+Table1[[#This Row],[Rent_USD]]+Table1[[#This Row],[Insurance_USD]]+Table1[[#This Row],[Visa_Fee_USD]]+Table1[[#This Row],[Annual_Estimated_Living_cost]]</f>
        <v>55491.946472019466</v>
      </c>
    </row>
    <row r="162" spans="1:17" x14ac:dyDescent="0.25">
      <c r="A162" s="2" t="s">
        <v>41</v>
      </c>
      <c r="B162" s="1" t="s">
        <v>41</v>
      </c>
      <c r="C162" s="1" t="s">
        <v>411</v>
      </c>
      <c r="D162" s="1" t="s">
        <v>416</v>
      </c>
      <c r="E162" s="1" t="s">
        <v>1353</v>
      </c>
      <c r="F162" s="1">
        <v>4</v>
      </c>
      <c r="G162" s="1" t="str">
        <f>CONCATENATE(Table1[[#This Row],[Duration_Years]]," ","years")</f>
        <v>4 years</v>
      </c>
      <c r="H162" s="11">
        <v>37900</v>
      </c>
      <c r="I162" s="1">
        <v>81.099999999999994</v>
      </c>
      <c r="J162" s="11">
        <v>1500</v>
      </c>
      <c r="K162" s="11">
        <v>90</v>
      </c>
      <c r="L162" s="11">
        <v>800</v>
      </c>
      <c r="M162" s="22">
        <v>1.34</v>
      </c>
      <c r="N162" s="3" t="str">
        <f>IF(Table1[[#This Row],[Exchange_Rate]]&lt;5,"Strong Currency", IF(Table1[[#This Row],[Exchange_Rate]]&lt;=1000, "Medium Currency","Weak Currency"))</f>
        <v>Strong Currency</v>
      </c>
      <c r="O162" s="11">
        <f>(Table1[[#This Row],[Living_Cost_Index]]/123.3)*1850</f>
        <v>1216.8288726682888</v>
      </c>
      <c r="P162" s="11">
        <f>Table1[[#This Row],[Monthly_Estimated_Living_cost]]*12</f>
        <v>14601.946472019466</v>
      </c>
      <c r="Q162" s="13">
        <f>Table1[[#This Row],[Tuition_USD]]+Table1[[#This Row],[Rent_USD]]+Table1[[#This Row],[Insurance_USD]]+Table1[[#This Row],[Visa_Fee_USD]]+Table1[[#This Row],[Annual_Estimated_Living_cost]]</f>
        <v>54891.946472019466</v>
      </c>
    </row>
    <row r="163" spans="1:17" x14ac:dyDescent="0.25">
      <c r="A163" s="2" t="s">
        <v>44</v>
      </c>
      <c r="B163" s="1" t="s">
        <v>45</v>
      </c>
      <c r="C163" s="1" t="s">
        <v>417</v>
      </c>
      <c r="D163" s="1" t="s">
        <v>15</v>
      </c>
      <c r="E163" s="1" t="s">
        <v>16</v>
      </c>
      <c r="F163" s="1">
        <v>2</v>
      </c>
      <c r="G163" s="1" t="str">
        <f>CONCATENATE(Table1[[#This Row],[Duration_Years]]," ","years")</f>
        <v>2 years</v>
      </c>
      <c r="H163" s="11">
        <v>15600</v>
      </c>
      <c r="I163" s="1">
        <v>74.599999999999994</v>
      </c>
      <c r="J163" s="11">
        <v>1500</v>
      </c>
      <c r="K163" s="11">
        <v>99</v>
      </c>
      <c r="L163" s="11">
        <v>650</v>
      </c>
      <c r="M163" s="22">
        <v>0.92</v>
      </c>
      <c r="N163" s="3" t="str">
        <f>IF(Table1[[#This Row],[Exchange_Rate]]&lt;5,"Strong Currency", IF(Table1[[#This Row],[Exchange_Rate]]&lt;=1000, "Medium Currency","Weak Currency"))</f>
        <v>Strong Currency</v>
      </c>
      <c r="O163" s="11">
        <f>(Table1[[#This Row],[Living_Cost_Index]]/123.3)*1850</f>
        <v>1119.3025141930252</v>
      </c>
      <c r="P163" s="11">
        <f>Table1[[#This Row],[Monthly_Estimated_Living_cost]]*12</f>
        <v>13431.630170316303</v>
      </c>
      <c r="Q163" s="13">
        <f>Table1[[#This Row],[Tuition_USD]]+Table1[[#This Row],[Rent_USD]]+Table1[[#This Row],[Insurance_USD]]+Table1[[#This Row],[Visa_Fee_USD]]+Table1[[#This Row],[Annual_Estimated_Living_cost]]</f>
        <v>31280.630170316304</v>
      </c>
    </row>
    <row r="164" spans="1:17" x14ac:dyDescent="0.25">
      <c r="A164" s="2" t="s">
        <v>44</v>
      </c>
      <c r="B164" s="1" t="s">
        <v>418</v>
      </c>
      <c r="C164" s="1" t="s">
        <v>419</v>
      </c>
      <c r="D164" s="1" t="s">
        <v>207</v>
      </c>
      <c r="E164" s="1" t="s">
        <v>75</v>
      </c>
      <c r="F164" s="1">
        <v>3</v>
      </c>
      <c r="G164" s="1" t="str">
        <f>CONCATENATE(Table1[[#This Row],[Duration_Years]]," ","years")</f>
        <v>3 years</v>
      </c>
      <c r="H164" s="11">
        <v>4200</v>
      </c>
      <c r="I164" s="1">
        <v>65.8</v>
      </c>
      <c r="J164" s="11">
        <v>750</v>
      </c>
      <c r="K164" s="11">
        <v>99</v>
      </c>
      <c r="L164" s="11">
        <v>650</v>
      </c>
      <c r="M164" s="22">
        <v>0.92</v>
      </c>
      <c r="N164" s="3" t="str">
        <f>IF(Table1[[#This Row],[Exchange_Rate]]&lt;5,"Strong Currency", IF(Table1[[#This Row],[Exchange_Rate]]&lt;=1000, "Medium Currency","Weak Currency"))</f>
        <v>Strong Currency</v>
      </c>
      <c r="O164" s="11">
        <f>(Table1[[#This Row],[Living_Cost_Index]]/123.3)*1850</f>
        <v>987.26682887266816</v>
      </c>
      <c r="P164" s="11">
        <f>Table1[[#This Row],[Monthly_Estimated_Living_cost]]*12</f>
        <v>11847.201946472018</v>
      </c>
      <c r="Q164" s="13">
        <f>Table1[[#This Row],[Tuition_USD]]+Table1[[#This Row],[Rent_USD]]+Table1[[#This Row],[Insurance_USD]]+Table1[[#This Row],[Visa_Fee_USD]]+Table1[[#This Row],[Annual_Estimated_Living_cost]]</f>
        <v>17546.201946472018</v>
      </c>
    </row>
    <row r="165" spans="1:17" x14ac:dyDescent="0.25">
      <c r="A165" s="2" t="s">
        <v>44</v>
      </c>
      <c r="B165" s="1" t="s">
        <v>420</v>
      </c>
      <c r="C165" s="1" t="s">
        <v>421</v>
      </c>
      <c r="D165" s="1" t="s">
        <v>20</v>
      </c>
      <c r="E165" s="1" t="s">
        <v>16</v>
      </c>
      <c r="F165" s="1">
        <v>2</v>
      </c>
      <c r="G165" s="1" t="str">
        <f>CONCATENATE(Table1[[#This Row],[Duration_Years]]," ","years")</f>
        <v>2 years</v>
      </c>
      <c r="H165" s="11">
        <v>4800</v>
      </c>
      <c r="I165" s="1">
        <v>68.5</v>
      </c>
      <c r="J165" s="11">
        <v>850</v>
      </c>
      <c r="K165" s="11">
        <v>99</v>
      </c>
      <c r="L165" s="11">
        <v>650</v>
      </c>
      <c r="M165" s="22">
        <v>0.92</v>
      </c>
      <c r="N165" s="3" t="str">
        <f>IF(Table1[[#This Row],[Exchange_Rate]]&lt;5,"Strong Currency", IF(Table1[[#This Row],[Exchange_Rate]]&lt;=1000, "Medium Currency","Weak Currency"))</f>
        <v>Strong Currency</v>
      </c>
      <c r="O165" s="11">
        <f>(Table1[[#This Row],[Living_Cost_Index]]/123.3)*1850</f>
        <v>1027.7777777777778</v>
      </c>
      <c r="P165" s="11">
        <f>Table1[[#This Row],[Monthly_Estimated_Living_cost]]*12</f>
        <v>12333.333333333334</v>
      </c>
      <c r="Q165" s="13">
        <f>Table1[[#This Row],[Tuition_USD]]+Table1[[#This Row],[Rent_USD]]+Table1[[#This Row],[Insurance_USD]]+Table1[[#This Row],[Visa_Fee_USD]]+Table1[[#This Row],[Annual_Estimated_Living_cost]]</f>
        <v>18732.333333333336</v>
      </c>
    </row>
    <row r="166" spans="1:17" x14ac:dyDescent="0.25">
      <c r="A166" s="2" t="s">
        <v>44</v>
      </c>
      <c r="B166" s="1" t="s">
        <v>422</v>
      </c>
      <c r="C166" s="1" t="s">
        <v>423</v>
      </c>
      <c r="D166" s="1" t="s">
        <v>40</v>
      </c>
      <c r="E166" s="1" t="s">
        <v>16</v>
      </c>
      <c r="F166" s="1">
        <v>2</v>
      </c>
      <c r="G166" s="1" t="str">
        <f>CONCATENATE(Table1[[#This Row],[Duration_Years]]," ","years")</f>
        <v>2 years</v>
      </c>
      <c r="H166" s="11">
        <v>4500</v>
      </c>
      <c r="I166" s="1">
        <v>66.400000000000006</v>
      </c>
      <c r="J166" s="11">
        <v>800</v>
      </c>
      <c r="K166" s="11">
        <v>99</v>
      </c>
      <c r="L166" s="11">
        <v>650</v>
      </c>
      <c r="M166" s="22">
        <v>0.92</v>
      </c>
      <c r="N166" s="3" t="str">
        <f>IF(Table1[[#This Row],[Exchange_Rate]]&lt;5,"Strong Currency", IF(Table1[[#This Row],[Exchange_Rate]]&lt;=1000, "Medium Currency","Weak Currency"))</f>
        <v>Strong Currency</v>
      </c>
      <c r="O166" s="11">
        <f>(Table1[[#This Row],[Living_Cost_Index]]/123.3)*1850</f>
        <v>996.26926196269267</v>
      </c>
      <c r="P166" s="11">
        <f>Table1[[#This Row],[Monthly_Estimated_Living_cost]]*12</f>
        <v>11955.231143552312</v>
      </c>
      <c r="Q166" s="13">
        <f>Table1[[#This Row],[Tuition_USD]]+Table1[[#This Row],[Rent_USD]]+Table1[[#This Row],[Insurance_USD]]+Table1[[#This Row],[Visa_Fee_USD]]+Table1[[#This Row],[Annual_Estimated_Living_cost]]</f>
        <v>18004.231143552312</v>
      </c>
    </row>
    <row r="167" spans="1:17" x14ac:dyDescent="0.25">
      <c r="A167" s="2" t="s">
        <v>44</v>
      </c>
      <c r="B167" s="1" t="s">
        <v>424</v>
      </c>
      <c r="C167" s="1" t="s">
        <v>425</v>
      </c>
      <c r="D167" s="1" t="s">
        <v>63</v>
      </c>
      <c r="E167" s="1" t="s">
        <v>75</v>
      </c>
      <c r="F167" s="1">
        <v>3</v>
      </c>
      <c r="G167" s="1" t="str">
        <f>CONCATENATE(Table1[[#This Row],[Duration_Years]]," ","years")</f>
        <v>3 years</v>
      </c>
      <c r="H167" s="11">
        <v>3900</v>
      </c>
      <c r="I167" s="1">
        <v>69.2</v>
      </c>
      <c r="J167" s="11">
        <v>900</v>
      </c>
      <c r="K167" s="11">
        <v>99</v>
      </c>
      <c r="L167" s="11">
        <v>650</v>
      </c>
      <c r="M167" s="22">
        <v>0.92</v>
      </c>
      <c r="N167" s="3" t="str">
        <f>IF(Table1[[#This Row],[Exchange_Rate]]&lt;5,"Strong Currency", IF(Table1[[#This Row],[Exchange_Rate]]&lt;=1000, "Medium Currency","Weak Currency"))</f>
        <v>Strong Currency</v>
      </c>
      <c r="O167" s="11">
        <f>(Table1[[#This Row],[Living_Cost_Index]]/123.3)*1850</f>
        <v>1038.2806163828063</v>
      </c>
      <c r="P167" s="11">
        <f>Table1[[#This Row],[Monthly_Estimated_Living_cost]]*12</f>
        <v>12459.367396593676</v>
      </c>
      <c r="Q167" s="13">
        <f>Table1[[#This Row],[Tuition_USD]]+Table1[[#This Row],[Rent_USD]]+Table1[[#This Row],[Insurance_USD]]+Table1[[#This Row],[Visa_Fee_USD]]+Table1[[#This Row],[Annual_Estimated_Living_cost]]</f>
        <v>18008.367396593676</v>
      </c>
    </row>
    <row r="168" spans="1:17" x14ac:dyDescent="0.25">
      <c r="A168" s="2" t="s">
        <v>44</v>
      </c>
      <c r="B168" s="1" t="s">
        <v>426</v>
      </c>
      <c r="C168" s="1" t="s">
        <v>427</v>
      </c>
      <c r="D168" s="1" t="s">
        <v>215</v>
      </c>
      <c r="E168" s="1" t="s">
        <v>16</v>
      </c>
      <c r="F168" s="1">
        <v>2</v>
      </c>
      <c r="G168" s="1" t="str">
        <f>CONCATENATE(Table1[[#This Row],[Duration_Years]]," ","years")</f>
        <v>2 years</v>
      </c>
      <c r="H168" s="11">
        <v>4200</v>
      </c>
      <c r="I168" s="1">
        <v>67.8</v>
      </c>
      <c r="J168" s="11">
        <v>850</v>
      </c>
      <c r="K168" s="11">
        <v>99</v>
      </c>
      <c r="L168" s="11">
        <v>650</v>
      </c>
      <c r="M168" s="22">
        <v>0.92</v>
      </c>
      <c r="N168" s="3" t="str">
        <f>IF(Table1[[#This Row],[Exchange_Rate]]&lt;5,"Strong Currency", IF(Table1[[#This Row],[Exchange_Rate]]&lt;=1000, "Medium Currency","Weak Currency"))</f>
        <v>Strong Currency</v>
      </c>
      <c r="O168" s="11">
        <f>(Table1[[#This Row],[Living_Cost_Index]]/123.3)*1850</f>
        <v>1017.2749391727493</v>
      </c>
      <c r="P168" s="11">
        <f>Table1[[#This Row],[Monthly_Estimated_Living_cost]]*12</f>
        <v>12207.299270072992</v>
      </c>
      <c r="Q168" s="13">
        <f>Table1[[#This Row],[Tuition_USD]]+Table1[[#This Row],[Rent_USD]]+Table1[[#This Row],[Insurance_USD]]+Table1[[#This Row],[Visa_Fee_USD]]+Table1[[#This Row],[Annual_Estimated_Living_cost]]</f>
        <v>18006.299270072992</v>
      </c>
    </row>
    <row r="169" spans="1:17" x14ac:dyDescent="0.25">
      <c r="A169" s="2" t="s">
        <v>44</v>
      </c>
      <c r="B169" s="1" t="s">
        <v>428</v>
      </c>
      <c r="C169" s="1" t="s">
        <v>429</v>
      </c>
      <c r="D169" s="1" t="s">
        <v>241</v>
      </c>
      <c r="E169" s="1" t="s">
        <v>75</v>
      </c>
      <c r="F169" s="1">
        <v>3</v>
      </c>
      <c r="G169" s="1" t="str">
        <f>CONCATENATE(Table1[[#This Row],[Duration_Years]]," ","years")</f>
        <v>3 years</v>
      </c>
      <c r="H169" s="11">
        <v>3800</v>
      </c>
      <c r="I169" s="1">
        <v>65.5</v>
      </c>
      <c r="J169" s="11">
        <v>750</v>
      </c>
      <c r="K169" s="11">
        <v>99</v>
      </c>
      <c r="L169" s="11">
        <v>650</v>
      </c>
      <c r="M169" s="22">
        <v>0.92</v>
      </c>
      <c r="N169" s="3" t="str">
        <f>IF(Table1[[#This Row],[Exchange_Rate]]&lt;5,"Strong Currency", IF(Table1[[#This Row],[Exchange_Rate]]&lt;=1000, "Medium Currency","Weak Currency"))</f>
        <v>Strong Currency</v>
      </c>
      <c r="O169" s="11">
        <f>(Table1[[#This Row],[Living_Cost_Index]]/123.3)*1850</f>
        <v>982.76561232765619</v>
      </c>
      <c r="P169" s="11">
        <f>Table1[[#This Row],[Monthly_Estimated_Living_cost]]*12</f>
        <v>11793.187347931875</v>
      </c>
      <c r="Q169" s="13">
        <f>Table1[[#This Row],[Tuition_USD]]+Table1[[#This Row],[Rent_USD]]+Table1[[#This Row],[Insurance_USD]]+Table1[[#This Row],[Visa_Fee_USD]]+Table1[[#This Row],[Annual_Estimated_Living_cost]]</f>
        <v>17092.187347931875</v>
      </c>
    </row>
    <row r="170" spans="1:17" x14ac:dyDescent="0.25">
      <c r="A170" s="2" t="s">
        <v>44</v>
      </c>
      <c r="B170" s="1" t="s">
        <v>430</v>
      </c>
      <c r="C170" s="1" t="s">
        <v>431</v>
      </c>
      <c r="D170" s="1" t="s">
        <v>300</v>
      </c>
      <c r="E170" s="1" t="s">
        <v>16</v>
      </c>
      <c r="F170" s="1">
        <v>2</v>
      </c>
      <c r="G170" s="1" t="str">
        <f>CONCATENATE(Table1[[#This Row],[Duration_Years]]," ","years")</f>
        <v>2 years</v>
      </c>
      <c r="H170" s="11">
        <v>4500</v>
      </c>
      <c r="I170" s="1">
        <v>64.8</v>
      </c>
      <c r="J170" s="11">
        <v>700</v>
      </c>
      <c r="K170" s="11">
        <v>99</v>
      </c>
      <c r="L170" s="11">
        <v>650</v>
      </c>
      <c r="M170" s="22">
        <v>0.92</v>
      </c>
      <c r="N170" s="3" t="str">
        <f>IF(Table1[[#This Row],[Exchange_Rate]]&lt;5,"Strong Currency", IF(Table1[[#This Row],[Exchange_Rate]]&lt;=1000, "Medium Currency","Weak Currency"))</f>
        <v>Strong Currency</v>
      </c>
      <c r="O170" s="11">
        <f>(Table1[[#This Row],[Living_Cost_Index]]/123.3)*1850</f>
        <v>972.2627737226278</v>
      </c>
      <c r="P170" s="11">
        <f>Table1[[#This Row],[Monthly_Estimated_Living_cost]]*12</f>
        <v>11667.153284671534</v>
      </c>
      <c r="Q170" s="13">
        <f>Table1[[#This Row],[Tuition_USD]]+Table1[[#This Row],[Rent_USD]]+Table1[[#This Row],[Insurance_USD]]+Table1[[#This Row],[Visa_Fee_USD]]+Table1[[#This Row],[Annual_Estimated_Living_cost]]</f>
        <v>17616.153284671534</v>
      </c>
    </row>
    <row r="171" spans="1:17" x14ac:dyDescent="0.25">
      <c r="A171" s="2" t="s">
        <v>44</v>
      </c>
      <c r="B171" s="1" t="s">
        <v>432</v>
      </c>
      <c r="C171" s="1" t="s">
        <v>433</v>
      </c>
      <c r="D171" s="1" t="s">
        <v>434</v>
      </c>
      <c r="E171" s="1" t="s">
        <v>75</v>
      </c>
      <c r="F171" s="1">
        <v>3</v>
      </c>
      <c r="G171" s="1" t="str">
        <f>CONCATENATE(Table1[[#This Row],[Duration_Years]]," ","years")</f>
        <v>3 years</v>
      </c>
      <c r="H171" s="11">
        <v>3900</v>
      </c>
      <c r="I171" s="1">
        <v>66.2</v>
      </c>
      <c r="J171" s="11">
        <v>800</v>
      </c>
      <c r="K171" s="11">
        <v>99</v>
      </c>
      <c r="L171" s="11">
        <v>650</v>
      </c>
      <c r="M171" s="22">
        <v>0.92</v>
      </c>
      <c r="N171" s="3" t="str">
        <f>IF(Table1[[#This Row],[Exchange_Rate]]&lt;5,"Strong Currency", IF(Table1[[#This Row],[Exchange_Rate]]&lt;=1000, "Medium Currency","Weak Currency"))</f>
        <v>Strong Currency</v>
      </c>
      <c r="O171" s="11">
        <f>(Table1[[#This Row],[Living_Cost_Index]]/123.3)*1850</f>
        <v>993.26845093268469</v>
      </c>
      <c r="P171" s="11">
        <f>Table1[[#This Row],[Monthly_Estimated_Living_cost]]*12</f>
        <v>11919.221411192217</v>
      </c>
      <c r="Q171" s="13">
        <f>Table1[[#This Row],[Tuition_USD]]+Table1[[#This Row],[Rent_USD]]+Table1[[#This Row],[Insurance_USD]]+Table1[[#This Row],[Visa_Fee_USD]]+Table1[[#This Row],[Annual_Estimated_Living_cost]]</f>
        <v>17368.221411192215</v>
      </c>
    </row>
    <row r="172" spans="1:17" x14ac:dyDescent="0.25">
      <c r="A172" s="2" t="s">
        <v>44</v>
      </c>
      <c r="B172" s="1" t="s">
        <v>435</v>
      </c>
      <c r="C172" s="1" t="s">
        <v>436</v>
      </c>
      <c r="D172" s="1" t="s">
        <v>251</v>
      </c>
      <c r="E172" s="1" t="s">
        <v>16</v>
      </c>
      <c r="F172" s="1">
        <v>2</v>
      </c>
      <c r="G172" s="1" t="str">
        <f>CONCATENATE(Table1[[#This Row],[Duration_Years]]," ","years")</f>
        <v>2 years</v>
      </c>
      <c r="H172" s="11">
        <v>4100</v>
      </c>
      <c r="I172" s="1">
        <v>65.900000000000006</v>
      </c>
      <c r="J172" s="11">
        <v>750</v>
      </c>
      <c r="K172" s="11">
        <v>99</v>
      </c>
      <c r="L172" s="11">
        <v>650</v>
      </c>
      <c r="M172" s="22">
        <v>0.92</v>
      </c>
      <c r="N172" s="3" t="str">
        <f>IF(Table1[[#This Row],[Exchange_Rate]]&lt;5,"Strong Currency", IF(Table1[[#This Row],[Exchange_Rate]]&lt;=1000, "Medium Currency","Weak Currency"))</f>
        <v>Strong Currency</v>
      </c>
      <c r="O172" s="11">
        <f>(Table1[[#This Row],[Living_Cost_Index]]/123.3)*1850</f>
        <v>988.76723438767249</v>
      </c>
      <c r="P172" s="11">
        <f>Table1[[#This Row],[Monthly_Estimated_Living_cost]]*12</f>
        <v>11865.20681265207</v>
      </c>
      <c r="Q172" s="13">
        <f>Table1[[#This Row],[Tuition_USD]]+Table1[[#This Row],[Rent_USD]]+Table1[[#This Row],[Insurance_USD]]+Table1[[#This Row],[Visa_Fee_USD]]+Table1[[#This Row],[Annual_Estimated_Living_cost]]</f>
        <v>17464.206812652068</v>
      </c>
    </row>
    <row r="173" spans="1:17" x14ac:dyDescent="0.25">
      <c r="A173" s="2" t="s">
        <v>48</v>
      </c>
      <c r="B173" s="1" t="s">
        <v>437</v>
      </c>
      <c r="C173" s="1" t="s">
        <v>438</v>
      </c>
      <c r="D173" s="1" t="s">
        <v>15</v>
      </c>
      <c r="E173" s="1" t="s">
        <v>16</v>
      </c>
      <c r="F173" s="1">
        <v>2</v>
      </c>
      <c r="G173" s="1" t="str">
        <f>CONCATENATE(Table1[[#This Row],[Duration_Years]]," ","years")</f>
        <v>2 years</v>
      </c>
      <c r="H173" s="11">
        <v>1460</v>
      </c>
      <c r="I173" s="1">
        <v>89.8</v>
      </c>
      <c r="J173" s="11">
        <v>1900</v>
      </c>
      <c r="K173" s="11">
        <v>88</v>
      </c>
      <c r="L173" s="11">
        <v>1200</v>
      </c>
      <c r="M173" s="22">
        <v>0.89</v>
      </c>
      <c r="N173" s="3" t="str">
        <f>IF(Table1[[#This Row],[Exchange_Rate]]&lt;5,"Strong Currency", IF(Table1[[#This Row],[Exchange_Rate]]&lt;=1000, "Medium Currency","Weak Currency"))</f>
        <v>Strong Currency</v>
      </c>
      <c r="O173" s="11">
        <f>(Table1[[#This Row],[Living_Cost_Index]]/123.3)*1850</f>
        <v>1347.3641524736415</v>
      </c>
      <c r="P173" s="11">
        <f>Table1[[#This Row],[Monthly_Estimated_Living_cost]]*12</f>
        <v>16168.369829683699</v>
      </c>
      <c r="Q173" s="13">
        <f>Table1[[#This Row],[Tuition_USD]]+Table1[[#This Row],[Rent_USD]]+Table1[[#This Row],[Insurance_USD]]+Table1[[#This Row],[Visa_Fee_USD]]+Table1[[#This Row],[Annual_Estimated_Living_cost]]</f>
        <v>20816.369829683699</v>
      </c>
    </row>
    <row r="174" spans="1:17" x14ac:dyDescent="0.25">
      <c r="A174" s="2" t="s">
        <v>48</v>
      </c>
      <c r="B174" s="1" t="s">
        <v>439</v>
      </c>
      <c r="C174" s="1" t="s">
        <v>440</v>
      </c>
      <c r="D174" s="1" t="s">
        <v>20</v>
      </c>
      <c r="E174" s="1" t="s">
        <v>75</v>
      </c>
      <c r="F174" s="1">
        <v>3</v>
      </c>
      <c r="G174" s="1" t="str">
        <f>CONCATENATE(Table1[[#This Row],[Duration_Years]]," ","years")</f>
        <v>3 years</v>
      </c>
      <c r="H174" s="11">
        <v>1380</v>
      </c>
      <c r="I174" s="1">
        <v>90.5</v>
      </c>
      <c r="J174" s="11">
        <v>2000</v>
      </c>
      <c r="K174" s="11">
        <v>88</v>
      </c>
      <c r="L174" s="11">
        <v>1200</v>
      </c>
      <c r="M174" s="22">
        <v>0.89</v>
      </c>
      <c r="N174" s="3" t="str">
        <f>IF(Table1[[#This Row],[Exchange_Rate]]&lt;5,"Strong Currency", IF(Table1[[#This Row],[Exchange_Rate]]&lt;=1000, "Medium Currency","Weak Currency"))</f>
        <v>Strong Currency</v>
      </c>
      <c r="O174" s="11">
        <f>(Table1[[#This Row],[Living_Cost_Index]]/123.3)*1850</f>
        <v>1357.86699107867</v>
      </c>
      <c r="P174" s="11">
        <f>Table1[[#This Row],[Monthly_Estimated_Living_cost]]*12</f>
        <v>16294.403892944039</v>
      </c>
      <c r="Q174" s="13">
        <f>Table1[[#This Row],[Tuition_USD]]+Table1[[#This Row],[Rent_USD]]+Table1[[#This Row],[Insurance_USD]]+Table1[[#This Row],[Visa_Fee_USD]]+Table1[[#This Row],[Annual_Estimated_Living_cost]]</f>
        <v>20962.403892944039</v>
      </c>
    </row>
    <row r="175" spans="1:17" x14ac:dyDescent="0.25">
      <c r="A175" s="2" t="s">
        <v>48</v>
      </c>
      <c r="B175" s="1" t="s">
        <v>441</v>
      </c>
      <c r="C175" s="1" t="s">
        <v>442</v>
      </c>
      <c r="D175" s="1" t="s">
        <v>207</v>
      </c>
      <c r="E175" s="1" t="s">
        <v>16</v>
      </c>
      <c r="F175" s="1">
        <v>2</v>
      </c>
      <c r="G175" s="1" t="str">
        <f>CONCATENATE(Table1[[#This Row],[Duration_Years]]," ","years")</f>
        <v>2 years</v>
      </c>
      <c r="H175" s="11">
        <v>1420</v>
      </c>
      <c r="I175" s="1">
        <v>85.4</v>
      </c>
      <c r="J175" s="11">
        <v>1700</v>
      </c>
      <c r="K175" s="11">
        <v>88</v>
      </c>
      <c r="L175" s="11">
        <v>1200</v>
      </c>
      <c r="M175" s="22">
        <v>0.89</v>
      </c>
      <c r="N175" s="3" t="str">
        <f>IF(Table1[[#This Row],[Exchange_Rate]]&lt;5,"Strong Currency", IF(Table1[[#This Row],[Exchange_Rate]]&lt;=1000, "Medium Currency","Weak Currency"))</f>
        <v>Strong Currency</v>
      </c>
      <c r="O175" s="11">
        <f>(Table1[[#This Row],[Living_Cost_Index]]/123.3)*1850</f>
        <v>1281.3463098134632</v>
      </c>
      <c r="P175" s="11">
        <f>Table1[[#This Row],[Monthly_Estimated_Living_cost]]*12</f>
        <v>15376.155717761558</v>
      </c>
      <c r="Q175" s="13">
        <f>Table1[[#This Row],[Tuition_USD]]+Table1[[#This Row],[Rent_USD]]+Table1[[#This Row],[Insurance_USD]]+Table1[[#This Row],[Visa_Fee_USD]]+Table1[[#This Row],[Annual_Estimated_Living_cost]]</f>
        <v>19784.155717761558</v>
      </c>
    </row>
    <row r="176" spans="1:17" x14ac:dyDescent="0.25">
      <c r="A176" s="2" t="s">
        <v>48</v>
      </c>
      <c r="B176" s="1" t="s">
        <v>443</v>
      </c>
      <c r="C176" s="1" t="s">
        <v>444</v>
      </c>
      <c r="D176" s="1" t="s">
        <v>445</v>
      </c>
      <c r="E176" s="1" t="s">
        <v>75</v>
      </c>
      <c r="F176" s="1">
        <v>3</v>
      </c>
      <c r="G176" s="1" t="str">
        <f>CONCATENATE(Table1[[#This Row],[Duration_Years]]," ","years")</f>
        <v>3 years</v>
      </c>
      <c r="H176" s="11">
        <v>1440</v>
      </c>
      <c r="I176" s="1">
        <v>86.2</v>
      </c>
      <c r="J176" s="11">
        <v>1600</v>
      </c>
      <c r="K176" s="11">
        <v>88</v>
      </c>
      <c r="L176" s="11">
        <v>1200</v>
      </c>
      <c r="M176" s="22">
        <v>0.89</v>
      </c>
      <c r="N176" s="3" t="str">
        <f>IF(Table1[[#This Row],[Exchange_Rate]]&lt;5,"Strong Currency", IF(Table1[[#This Row],[Exchange_Rate]]&lt;=1000, "Medium Currency","Weak Currency"))</f>
        <v>Strong Currency</v>
      </c>
      <c r="O176" s="11">
        <f>(Table1[[#This Row],[Living_Cost_Index]]/123.3)*1850</f>
        <v>1293.3495539334956</v>
      </c>
      <c r="P176" s="11">
        <f>Table1[[#This Row],[Monthly_Estimated_Living_cost]]*12</f>
        <v>15520.194647201948</v>
      </c>
      <c r="Q176" s="13">
        <f>Table1[[#This Row],[Tuition_USD]]+Table1[[#This Row],[Rent_USD]]+Table1[[#This Row],[Insurance_USD]]+Table1[[#This Row],[Visa_Fee_USD]]+Table1[[#This Row],[Annual_Estimated_Living_cost]]</f>
        <v>19848.194647201948</v>
      </c>
    </row>
    <row r="177" spans="1:17" x14ac:dyDescent="0.25">
      <c r="A177" s="2" t="s">
        <v>48</v>
      </c>
      <c r="B177" s="1" t="s">
        <v>446</v>
      </c>
      <c r="C177" s="1" t="s">
        <v>447</v>
      </c>
      <c r="D177" s="1" t="s">
        <v>40</v>
      </c>
      <c r="E177" s="1" t="s">
        <v>16</v>
      </c>
      <c r="F177" s="1">
        <v>2</v>
      </c>
      <c r="G177" s="1" t="str">
        <f>CONCATENATE(Table1[[#This Row],[Duration_Years]]," ","years")</f>
        <v>2 years</v>
      </c>
      <c r="H177" s="11">
        <v>1460</v>
      </c>
      <c r="I177" s="1">
        <v>84.5</v>
      </c>
      <c r="J177" s="11">
        <v>1500</v>
      </c>
      <c r="K177" s="11">
        <v>88</v>
      </c>
      <c r="L177" s="11">
        <v>1200</v>
      </c>
      <c r="M177" s="22">
        <v>0.89</v>
      </c>
      <c r="N177" s="3" t="str">
        <f>IF(Table1[[#This Row],[Exchange_Rate]]&lt;5,"Strong Currency", IF(Table1[[#This Row],[Exchange_Rate]]&lt;=1000, "Medium Currency","Weak Currency"))</f>
        <v>Strong Currency</v>
      </c>
      <c r="O177" s="11">
        <f>(Table1[[#This Row],[Living_Cost_Index]]/123.3)*1850</f>
        <v>1267.8426601784267</v>
      </c>
      <c r="P177" s="11">
        <f>Table1[[#This Row],[Monthly_Estimated_Living_cost]]*12</f>
        <v>15214.111922141121</v>
      </c>
      <c r="Q177" s="13">
        <f>Table1[[#This Row],[Tuition_USD]]+Table1[[#This Row],[Rent_USD]]+Table1[[#This Row],[Insurance_USD]]+Table1[[#This Row],[Visa_Fee_USD]]+Table1[[#This Row],[Annual_Estimated_Living_cost]]</f>
        <v>19462.111922141121</v>
      </c>
    </row>
    <row r="178" spans="1:17" x14ac:dyDescent="0.25">
      <c r="A178" s="2" t="s">
        <v>48</v>
      </c>
      <c r="B178" s="1" t="s">
        <v>448</v>
      </c>
      <c r="C178" s="1" t="s">
        <v>449</v>
      </c>
      <c r="D178" s="1" t="s">
        <v>63</v>
      </c>
      <c r="E178" s="1" t="s">
        <v>75</v>
      </c>
      <c r="F178" s="1">
        <v>3</v>
      </c>
      <c r="G178" s="1" t="str">
        <f>CONCATENATE(Table1[[#This Row],[Duration_Years]]," ","years")</f>
        <v>3 years</v>
      </c>
      <c r="H178" s="11">
        <v>1380</v>
      </c>
      <c r="I178" s="1">
        <v>83.8</v>
      </c>
      <c r="J178" s="11">
        <v>1400</v>
      </c>
      <c r="K178" s="11">
        <v>88</v>
      </c>
      <c r="L178" s="11">
        <v>1200</v>
      </c>
      <c r="M178" s="22">
        <v>0.89</v>
      </c>
      <c r="N178" s="3" t="str">
        <f>IF(Table1[[#This Row],[Exchange_Rate]]&lt;5,"Strong Currency", IF(Table1[[#This Row],[Exchange_Rate]]&lt;=1000, "Medium Currency","Weak Currency"))</f>
        <v>Strong Currency</v>
      </c>
      <c r="O178" s="11">
        <f>(Table1[[#This Row],[Living_Cost_Index]]/123.3)*1850</f>
        <v>1257.3398215733982</v>
      </c>
      <c r="P178" s="11">
        <f>Table1[[#This Row],[Monthly_Estimated_Living_cost]]*12</f>
        <v>15088.077858880779</v>
      </c>
      <c r="Q178" s="13">
        <f>Table1[[#This Row],[Tuition_USD]]+Table1[[#This Row],[Rent_USD]]+Table1[[#This Row],[Insurance_USD]]+Table1[[#This Row],[Visa_Fee_USD]]+Table1[[#This Row],[Annual_Estimated_Living_cost]]</f>
        <v>19156.077858880781</v>
      </c>
    </row>
    <row r="179" spans="1:17" x14ac:dyDescent="0.25">
      <c r="A179" s="2" t="s">
        <v>48</v>
      </c>
      <c r="B179" s="1" t="s">
        <v>450</v>
      </c>
      <c r="C179" s="1" t="s">
        <v>451</v>
      </c>
      <c r="D179" s="1" t="s">
        <v>215</v>
      </c>
      <c r="E179" s="1" t="s">
        <v>16</v>
      </c>
      <c r="F179" s="1">
        <v>2</v>
      </c>
      <c r="G179" s="1" t="str">
        <f>CONCATENATE(Table1[[#This Row],[Duration_Years]]," ","years")</f>
        <v>2 years</v>
      </c>
      <c r="H179" s="11">
        <v>1420</v>
      </c>
      <c r="I179" s="1">
        <v>84.2</v>
      </c>
      <c r="J179" s="11">
        <v>1500</v>
      </c>
      <c r="K179" s="11">
        <v>88</v>
      </c>
      <c r="L179" s="11">
        <v>1200</v>
      </c>
      <c r="M179" s="22">
        <v>0.89</v>
      </c>
      <c r="N179" s="3" t="str">
        <f>IF(Table1[[#This Row],[Exchange_Rate]]&lt;5,"Strong Currency", IF(Table1[[#This Row],[Exchange_Rate]]&lt;=1000, "Medium Currency","Weak Currency"))</f>
        <v>Strong Currency</v>
      </c>
      <c r="O179" s="11">
        <f>(Table1[[#This Row],[Living_Cost_Index]]/123.3)*1850</f>
        <v>1263.3414436334144</v>
      </c>
      <c r="P179" s="11">
        <f>Table1[[#This Row],[Monthly_Estimated_Living_cost]]*12</f>
        <v>15160.097323600974</v>
      </c>
      <c r="Q179" s="13">
        <f>Table1[[#This Row],[Tuition_USD]]+Table1[[#This Row],[Rent_USD]]+Table1[[#This Row],[Insurance_USD]]+Table1[[#This Row],[Visa_Fee_USD]]+Table1[[#This Row],[Annual_Estimated_Living_cost]]</f>
        <v>19368.097323600974</v>
      </c>
    </row>
    <row r="180" spans="1:17" x14ac:dyDescent="0.25">
      <c r="A180" s="2" t="s">
        <v>48</v>
      </c>
      <c r="B180" s="1" t="s">
        <v>131</v>
      </c>
      <c r="C180" s="1" t="s">
        <v>452</v>
      </c>
      <c r="D180" s="1" t="s">
        <v>453</v>
      </c>
      <c r="E180" s="1" t="s">
        <v>16</v>
      </c>
      <c r="F180" s="1">
        <v>2</v>
      </c>
      <c r="G180" s="1" t="str">
        <f>CONCATENATE(Table1[[#This Row],[Duration_Years]]," ","years")</f>
        <v>2 years</v>
      </c>
      <c r="H180" s="11">
        <v>1440</v>
      </c>
      <c r="I180" s="1">
        <v>87.5</v>
      </c>
      <c r="J180" s="11">
        <v>1800</v>
      </c>
      <c r="K180" s="11">
        <v>88</v>
      </c>
      <c r="L180" s="11">
        <v>1200</v>
      </c>
      <c r="M180" s="22">
        <v>0.89</v>
      </c>
      <c r="N180" s="3" t="str">
        <f>IF(Table1[[#This Row],[Exchange_Rate]]&lt;5,"Strong Currency", IF(Table1[[#This Row],[Exchange_Rate]]&lt;=1000, "Medium Currency","Weak Currency"))</f>
        <v>Strong Currency</v>
      </c>
      <c r="O180" s="11">
        <f>(Table1[[#This Row],[Living_Cost_Index]]/123.3)*1850</f>
        <v>1312.8548256285483</v>
      </c>
      <c r="P180" s="11">
        <f>Table1[[#This Row],[Monthly_Estimated_Living_cost]]*12</f>
        <v>15754.257907542578</v>
      </c>
      <c r="Q180" s="13">
        <f>Table1[[#This Row],[Tuition_USD]]+Table1[[#This Row],[Rent_USD]]+Table1[[#This Row],[Insurance_USD]]+Table1[[#This Row],[Visa_Fee_USD]]+Table1[[#This Row],[Annual_Estimated_Living_cost]]</f>
        <v>20282.257907542578</v>
      </c>
    </row>
    <row r="181" spans="1:17" x14ac:dyDescent="0.25">
      <c r="A181" s="2" t="s">
        <v>48</v>
      </c>
      <c r="B181" s="1" t="s">
        <v>454</v>
      </c>
      <c r="C181" s="1" t="s">
        <v>455</v>
      </c>
      <c r="D181" s="1" t="s">
        <v>456</v>
      </c>
      <c r="E181" s="1" t="s">
        <v>75</v>
      </c>
      <c r="F181" s="1">
        <v>3</v>
      </c>
      <c r="G181" s="1" t="str">
        <f>CONCATENATE(Table1[[#This Row],[Duration_Years]]," ","years")</f>
        <v>3 years</v>
      </c>
      <c r="H181" s="11">
        <v>1380</v>
      </c>
      <c r="I181" s="1">
        <v>85.8</v>
      </c>
      <c r="J181" s="11">
        <v>1600</v>
      </c>
      <c r="K181" s="11">
        <v>88</v>
      </c>
      <c r="L181" s="11">
        <v>1200</v>
      </c>
      <c r="M181" s="22">
        <v>0.89</v>
      </c>
      <c r="N181" s="3" t="str">
        <f>IF(Table1[[#This Row],[Exchange_Rate]]&lt;5,"Strong Currency", IF(Table1[[#This Row],[Exchange_Rate]]&lt;=1000, "Medium Currency","Weak Currency"))</f>
        <v>Strong Currency</v>
      </c>
      <c r="O181" s="11">
        <f>(Table1[[#This Row],[Living_Cost_Index]]/123.3)*1850</f>
        <v>1287.3479318734794</v>
      </c>
      <c r="P181" s="11">
        <f>Table1[[#This Row],[Monthly_Estimated_Living_cost]]*12</f>
        <v>15448.175182481753</v>
      </c>
      <c r="Q181" s="13">
        <f>Table1[[#This Row],[Tuition_USD]]+Table1[[#This Row],[Rent_USD]]+Table1[[#This Row],[Insurance_USD]]+Table1[[#This Row],[Visa_Fee_USD]]+Table1[[#This Row],[Annual_Estimated_Living_cost]]</f>
        <v>19716.175182481755</v>
      </c>
    </row>
    <row r="182" spans="1:17" x14ac:dyDescent="0.25">
      <c r="A182" s="2" t="s">
        <v>48</v>
      </c>
      <c r="B182" s="1" t="s">
        <v>457</v>
      </c>
      <c r="C182" s="1" t="s">
        <v>458</v>
      </c>
      <c r="D182" s="1" t="s">
        <v>251</v>
      </c>
      <c r="E182" s="1" t="s">
        <v>16</v>
      </c>
      <c r="F182" s="1">
        <v>2</v>
      </c>
      <c r="G182" s="1" t="str">
        <f>CONCATENATE(Table1[[#This Row],[Duration_Years]]," ","years")</f>
        <v>2 years</v>
      </c>
      <c r="H182" s="11">
        <v>1460</v>
      </c>
      <c r="I182" s="1">
        <v>86.4</v>
      </c>
      <c r="J182" s="11">
        <v>1700</v>
      </c>
      <c r="K182" s="11">
        <v>88</v>
      </c>
      <c r="L182" s="11">
        <v>1200</v>
      </c>
      <c r="M182" s="22">
        <v>0.89</v>
      </c>
      <c r="N182" s="3" t="str">
        <f>IF(Table1[[#This Row],[Exchange_Rate]]&lt;5,"Strong Currency", IF(Table1[[#This Row],[Exchange_Rate]]&lt;=1000, "Medium Currency","Weak Currency"))</f>
        <v>Strong Currency</v>
      </c>
      <c r="O182" s="11">
        <f>(Table1[[#This Row],[Living_Cost_Index]]/123.3)*1850</f>
        <v>1296.3503649635038</v>
      </c>
      <c r="P182" s="11">
        <f>Table1[[#This Row],[Monthly_Estimated_Living_cost]]*12</f>
        <v>15556.204379562045</v>
      </c>
      <c r="Q182" s="13">
        <f>Table1[[#This Row],[Tuition_USD]]+Table1[[#This Row],[Rent_USD]]+Table1[[#This Row],[Insurance_USD]]+Table1[[#This Row],[Visa_Fee_USD]]+Table1[[#This Row],[Annual_Estimated_Living_cost]]</f>
        <v>20004.204379562045</v>
      </c>
    </row>
    <row r="183" spans="1:17" x14ac:dyDescent="0.25">
      <c r="A183" s="2" t="s">
        <v>56</v>
      </c>
      <c r="B183" s="1" t="s">
        <v>57</v>
      </c>
      <c r="C183" s="1" t="s">
        <v>58</v>
      </c>
      <c r="D183" s="1" t="s">
        <v>15</v>
      </c>
      <c r="E183" s="1" t="s">
        <v>16</v>
      </c>
      <c r="F183" s="1">
        <v>2</v>
      </c>
      <c r="G183" s="1" t="str">
        <f>CONCATENATE(Table1[[#This Row],[Duration_Years]]," ","years")</f>
        <v>2 years</v>
      </c>
      <c r="H183" s="11">
        <v>8800</v>
      </c>
      <c r="I183" s="1">
        <v>83.2</v>
      </c>
      <c r="J183" s="11">
        <v>1500</v>
      </c>
      <c r="K183" s="11">
        <v>110</v>
      </c>
      <c r="L183" s="11">
        <v>600</v>
      </c>
      <c r="M183" s="22">
        <v>0.15</v>
      </c>
      <c r="N183" s="3" t="str">
        <f>IF(Table1[[#This Row],[Exchange_Rate]]&lt;5,"Strong Currency", IF(Table1[[#This Row],[Exchange_Rate]]&lt;=1000, "Medium Currency","Weak Currency"))</f>
        <v>Strong Currency</v>
      </c>
      <c r="O183" s="11">
        <f>(Table1[[#This Row],[Living_Cost_Index]]/123.3)*1850</f>
        <v>1248.3373884833738</v>
      </c>
      <c r="P183" s="11">
        <f>Table1[[#This Row],[Monthly_Estimated_Living_cost]]*12</f>
        <v>14980.048661800487</v>
      </c>
      <c r="Q183" s="13">
        <f>Table1[[#This Row],[Tuition_USD]]+Table1[[#This Row],[Rent_USD]]+Table1[[#This Row],[Insurance_USD]]+Table1[[#This Row],[Visa_Fee_USD]]+Table1[[#This Row],[Annual_Estimated_Living_cost]]</f>
        <v>25990.048661800487</v>
      </c>
    </row>
    <row r="184" spans="1:17" x14ac:dyDescent="0.25">
      <c r="A184" s="2" t="s">
        <v>56</v>
      </c>
      <c r="B184" s="1" t="s">
        <v>459</v>
      </c>
      <c r="C184" s="1" t="s">
        <v>460</v>
      </c>
      <c r="D184" s="1" t="s">
        <v>20</v>
      </c>
      <c r="E184" s="1" t="s">
        <v>16</v>
      </c>
      <c r="F184" s="1">
        <v>2</v>
      </c>
      <c r="G184" s="1" t="str">
        <f>CONCATENATE(Table1[[#This Row],[Duration_Years]]," ","years")</f>
        <v>2 years</v>
      </c>
      <c r="H184" s="11">
        <v>8600</v>
      </c>
      <c r="I184" s="1">
        <v>77.400000000000006</v>
      </c>
      <c r="J184" s="11">
        <v>1200</v>
      </c>
      <c r="K184" s="11">
        <v>110</v>
      </c>
      <c r="L184" s="11">
        <v>600</v>
      </c>
      <c r="M184" s="22">
        <v>0.15</v>
      </c>
      <c r="N184" s="3" t="str">
        <f>IF(Table1[[#This Row],[Exchange_Rate]]&lt;5,"Strong Currency", IF(Table1[[#This Row],[Exchange_Rate]]&lt;=1000, "Medium Currency","Weak Currency"))</f>
        <v>Strong Currency</v>
      </c>
      <c r="O184" s="11">
        <f>(Table1[[#This Row],[Living_Cost_Index]]/123.3)*1850</f>
        <v>1161.3138686131388</v>
      </c>
      <c r="P184" s="11">
        <f>Table1[[#This Row],[Monthly_Estimated_Living_cost]]*12</f>
        <v>13935.766423357665</v>
      </c>
      <c r="Q184" s="13">
        <f>Table1[[#This Row],[Tuition_USD]]+Table1[[#This Row],[Rent_USD]]+Table1[[#This Row],[Insurance_USD]]+Table1[[#This Row],[Visa_Fee_USD]]+Table1[[#This Row],[Annual_Estimated_Living_cost]]</f>
        <v>24445.766423357665</v>
      </c>
    </row>
    <row r="185" spans="1:17" x14ac:dyDescent="0.25">
      <c r="A185" s="2" t="s">
        <v>56</v>
      </c>
      <c r="B185" s="1" t="s">
        <v>158</v>
      </c>
      <c r="C185" s="1" t="s">
        <v>159</v>
      </c>
      <c r="D185" s="1" t="s">
        <v>207</v>
      </c>
      <c r="E185" s="1" t="s">
        <v>16</v>
      </c>
      <c r="F185" s="1">
        <v>2</v>
      </c>
      <c r="G185" s="1" t="str">
        <f>CONCATENATE(Table1[[#This Row],[Duration_Years]]," ","years")</f>
        <v>2 years</v>
      </c>
      <c r="H185" s="11">
        <v>8400</v>
      </c>
      <c r="I185" s="1">
        <v>75.099999999999994</v>
      </c>
      <c r="J185" s="11">
        <v>1000</v>
      </c>
      <c r="K185" s="11">
        <v>110</v>
      </c>
      <c r="L185" s="11">
        <v>600</v>
      </c>
      <c r="M185" s="22">
        <v>0.15</v>
      </c>
      <c r="N185" s="3" t="str">
        <f>IF(Table1[[#This Row],[Exchange_Rate]]&lt;5,"Strong Currency", IF(Table1[[#This Row],[Exchange_Rate]]&lt;=1000, "Medium Currency","Weak Currency"))</f>
        <v>Strong Currency</v>
      </c>
      <c r="O185" s="11">
        <f>(Table1[[#This Row],[Living_Cost_Index]]/123.3)*1850</f>
        <v>1126.8045417680453</v>
      </c>
      <c r="P185" s="11">
        <f>Table1[[#This Row],[Monthly_Estimated_Living_cost]]*12</f>
        <v>13521.654501216544</v>
      </c>
      <c r="Q185" s="13">
        <f>Table1[[#This Row],[Tuition_USD]]+Table1[[#This Row],[Rent_USD]]+Table1[[#This Row],[Insurance_USD]]+Table1[[#This Row],[Visa_Fee_USD]]+Table1[[#This Row],[Annual_Estimated_Living_cost]]</f>
        <v>23631.654501216544</v>
      </c>
    </row>
    <row r="186" spans="1:17" x14ac:dyDescent="0.25">
      <c r="A186" s="2" t="s">
        <v>60</v>
      </c>
      <c r="B186" s="1" t="s">
        <v>61</v>
      </c>
      <c r="C186" s="1" t="s">
        <v>62</v>
      </c>
      <c r="D186" s="1" t="s">
        <v>15</v>
      </c>
      <c r="E186" s="1" t="s">
        <v>16</v>
      </c>
      <c r="F186" s="1">
        <v>3</v>
      </c>
      <c r="G186" s="1" t="str">
        <f>CONCATENATE(Table1[[#This Row],[Duration_Years]]," ","years")</f>
        <v>3 years</v>
      </c>
      <c r="H186" s="11">
        <v>8900</v>
      </c>
      <c r="I186" s="1">
        <v>51.2</v>
      </c>
      <c r="J186" s="11">
        <v>800</v>
      </c>
      <c r="K186" s="11">
        <v>140</v>
      </c>
      <c r="L186" s="11">
        <v>400</v>
      </c>
      <c r="M186" s="22">
        <v>7.15</v>
      </c>
      <c r="N186" s="3" t="str">
        <f>IF(Table1[[#This Row],[Exchange_Rate]]&lt;5,"Strong Currency", IF(Table1[[#This Row],[Exchange_Rate]]&lt;=1000, "Medium Currency","Weak Currency"))</f>
        <v>Medium Currency</v>
      </c>
      <c r="O186" s="11">
        <f>(Table1[[#This Row],[Living_Cost_Index]]/123.3)*1850</f>
        <v>768.20762368207625</v>
      </c>
      <c r="P186" s="11">
        <f>Table1[[#This Row],[Monthly_Estimated_Living_cost]]*12</f>
        <v>9218.491484184915</v>
      </c>
      <c r="Q186" s="13">
        <f>Table1[[#This Row],[Tuition_USD]]+Table1[[#This Row],[Rent_USD]]+Table1[[#This Row],[Insurance_USD]]+Table1[[#This Row],[Visa_Fee_USD]]+Table1[[#This Row],[Annual_Estimated_Living_cost]]</f>
        <v>19458.491484184917</v>
      </c>
    </row>
    <row r="187" spans="1:17" x14ac:dyDescent="0.25">
      <c r="A187" s="2" t="s">
        <v>60</v>
      </c>
      <c r="B187" s="1" t="s">
        <v>61</v>
      </c>
      <c r="C187" s="1" t="s">
        <v>461</v>
      </c>
      <c r="D187" s="1" t="s">
        <v>20</v>
      </c>
      <c r="E187" s="1" t="s">
        <v>16</v>
      </c>
      <c r="F187" s="1">
        <v>3</v>
      </c>
      <c r="G187" s="1" t="str">
        <f>CONCATENATE(Table1[[#This Row],[Duration_Years]]," ","years")</f>
        <v>3 years</v>
      </c>
      <c r="H187" s="11">
        <v>8500</v>
      </c>
      <c r="I187" s="1">
        <v>51.2</v>
      </c>
      <c r="J187" s="11">
        <v>750</v>
      </c>
      <c r="K187" s="11">
        <v>140</v>
      </c>
      <c r="L187" s="11">
        <v>400</v>
      </c>
      <c r="M187" s="22">
        <v>7.15</v>
      </c>
      <c r="N187" s="3" t="str">
        <f>IF(Table1[[#This Row],[Exchange_Rate]]&lt;5,"Strong Currency", IF(Table1[[#This Row],[Exchange_Rate]]&lt;=1000, "Medium Currency","Weak Currency"))</f>
        <v>Medium Currency</v>
      </c>
      <c r="O187" s="11">
        <f>(Table1[[#This Row],[Living_Cost_Index]]/123.3)*1850</f>
        <v>768.20762368207625</v>
      </c>
      <c r="P187" s="11">
        <f>Table1[[#This Row],[Monthly_Estimated_Living_cost]]*12</f>
        <v>9218.491484184915</v>
      </c>
      <c r="Q187" s="13">
        <f>Table1[[#This Row],[Tuition_USD]]+Table1[[#This Row],[Rent_USD]]+Table1[[#This Row],[Insurance_USD]]+Table1[[#This Row],[Visa_Fee_USD]]+Table1[[#This Row],[Annual_Estimated_Living_cost]]</f>
        <v>19008.491484184917</v>
      </c>
    </row>
    <row r="188" spans="1:17" x14ac:dyDescent="0.25">
      <c r="A188" s="2" t="s">
        <v>60</v>
      </c>
      <c r="B188" s="1" t="s">
        <v>462</v>
      </c>
      <c r="C188" s="1" t="s">
        <v>463</v>
      </c>
      <c r="D188" s="1" t="s">
        <v>207</v>
      </c>
      <c r="E188" s="1" t="s">
        <v>16</v>
      </c>
      <c r="F188" s="1">
        <v>2.5</v>
      </c>
      <c r="G188" s="1" t="str">
        <f>CONCATENATE(Table1[[#This Row],[Duration_Years]]," ","years")</f>
        <v>2.5 years</v>
      </c>
      <c r="H188" s="11">
        <v>7800</v>
      </c>
      <c r="I188" s="1">
        <v>48.9</v>
      </c>
      <c r="J188" s="11">
        <v>700</v>
      </c>
      <c r="K188" s="11">
        <v>140</v>
      </c>
      <c r="L188" s="11">
        <v>400</v>
      </c>
      <c r="M188" s="22">
        <v>7.15</v>
      </c>
      <c r="N188" s="3" t="str">
        <f>IF(Table1[[#This Row],[Exchange_Rate]]&lt;5,"Strong Currency", IF(Table1[[#This Row],[Exchange_Rate]]&lt;=1000, "Medium Currency","Weak Currency"))</f>
        <v>Medium Currency</v>
      </c>
      <c r="O188" s="11">
        <f>(Table1[[#This Row],[Living_Cost_Index]]/123.3)*1850</f>
        <v>733.69829683698299</v>
      </c>
      <c r="P188" s="11">
        <f>Table1[[#This Row],[Monthly_Estimated_Living_cost]]*12</f>
        <v>8804.3795620437959</v>
      </c>
      <c r="Q188" s="13">
        <f>Table1[[#This Row],[Tuition_USD]]+Table1[[#This Row],[Rent_USD]]+Table1[[#This Row],[Insurance_USD]]+Table1[[#This Row],[Visa_Fee_USD]]+Table1[[#This Row],[Annual_Estimated_Living_cost]]</f>
        <v>17844.379562043796</v>
      </c>
    </row>
    <row r="189" spans="1:17" x14ac:dyDescent="0.25">
      <c r="A189" s="2" t="s">
        <v>60</v>
      </c>
      <c r="B189" s="1" t="s">
        <v>462</v>
      </c>
      <c r="C189" s="1" t="s">
        <v>464</v>
      </c>
      <c r="D189" s="1" t="s">
        <v>40</v>
      </c>
      <c r="E189" s="1" t="s">
        <v>16</v>
      </c>
      <c r="F189" s="1">
        <v>2.5</v>
      </c>
      <c r="G189" s="1" t="str">
        <f>CONCATENATE(Table1[[#This Row],[Duration_Years]]," ","years")</f>
        <v>2.5 years</v>
      </c>
      <c r="H189" s="11">
        <v>8200</v>
      </c>
      <c r="I189" s="1">
        <v>48.9</v>
      </c>
      <c r="J189" s="11">
        <v>720</v>
      </c>
      <c r="K189" s="11">
        <v>140</v>
      </c>
      <c r="L189" s="11">
        <v>400</v>
      </c>
      <c r="M189" s="22">
        <v>7.15</v>
      </c>
      <c r="N189" s="3" t="str">
        <f>IF(Table1[[#This Row],[Exchange_Rate]]&lt;5,"Strong Currency", IF(Table1[[#This Row],[Exchange_Rate]]&lt;=1000, "Medium Currency","Weak Currency"))</f>
        <v>Medium Currency</v>
      </c>
      <c r="O189" s="11">
        <f>(Table1[[#This Row],[Living_Cost_Index]]/123.3)*1850</f>
        <v>733.69829683698299</v>
      </c>
      <c r="P189" s="11">
        <f>Table1[[#This Row],[Monthly_Estimated_Living_cost]]*12</f>
        <v>8804.3795620437959</v>
      </c>
      <c r="Q189" s="13">
        <f>Table1[[#This Row],[Tuition_USD]]+Table1[[#This Row],[Rent_USD]]+Table1[[#This Row],[Insurance_USD]]+Table1[[#This Row],[Visa_Fee_USD]]+Table1[[#This Row],[Annual_Estimated_Living_cost]]</f>
        <v>18264.379562043796</v>
      </c>
    </row>
    <row r="190" spans="1:17" x14ac:dyDescent="0.25">
      <c r="A190" s="2" t="s">
        <v>60</v>
      </c>
      <c r="B190" s="1" t="s">
        <v>465</v>
      </c>
      <c r="C190" s="1" t="s">
        <v>466</v>
      </c>
      <c r="D190" s="1" t="s">
        <v>63</v>
      </c>
      <c r="E190" s="1" t="s">
        <v>16</v>
      </c>
      <c r="F190" s="1">
        <v>3</v>
      </c>
      <c r="G190" s="1" t="str">
        <f>CONCATENATE(Table1[[#This Row],[Duration_Years]]," ","years")</f>
        <v>3 years</v>
      </c>
      <c r="H190" s="11">
        <v>7500</v>
      </c>
      <c r="I190" s="1">
        <v>45.3</v>
      </c>
      <c r="J190" s="11">
        <v>550</v>
      </c>
      <c r="K190" s="11">
        <v>140</v>
      </c>
      <c r="L190" s="11">
        <v>400</v>
      </c>
      <c r="M190" s="22">
        <v>7.15</v>
      </c>
      <c r="N190" s="3" t="str">
        <f>IF(Table1[[#This Row],[Exchange_Rate]]&lt;5,"Strong Currency", IF(Table1[[#This Row],[Exchange_Rate]]&lt;=1000, "Medium Currency","Weak Currency"))</f>
        <v>Medium Currency</v>
      </c>
      <c r="O190" s="11">
        <f>(Table1[[#This Row],[Living_Cost_Index]]/123.3)*1850</f>
        <v>679.68369829683695</v>
      </c>
      <c r="P190" s="11">
        <f>Table1[[#This Row],[Monthly_Estimated_Living_cost]]*12</f>
        <v>8156.204379562043</v>
      </c>
      <c r="Q190" s="13">
        <f>Table1[[#This Row],[Tuition_USD]]+Table1[[#This Row],[Rent_USD]]+Table1[[#This Row],[Insurance_USD]]+Table1[[#This Row],[Visa_Fee_USD]]+Table1[[#This Row],[Annual_Estimated_Living_cost]]</f>
        <v>16746.204379562041</v>
      </c>
    </row>
    <row r="191" spans="1:17" x14ac:dyDescent="0.25">
      <c r="A191" s="2" t="s">
        <v>60</v>
      </c>
      <c r="B191" s="1" t="s">
        <v>467</v>
      </c>
      <c r="C191" s="1" t="s">
        <v>468</v>
      </c>
      <c r="D191" s="1" t="s">
        <v>222</v>
      </c>
      <c r="E191" s="1" t="s">
        <v>16</v>
      </c>
      <c r="F191" s="1">
        <v>3</v>
      </c>
      <c r="G191" s="1" t="str">
        <f>CONCATENATE(Table1[[#This Row],[Duration_Years]]," ","years")</f>
        <v>3 years</v>
      </c>
      <c r="H191" s="11">
        <v>7200</v>
      </c>
      <c r="I191" s="1">
        <v>44.1</v>
      </c>
      <c r="J191" s="11">
        <v>500</v>
      </c>
      <c r="K191" s="11">
        <v>140</v>
      </c>
      <c r="L191" s="11">
        <v>400</v>
      </c>
      <c r="M191" s="22">
        <v>7.15</v>
      </c>
      <c r="N191" s="3" t="str">
        <f>IF(Table1[[#This Row],[Exchange_Rate]]&lt;5,"Strong Currency", IF(Table1[[#This Row],[Exchange_Rate]]&lt;=1000, "Medium Currency","Weak Currency"))</f>
        <v>Medium Currency</v>
      </c>
      <c r="O191" s="11">
        <f>(Table1[[#This Row],[Living_Cost_Index]]/123.3)*1850</f>
        <v>661.67883211678839</v>
      </c>
      <c r="P191" s="11">
        <f>Table1[[#This Row],[Monthly_Estimated_Living_cost]]*12</f>
        <v>7940.1459854014611</v>
      </c>
      <c r="Q191" s="13">
        <f>Table1[[#This Row],[Tuition_USD]]+Table1[[#This Row],[Rent_USD]]+Table1[[#This Row],[Insurance_USD]]+Table1[[#This Row],[Visa_Fee_USD]]+Table1[[#This Row],[Annual_Estimated_Living_cost]]</f>
        <v>16180.145985401461</v>
      </c>
    </row>
    <row r="192" spans="1:17" x14ac:dyDescent="0.25">
      <c r="A192" s="2" t="s">
        <v>60</v>
      </c>
      <c r="B192" s="1" t="s">
        <v>469</v>
      </c>
      <c r="C192" s="1" t="s">
        <v>470</v>
      </c>
      <c r="D192" s="1" t="s">
        <v>15</v>
      </c>
      <c r="E192" s="1" t="s">
        <v>16</v>
      </c>
      <c r="F192" s="1">
        <v>3</v>
      </c>
      <c r="G192" s="1" t="str">
        <f>CONCATENATE(Table1[[#This Row],[Duration_Years]]," ","years")</f>
        <v>3 years</v>
      </c>
      <c r="H192" s="11">
        <v>6900</v>
      </c>
      <c r="I192" s="1">
        <v>43.8</v>
      </c>
      <c r="J192" s="11">
        <v>480</v>
      </c>
      <c r="K192" s="11">
        <v>140</v>
      </c>
      <c r="L192" s="11">
        <v>400</v>
      </c>
      <c r="M192" s="22">
        <v>7.15</v>
      </c>
      <c r="N192" s="3" t="str">
        <f>IF(Table1[[#This Row],[Exchange_Rate]]&lt;5,"Strong Currency", IF(Table1[[#This Row],[Exchange_Rate]]&lt;=1000, "Medium Currency","Weak Currency"))</f>
        <v>Medium Currency</v>
      </c>
      <c r="O192" s="11">
        <f>(Table1[[#This Row],[Living_Cost_Index]]/123.3)*1850</f>
        <v>657.17761557177619</v>
      </c>
      <c r="P192" s="11">
        <f>Table1[[#This Row],[Monthly_Estimated_Living_cost]]*12</f>
        <v>7886.1313868613142</v>
      </c>
      <c r="Q192" s="13">
        <f>Table1[[#This Row],[Tuition_USD]]+Table1[[#This Row],[Rent_USD]]+Table1[[#This Row],[Insurance_USD]]+Table1[[#This Row],[Visa_Fee_USD]]+Table1[[#This Row],[Annual_Estimated_Living_cost]]</f>
        <v>15806.131386861314</v>
      </c>
    </row>
    <row r="193" spans="1:17" x14ac:dyDescent="0.25">
      <c r="A193" s="2" t="s">
        <v>60</v>
      </c>
      <c r="B193" s="1" t="s">
        <v>471</v>
      </c>
      <c r="C193" s="1" t="s">
        <v>472</v>
      </c>
      <c r="D193" s="1" t="s">
        <v>207</v>
      </c>
      <c r="E193" s="1" t="s">
        <v>16</v>
      </c>
      <c r="F193" s="1">
        <v>3</v>
      </c>
      <c r="G193" s="1" t="str">
        <f>CONCATENATE(Table1[[#This Row],[Duration_Years]]," ","years")</f>
        <v>3 years</v>
      </c>
      <c r="H193" s="11">
        <v>6500</v>
      </c>
      <c r="I193" s="1">
        <v>41.2</v>
      </c>
      <c r="J193" s="11">
        <v>450</v>
      </c>
      <c r="K193" s="11">
        <v>140</v>
      </c>
      <c r="L193" s="11">
        <v>400</v>
      </c>
      <c r="M193" s="22">
        <v>7.15</v>
      </c>
      <c r="N193" s="3" t="str">
        <f>IF(Table1[[#This Row],[Exchange_Rate]]&lt;5,"Strong Currency", IF(Table1[[#This Row],[Exchange_Rate]]&lt;=1000, "Medium Currency","Weak Currency"))</f>
        <v>Medium Currency</v>
      </c>
      <c r="O193" s="11">
        <f>(Table1[[#This Row],[Living_Cost_Index]]/123.3)*1850</f>
        <v>618.16707218167073</v>
      </c>
      <c r="P193" s="11">
        <f>Table1[[#This Row],[Monthly_Estimated_Living_cost]]*12</f>
        <v>7418.0048661800483</v>
      </c>
      <c r="Q193" s="13">
        <f>Table1[[#This Row],[Tuition_USD]]+Table1[[#This Row],[Rent_USD]]+Table1[[#This Row],[Insurance_USD]]+Table1[[#This Row],[Visa_Fee_USD]]+Table1[[#This Row],[Annual_Estimated_Living_cost]]</f>
        <v>14908.004866180048</v>
      </c>
    </row>
    <row r="194" spans="1:17" x14ac:dyDescent="0.25">
      <c r="A194" s="2" t="s">
        <v>60</v>
      </c>
      <c r="B194" s="1" t="s">
        <v>473</v>
      </c>
      <c r="C194" s="1" t="s">
        <v>474</v>
      </c>
      <c r="D194" s="1" t="s">
        <v>20</v>
      </c>
      <c r="E194" s="1" t="s">
        <v>16</v>
      </c>
      <c r="F194" s="1">
        <v>3</v>
      </c>
      <c r="G194" s="1" t="str">
        <f>CONCATENATE(Table1[[#This Row],[Duration_Years]]," ","years")</f>
        <v>3 years</v>
      </c>
      <c r="H194" s="11">
        <v>6300</v>
      </c>
      <c r="I194" s="1">
        <v>40.5</v>
      </c>
      <c r="J194" s="11">
        <v>420</v>
      </c>
      <c r="K194" s="11">
        <v>140</v>
      </c>
      <c r="L194" s="11">
        <v>400</v>
      </c>
      <c r="M194" s="22">
        <v>7.15</v>
      </c>
      <c r="N194" s="3" t="str">
        <f>IF(Table1[[#This Row],[Exchange_Rate]]&lt;5,"Strong Currency", IF(Table1[[#This Row],[Exchange_Rate]]&lt;=1000, "Medium Currency","Weak Currency"))</f>
        <v>Medium Currency</v>
      </c>
      <c r="O194" s="11">
        <f>(Table1[[#This Row],[Living_Cost_Index]]/123.3)*1850</f>
        <v>607.66423357664235</v>
      </c>
      <c r="P194" s="11">
        <f>Table1[[#This Row],[Monthly_Estimated_Living_cost]]*12</f>
        <v>7291.9708029197081</v>
      </c>
      <c r="Q194" s="13">
        <f>Table1[[#This Row],[Tuition_USD]]+Table1[[#This Row],[Rent_USD]]+Table1[[#This Row],[Insurance_USD]]+Table1[[#This Row],[Visa_Fee_USD]]+Table1[[#This Row],[Annual_Estimated_Living_cost]]</f>
        <v>14551.970802919708</v>
      </c>
    </row>
    <row r="195" spans="1:17" x14ac:dyDescent="0.25">
      <c r="A195" s="2" t="s">
        <v>60</v>
      </c>
      <c r="B195" s="1" t="s">
        <v>475</v>
      </c>
      <c r="C195" s="1" t="s">
        <v>476</v>
      </c>
      <c r="D195" s="1" t="s">
        <v>63</v>
      </c>
      <c r="E195" s="1" t="s">
        <v>16</v>
      </c>
      <c r="F195" s="1">
        <v>3</v>
      </c>
      <c r="G195" s="1" t="str">
        <f>CONCATENATE(Table1[[#This Row],[Duration_Years]]," ","years")</f>
        <v>3 years</v>
      </c>
      <c r="H195" s="11">
        <v>6100</v>
      </c>
      <c r="I195" s="1">
        <v>39.799999999999997</v>
      </c>
      <c r="J195" s="11">
        <v>400</v>
      </c>
      <c r="K195" s="11">
        <v>140</v>
      </c>
      <c r="L195" s="11">
        <v>400</v>
      </c>
      <c r="M195" s="22">
        <v>7.15</v>
      </c>
      <c r="N195" s="3" t="str">
        <f>IF(Table1[[#This Row],[Exchange_Rate]]&lt;5,"Strong Currency", IF(Table1[[#This Row],[Exchange_Rate]]&lt;=1000, "Medium Currency","Weak Currency"))</f>
        <v>Medium Currency</v>
      </c>
      <c r="O195" s="11">
        <f>(Table1[[#This Row],[Living_Cost_Index]]/123.3)*1850</f>
        <v>597.16139497161384</v>
      </c>
      <c r="P195" s="11">
        <f>Table1[[#This Row],[Monthly_Estimated_Living_cost]]*12</f>
        <v>7165.9367396593661</v>
      </c>
      <c r="Q195" s="13">
        <f>Table1[[#This Row],[Tuition_USD]]+Table1[[#This Row],[Rent_USD]]+Table1[[#This Row],[Insurance_USD]]+Table1[[#This Row],[Visa_Fee_USD]]+Table1[[#This Row],[Annual_Estimated_Living_cost]]</f>
        <v>14205.936739659366</v>
      </c>
    </row>
    <row r="196" spans="1:17" x14ac:dyDescent="0.25">
      <c r="A196" s="2" t="s">
        <v>64</v>
      </c>
      <c r="B196" s="1" t="s">
        <v>65</v>
      </c>
      <c r="C196" s="1" t="s">
        <v>66</v>
      </c>
      <c r="D196" s="1" t="s">
        <v>15</v>
      </c>
      <c r="E196" s="1" t="s">
        <v>16</v>
      </c>
      <c r="F196" s="1">
        <v>2</v>
      </c>
      <c r="G196" s="1" t="str">
        <f>CONCATENATE(Table1[[#This Row],[Duration_Years]]," ","years")</f>
        <v>2 years</v>
      </c>
      <c r="H196" s="11">
        <v>7200</v>
      </c>
      <c r="I196" s="1">
        <v>85.1</v>
      </c>
      <c r="J196" s="11">
        <v>950</v>
      </c>
      <c r="K196" s="11">
        <v>90</v>
      </c>
      <c r="L196" s="11">
        <v>800</v>
      </c>
      <c r="M196" s="22">
        <v>1300</v>
      </c>
      <c r="N196" s="3" t="str">
        <f>IF(Table1[[#This Row],[Exchange_Rate]]&lt;5,"Strong Currency", IF(Table1[[#This Row],[Exchange_Rate]]&lt;=1000, "Medium Currency","Weak Currency"))</f>
        <v>Weak Currency</v>
      </c>
      <c r="O196" s="11">
        <f>(Table1[[#This Row],[Living_Cost_Index]]/123.3)*1850</f>
        <v>1276.8450932684509</v>
      </c>
      <c r="P196" s="11">
        <f>Table1[[#This Row],[Monthly_Estimated_Living_cost]]*12</f>
        <v>15322.141119221411</v>
      </c>
      <c r="Q196" s="13">
        <f>Table1[[#This Row],[Tuition_USD]]+Table1[[#This Row],[Rent_USD]]+Table1[[#This Row],[Insurance_USD]]+Table1[[#This Row],[Visa_Fee_USD]]+Table1[[#This Row],[Annual_Estimated_Living_cost]]</f>
        <v>24362.141119221411</v>
      </c>
    </row>
    <row r="197" spans="1:17" x14ac:dyDescent="0.25">
      <c r="A197" s="2" t="s">
        <v>64</v>
      </c>
      <c r="B197" s="1" t="s">
        <v>65</v>
      </c>
      <c r="C197" s="1" t="s">
        <v>477</v>
      </c>
      <c r="D197" s="1" t="s">
        <v>40</v>
      </c>
      <c r="E197" s="1" t="s">
        <v>16</v>
      </c>
      <c r="F197" s="1">
        <v>2</v>
      </c>
      <c r="G197" s="1" t="str">
        <f>CONCATENATE(Table1[[#This Row],[Duration_Years]]," ","years")</f>
        <v>2 years</v>
      </c>
      <c r="H197" s="11">
        <v>7000</v>
      </c>
      <c r="I197" s="1">
        <v>85.1</v>
      </c>
      <c r="J197" s="11">
        <v>920</v>
      </c>
      <c r="K197" s="11">
        <v>90</v>
      </c>
      <c r="L197" s="11">
        <v>800</v>
      </c>
      <c r="M197" s="22">
        <v>1300</v>
      </c>
      <c r="N197" s="3" t="str">
        <f>IF(Table1[[#This Row],[Exchange_Rate]]&lt;5,"Strong Currency", IF(Table1[[#This Row],[Exchange_Rate]]&lt;=1000, "Medium Currency","Weak Currency"))</f>
        <v>Weak Currency</v>
      </c>
      <c r="O197" s="11">
        <f>(Table1[[#This Row],[Living_Cost_Index]]/123.3)*1850</f>
        <v>1276.8450932684509</v>
      </c>
      <c r="P197" s="11">
        <f>Table1[[#This Row],[Monthly_Estimated_Living_cost]]*12</f>
        <v>15322.141119221411</v>
      </c>
      <c r="Q197" s="13">
        <f>Table1[[#This Row],[Tuition_USD]]+Table1[[#This Row],[Rent_USD]]+Table1[[#This Row],[Insurance_USD]]+Table1[[#This Row],[Visa_Fee_USD]]+Table1[[#This Row],[Annual_Estimated_Living_cost]]</f>
        <v>24132.141119221411</v>
      </c>
    </row>
    <row r="198" spans="1:17" x14ac:dyDescent="0.25">
      <c r="A198" s="2" t="s">
        <v>64</v>
      </c>
      <c r="B198" s="1" t="s">
        <v>65</v>
      </c>
      <c r="C198" s="1" t="s">
        <v>478</v>
      </c>
      <c r="D198" s="1" t="s">
        <v>20</v>
      </c>
      <c r="E198" s="1" t="s">
        <v>16</v>
      </c>
      <c r="F198" s="1">
        <v>2</v>
      </c>
      <c r="G198" s="1" t="str">
        <f>CONCATENATE(Table1[[#This Row],[Duration_Years]]," ","years")</f>
        <v>2 years</v>
      </c>
      <c r="H198" s="11">
        <v>6900</v>
      </c>
      <c r="I198" s="1">
        <v>85.1</v>
      </c>
      <c r="J198" s="11">
        <v>900</v>
      </c>
      <c r="K198" s="11">
        <v>90</v>
      </c>
      <c r="L198" s="11">
        <v>800</v>
      </c>
      <c r="M198" s="22">
        <v>1300</v>
      </c>
      <c r="N198" s="3" t="str">
        <f>IF(Table1[[#This Row],[Exchange_Rate]]&lt;5,"Strong Currency", IF(Table1[[#This Row],[Exchange_Rate]]&lt;=1000, "Medium Currency","Weak Currency"))</f>
        <v>Weak Currency</v>
      </c>
      <c r="O198" s="11">
        <f>(Table1[[#This Row],[Living_Cost_Index]]/123.3)*1850</f>
        <v>1276.8450932684509</v>
      </c>
      <c r="P198" s="11">
        <f>Table1[[#This Row],[Monthly_Estimated_Living_cost]]*12</f>
        <v>15322.141119221411</v>
      </c>
      <c r="Q198" s="13">
        <f>Table1[[#This Row],[Tuition_USD]]+Table1[[#This Row],[Rent_USD]]+Table1[[#This Row],[Insurance_USD]]+Table1[[#This Row],[Visa_Fee_USD]]+Table1[[#This Row],[Annual_Estimated_Living_cost]]</f>
        <v>24012.141119221411</v>
      </c>
    </row>
    <row r="199" spans="1:17" x14ac:dyDescent="0.25">
      <c r="A199" s="2" t="s">
        <v>64</v>
      </c>
      <c r="B199" s="1" t="s">
        <v>65</v>
      </c>
      <c r="C199" s="1" t="s">
        <v>479</v>
      </c>
      <c r="D199" s="1" t="s">
        <v>207</v>
      </c>
      <c r="E199" s="1" t="s">
        <v>16</v>
      </c>
      <c r="F199" s="1">
        <v>2</v>
      </c>
      <c r="G199" s="1" t="str">
        <f>CONCATENATE(Table1[[#This Row],[Duration_Years]]," ","years")</f>
        <v>2 years</v>
      </c>
      <c r="H199" s="11">
        <v>6500</v>
      </c>
      <c r="I199" s="1">
        <v>85.1</v>
      </c>
      <c r="J199" s="11">
        <v>850</v>
      </c>
      <c r="K199" s="11">
        <v>90</v>
      </c>
      <c r="L199" s="11">
        <v>800</v>
      </c>
      <c r="M199" s="22">
        <v>1300</v>
      </c>
      <c r="N199" s="3" t="str">
        <f>IF(Table1[[#This Row],[Exchange_Rate]]&lt;5,"Strong Currency", IF(Table1[[#This Row],[Exchange_Rate]]&lt;=1000, "Medium Currency","Weak Currency"))</f>
        <v>Weak Currency</v>
      </c>
      <c r="O199" s="11">
        <f>(Table1[[#This Row],[Living_Cost_Index]]/123.3)*1850</f>
        <v>1276.8450932684509</v>
      </c>
      <c r="P199" s="11">
        <f>Table1[[#This Row],[Monthly_Estimated_Living_cost]]*12</f>
        <v>15322.141119221411</v>
      </c>
      <c r="Q199" s="13">
        <f>Table1[[#This Row],[Tuition_USD]]+Table1[[#This Row],[Rent_USD]]+Table1[[#This Row],[Insurance_USD]]+Table1[[#This Row],[Visa_Fee_USD]]+Table1[[#This Row],[Annual_Estimated_Living_cost]]</f>
        <v>23562.141119221411</v>
      </c>
    </row>
    <row r="200" spans="1:17" x14ac:dyDescent="0.25">
      <c r="A200" s="2" t="s">
        <v>64</v>
      </c>
      <c r="B200" s="1" t="s">
        <v>65</v>
      </c>
      <c r="C200" s="1" t="s">
        <v>480</v>
      </c>
      <c r="D200" s="1" t="s">
        <v>63</v>
      </c>
      <c r="E200" s="1" t="s">
        <v>16</v>
      </c>
      <c r="F200" s="1">
        <v>2</v>
      </c>
      <c r="G200" s="1" t="str">
        <f>CONCATENATE(Table1[[#This Row],[Duration_Years]]," ","years")</f>
        <v>2 years</v>
      </c>
      <c r="H200" s="11">
        <v>6400</v>
      </c>
      <c r="I200" s="1">
        <v>85.1</v>
      </c>
      <c r="J200" s="11">
        <v>840</v>
      </c>
      <c r="K200" s="11">
        <v>90</v>
      </c>
      <c r="L200" s="11">
        <v>800</v>
      </c>
      <c r="M200" s="22">
        <v>1300</v>
      </c>
      <c r="N200" s="3" t="str">
        <f>IF(Table1[[#This Row],[Exchange_Rate]]&lt;5,"Strong Currency", IF(Table1[[#This Row],[Exchange_Rate]]&lt;=1000, "Medium Currency","Weak Currency"))</f>
        <v>Weak Currency</v>
      </c>
      <c r="O200" s="11">
        <f>(Table1[[#This Row],[Living_Cost_Index]]/123.3)*1850</f>
        <v>1276.8450932684509</v>
      </c>
      <c r="P200" s="11">
        <f>Table1[[#This Row],[Monthly_Estimated_Living_cost]]*12</f>
        <v>15322.141119221411</v>
      </c>
      <c r="Q200" s="13">
        <f>Table1[[#This Row],[Tuition_USD]]+Table1[[#This Row],[Rent_USD]]+Table1[[#This Row],[Insurance_USD]]+Table1[[#This Row],[Visa_Fee_USD]]+Table1[[#This Row],[Annual_Estimated_Living_cost]]</f>
        <v>23452.141119221411</v>
      </c>
    </row>
    <row r="201" spans="1:17" x14ac:dyDescent="0.25">
      <c r="A201" s="2" t="s">
        <v>64</v>
      </c>
      <c r="B201" s="1" t="s">
        <v>165</v>
      </c>
      <c r="C201" s="1" t="s">
        <v>166</v>
      </c>
      <c r="D201" s="1" t="s">
        <v>481</v>
      </c>
      <c r="E201" s="1" t="s">
        <v>16</v>
      </c>
      <c r="F201" s="1">
        <v>2</v>
      </c>
      <c r="G201" s="1" t="str">
        <f>CONCATENATE(Table1[[#This Row],[Duration_Years]]," ","years")</f>
        <v>2 years</v>
      </c>
      <c r="H201" s="11">
        <v>6800</v>
      </c>
      <c r="I201" s="1">
        <v>75.400000000000006</v>
      </c>
      <c r="J201" s="11">
        <v>700</v>
      </c>
      <c r="K201" s="11">
        <v>90</v>
      </c>
      <c r="L201" s="11">
        <v>800</v>
      </c>
      <c r="M201" s="22">
        <v>1300</v>
      </c>
      <c r="N201" s="3" t="str">
        <f>IF(Table1[[#This Row],[Exchange_Rate]]&lt;5,"Strong Currency", IF(Table1[[#This Row],[Exchange_Rate]]&lt;=1000, "Medium Currency","Weak Currency"))</f>
        <v>Weak Currency</v>
      </c>
      <c r="O201" s="11">
        <f>(Table1[[#This Row],[Living_Cost_Index]]/123.3)*1850</f>
        <v>1131.3057583130576</v>
      </c>
      <c r="P201" s="11">
        <f>Table1[[#This Row],[Monthly_Estimated_Living_cost]]*12</f>
        <v>13575.669099756691</v>
      </c>
      <c r="Q201" s="13">
        <f>Table1[[#This Row],[Tuition_USD]]+Table1[[#This Row],[Rent_USD]]+Table1[[#This Row],[Insurance_USD]]+Table1[[#This Row],[Visa_Fee_USD]]+Table1[[#This Row],[Annual_Estimated_Living_cost]]</f>
        <v>21965.669099756691</v>
      </c>
    </row>
    <row r="202" spans="1:17" x14ac:dyDescent="0.25">
      <c r="A202" s="2" t="s">
        <v>64</v>
      </c>
      <c r="B202" s="1" t="s">
        <v>165</v>
      </c>
      <c r="C202" s="1" t="s">
        <v>482</v>
      </c>
      <c r="D202" s="1" t="s">
        <v>215</v>
      </c>
      <c r="E202" s="1" t="s">
        <v>16</v>
      </c>
      <c r="F202" s="1">
        <v>2</v>
      </c>
      <c r="G202" s="1" t="str">
        <f>CONCATENATE(Table1[[#This Row],[Duration_Years]]," ","years")</f>
        <v>2 years</v>
      </c>
      <c r="H202" s="11">
        <v>5900</v>
      </c>
      <c r="I202" s="1">
        <v>75.400000000000006</v>
      </c>
      <c r="J202" s="11">
        <v>650</v>
      </c>
      <c r="K202" s="11">
        <v>90</v>
      </c>
      <c r="L202" s="11">
        <v>800</v>
      </c>
      <c r="M202" s="22">
        <v>1300</v>
      </c>
      <c r="N202" s="3" t="str">
        <f>IF(Table1[[#This Row],[Exchange_Rate]]&lt;5,"Strong Currency", IF(Table1[[#This Row],[Exchange_Rate]]&lt;=1000, "Medium Currency","Weak Currency"))</f>
        <v>Weak Currency</v>
      </c>
      <c r="O202" s="11">
        <f>(Table1[[#This Row],[Living_Cost_Index]]/123.3)*1850</f>
        <v>1131.3057583130576</v>
      </c>
      <c r="P202" s="11">
        <f>Table1[[#This Row],[Monthly_Estimated_Living_cost]]*12</f>
        <v>13575.669099756691</v>
      </c>
      <c r="Q202" s="13">
        <f>Table1[[#This Row],[Tuition_USD]]+Table1[[#This Row],[Rent_USD]]+Table1[[#This Row],[Insurance_USD]]+Table1[[#This Row],[Visa_Fee_USD]]+Table1[[#This Row],[Annual_Estimated_Living_cost]]</f>
        <v>21015.669099756691</v>
      </c>
    </row>
    <row r="203" spans="1:17" x14ac:dyDescent="0.25">
      <c r="A203" s="2" t="s">
        <v>64</v>
      </c>
      <c r="B203" s="1" t="s">
        <v>72</v>
      </c>
      <c r="C203" s="1" t="s">
        <v>73</v>
      </c>
      <c r="D203" s="1" t="s">
        <v>15</v>
      </c>
      <c r="E203" s="1" t="s">
        <v>16</v>
      </c>
      <c r="F203" s="1">
        <v>2</v>
      </c>
      <c r="G203" s="1" t="str">
        <f>CONCATENATE(Table1[[#This Row],[Duration_Years]]," ","years")</f>
        <v>2 years</v>
      </c>
      <c r="H203" s="11">
        <v>5800</v>
      </c>
      <c r="I203" s="1">
        <v>73.2</v>
      </c>
      <c r="J203" s="11">
        <v>600</v>
      </c>
      <c r="K203" s="11">
        <v>90</v>
      </c>
      <c r="L203" s="11">
        <v>800</v>
      </c>
      <c r="M203" s="22">
        <v>1300</v>
      </c>
      <c r="N203" s="3" t="str">
        <f>IF(Table1[[#This Row],[Exchange_Rate]]&lt;5,"Strong Currency", IF(Table1[[#This Row],[Exchange_Rate]]&lt;=1000, "Medium Currency","Weak Currency"))</f>
        <v>Weak Currency</v>
      </c>
      <c r="O203" s="11">
        <f>(Table1[[#This Row],[Living_Cost_Index]]/123.3)*1850</f>
        <v>1098.2968369829684</v>
      </c>
      <c r="P203" s="11">
        <f>Table1[[#This Row],[Monthly_Estimated_Living_cost]]*12</f>
        <v>13179.56204379562</v>
      </c>
      <c r="Q203" s="13">
        <f>Table1[[#This Row],[Tuition_USD]]+Table1[[#This Row],[Rent_USD]]+Table1[[#This Row],[Insurance_USD]]+Table1[[#This Row],[Visa_Fee_USD]]+Table1[[#This Row],[Annual_Estimated_Living_cost]]</f>
        <v>20469.56204379562</v>
      </c>
    </row>
    <row r="204" spans="1:17" x14ac:dyDescent="0.25">
      <c r="A204" s="2" t="s">
        <v>64</v>
      </c>
      <c r="B204" s="1" t="s">
        <v>72</v>
      </c>
      <c r="C204" s="1" t="s">
        <v>483</v>
      </c>
      <c r="D204" s="1" t="s">
        <v>207</v>
      </c>
      <c r="E204" s="1" t="s">
        <v>16</v>
      </c>
      <c r="F204" s="1">
        <v>2</v>
      </c>
      <c r="G204" s="1" t="str">
        <f>CONCATENATE(Table1[[#This Row],[Duration_Years]]," ","years")</f>
        <v>2 years</v>
      </c>
      <c r="H204" s="11">
        <v>5600</v>
      </c>
      <c r="I204" s="1">
        <v>73.2</v>
      </c>
      <c r="J204" s="11">
        <v>580</v>
      </c>
      <c r="K204" s="11">
        <v>90</v>
      </c>
      <c r="L204" s="11">
        <v>800</v>
      </c>
      <c r="M204" s="22">
        <v>1300</v>
      </c>
      <c r="N204" s="3" t="str">
        <f>IF(Table1[[#This Row],[Exchange_Rate]]&lt;5,"Strong Currency", IF(Table1[[#This Row],[Exchange_Rate]]&lt;=1000, "Medium Currency","Weak Currency"))</f>
        <v>Weak Currency</v>
      </c>
      <c r="O204" s="11">
        <f>(Table1[[#This Row],[Living_Cost_Index]]/123.3)*1850</f>
        <v>1098.2968369829684</v>
      </c>
      <c r="P204" s="11">
        <f>Table1[[#This Row],[Monthly_Estimated_Living_cost]]*12</f>
        <v>13179.56204379562</v>
      </c>
      <c r="Q204" s="13">
        <f>Table1[[#This Row],[Tuition_USD]]+Table1[[#This Row],[Rent_USD]]+Table1[[#This Row],[Insurance_USD]]+Table1[[#This Row],[Visa_Fee_USD]]+Table1[[#This Row],[Annual_Estimated_Living_cost]]</f>
        <v>20249.56204379562</v>
      </c>
    </row>
    <row r="205" spans="1:17" x14ac:dyDescent="0.25">
      <c r="A205" s="2" t="s">
        <v>64</v>
      </c>
      <c r="B205" s="1" t="s">
        <v>484</v>
      </c>
      <c r="C205" s="1" t="s">
        <v>485</v>
      </c>
      <c r="D205" s="1" t="s">
        <v>71</v>
      </c>
      <c r="E205" s="1" t="s">
        <v>16</v>
      </c>
      <c r="F205" s="1">
        <v>2</v>
      </c>
      <c r="G205" s="1" t="str">
        <f>CONCATENATE(Table1[[#This Row],[Duration_Years]]," ","years")</f>
        <v>2 years</v>
      </c>
      <c r="H205" s="11">
        <v>5500</v>
      </c>
      <c r="I205" s="1">
        <v>71.8</v>
      </c>
      <c r="J205" s="11">
        <v>550</v>
      </c>
      <c r="K205" s="11">
        <v>90</v>
      </c>
      <c r="L205" s="11">
        <v>800</v>
      </c>
      <c r="M205" s="22">
        <v>1300</v>
      </c>
      <c r="N205" s="3" t="str">
        <f>IF(Table1[[#This Row],[Exchange_Rate]]&lt;5,"Strong Currency", IF(Table1[[#This Row],[Exchange_Rate]]&lt;=1000, "Medium Currency","Weak Currency"))</f>
        <v>Weak Currency</v>
      </c>
      <c r="O205" s="11">
        <f>(Table1[[#This Row],[Living_Cost_Index]]/123.3)*1850</f>
        <v>1077.2911597729117</v>
      </c>
      <c r="P205" s="11">
        <f>Table1[[#This Row],[Monthly_Estimated_Living_cost]]*12</f>
        <v>12927.49391727494</v>
      </c>
      <c r="Q205" s="13">
        <f>Table1[[#This Row],[Tuition_USD]]+Table1[[#This Row],[Rent_USD]]+Table1[[#This Row],[Insurance_USD]]+Table1[[#This Row],[Visa_Fee_USD]]+Table1[[#This Row],[Annual_Estimated_Living_cost]]</f>
        <v>19867.49391727494</v>
      </c>
    </row>
    <row r="206" spans="1:17" x14ac:dyDescent="0.25">
      <c r="A206" s="2" t="s">
        <v>64</v>
      </c>
      <c r="B206" s="1" t="s">
        <v>484</v>
      </c>
      <c r="C206" s="1" t="s">
        <v>486</v>
      </c>
      <c r="D206" s="1" t="s">
        <v>63</v>
      </c>
      <c r="E206" s="1" t="s">
        <v>16</v>
      </c>
      <c r="F206" s="1">
        <v>2</v>
      </c>
      <c r="G206" s="1" t="str">
        <f>CONCATENATE(Table1[[#This Row],[Duration_Years]]," ","years")</f>
        <v>2 years</v>
      </c>
      <c r="H206" s="11">
        <v>5400</v>
      </c>
      <c r="I206" s="1">
        <v>71.8</v>
      </c>
      <c r="J206" s="11">
        <v>530</v>
      </c>
      <c r="K206" s="11">
        <v>90</v>
      </c>
      <c r="L206" s="11">
        <v>800</v>
      </c>
      <c r="M206" s="22">
        <v>1300</v>
      </c>
      <c r="N206" s="3" t="str">
        <f>IF(Table1[[#This Row],[Exchange_Rate]]&lt;5,"Strong Currency", IF(Table1[[#This Row],[Exchange_Rate]]&lt;=1000, "Medium Currency","Weak Currency"))</f>
        <v>Weak Currency</v>
      </c>
      <c r="O206" s="11">
        <f>(Table1[[#This Row],[Living_Cost_Index]]/123.3)*1850</f>
        <v>1077.2911597729117</v>
      </c>
      <c r="P206" s="11">
        <f>Table1[[#This Row],[Monthly_Estimated_Living_cost]]*12</f>
        <v>12927.49391727494</v>
      </c>
      <c r="Q206" s="13">
        <f>Table1[[#This Row],[Tuition_USD]]+Table1[[#This Row],[Rent_USD]]+Table1[[#This Row],[Insurance_USD]]+Table1[[#This Row],[Visa_Fee_USD]]+Table1[[#This Row],[Annual_Estimated_Living_cost]]</f>
        <v>19747.49391727494</v>
      </c>
    </row>
    <row r="207" spans="1:17" x14ac:dyDescent="0.25">
      <c r="A207" s="2" t="s">
        <v>64</v>
      </c>
      <c r="B207" s="1" t="s">
        <v>487</v>
      </c>
      <c r="C207" s="1" t="s">
        <v>488</v>
      </c>
      <c r="D207" s="1" t="s">
        <v>222</v>
      </c>
      <c r="E207" s="1" t="s">
        <v>16</v>
      </c>
      <c r="F207" s="1">
        <v>2</v>
      </c>
      <c r="G207" s="1" t="str">
        <f>CONCATENATE(Table1[[#This Row],[Duration_Years]]," ","years")</f>
        <v>2 years</v>
      </c>
      <c r="H207" s="11">
        <v>5300</v>
      </c>
      <c r="I207" s="1">
        <v>70.5</v>
      </c>
      <c r="J207" s="11">
        <v>520</v>
      </c>
      <c r="K207" s="11">
        <v>90</v>
      </c>
      <c r="L207" s="11">
        <v>800</v>
      </c>
      <c r="M207" s="22">
        <v>1300</v>
      </c>
      <c r="N207" s="3" t="str">
        <f>IF(Table1[[#This Row],[Exchange_Rate]]&lt;5,"Strong Currency", IF(Table1[[#This Row],[Exchange_Rate]]&lt;=1000, "Medium Currency","Weak Currency"))</f>
        <v>Weak Currency</v>
      </c>
      <c r="O207" s="11">
        <f>(Table1[[#This Row],[Living_Cost_Index]]/123.3)*1850</f>
        <v>1057.7858880778588</v>
      </c>
      <c r="P207" s="11">
        <f>Table1[[#This Row],[Monthly_Estimated_Living_cost]]*12</f>
        <v>12693.430656934306</v>
      </c>
      <c r="Q207" s="13">
        <f>Table1[[#This Row],[Tuition_USD]]+Table1[[#This Row],[Rent_USD]]+Table1[[#This Row],[Insurance_USD]]+Table1[[#This Row],[Visa_Fee_USD]]+Table1[[#This Row],[Annual_Estimated_Living_cost]]</f>
        <v>19403.430656934306</v>
      </c>
    </row>
    <row r="208" spans="1:17" x14ac:dyDescent="0.25">
      <c r="A208" s="2" t="s">
        <v>64</v>
      </c>
      <c r="B208" s="1" t="s">
        <v>487</v>
      </c>
      <c r="C208" s="1" t="s">
        <v>489</v>
      </c>
      <c r="D208" s="1" t="s">
        <v>15</v>
      </c>
      <c r="E208" s="1" t="s">
        <v>16</v>
      </c>
      <c r="F208" s="1">
        <v>2</v>
      </c>
      <c r="G208" s="1" t="str">
        <f>CONCATENATE(Table1[[#This Row],[Duration_Years]]," ","years")</f>
        <v>2 years</v>
      </c>
      <c r="H208" s="11">
        <v>5200</v>
      </c>
      <c r="I208" s="1">
        <v>70.5</v>
      </c>
      <c r="J208" s="11">
        <v>500</v>
      </c>
      <c r="K208" s="11">
        <v>90</v>
      </c>
      <c r="L208" s="11">
        <v>800</v>
      </c>
      <c r="M208" s="22">
        <v>1300</v>
      </c>
      <c r="N208" s="3" t="str">
        <f>IF(Table1[[#This Row],[Exchange_Rate]]&lt;5,"Strong Currency", IF(Table1[[#This Row],[Exchange_Rate]]&lt;=1000, "Medium Currency","Weak Currency"))</f>
        <v>Weak Currency</v>
      </c>
      <c r="O208" s="11">
        <f>(Table1[[#This Row],[Living_Cost_Index]]/123.3)*1850</f>
        <v>1057.7858880778588</v>
      </c>
      <c r="P208" s="11">
        <f>Table1[[#This Row],[Monthly_Estimated_Living_cost]]*12</f>
        <v>12693.430656934306</v>
      </c>
      <c r="Q208" s="13">
        <f>Table1[[#This Row],[Tuition_USD]]+Table1[[#This Row],[Rent_USD]]+Table1[[#This Row],[Insurance_USD]]+Table1[[#This Row],[Visa_Fee_USD]]+Table1[[#This Row],[Annual_Estimated_Living_cost]]</f>
        <v>19283.430656934306</v>
      </c>
    </row>
    <row r="209" spans="1:17" x14ac:dyDescent="0.25">
      <c r="A209" s="2" t="s">
        <v>64</v>
      </c>
      <c r="B209" s="1" t="s">
        <v>490</v>
      </c>
      <c r="C209" s="1" t="s">
        <v>491</v>
      </c>
      <c r="D209" s="1" t="s">
        <v>492</v>
      </c>
      <c r="E209" s="1" t="s">
        <v>16</v>
      </c>
      <c r="F209" s="1">
        <v>2</v>
      </c>
      <c r="G209" s="1" t="str">
        <f>CONCATENATE(Table1[[#This Row],[Duration_Years]]," ","years")</f>
        <v>2 years</v>
      </c>
      <c r="H209" s="11">
        <v>6100</v>
      </c>
      <c r="I209" s="1">
        <v>72.3</v>
      </c>
      <c r="J209" s="11">
        <v>580</v>
      </c>
      <c r="K209" s="11">
        <v>90</v>
      </c>
      <c r="L209" s="11">
        <v>800</v>
      </c>
      <c r="M209" s="22">
        <v>1300</v>
      </c>
      <c r="N209" s="3" t="str">
        <f>IF(Table1[[#This Row],[Exchange_Rate]]&lt;5,"Strong Currency", IF(Table1[[#This Row],[Exchange_Rate]]&lt;=1000, "Medium Currency","Weak Currency"))</f>
        <v>Weak Currency</v>
      </c>
      <c r="O209" s="11">
        <f>(Table1[[#This Row],[Living_Cost_Index]]/123.3)*1850</f>
        <v>1084.7931873479317</v>
      </c>
      <c r="P209" s="11">
        <f>Table1[[#This Row],[Monthly_Estimated_Living_cost]]*12</f>
        <v>13017.51824817518</v>
      </c>
      <c r="Q209" s="13">
        <f>Table1[[#This Row],[Tuition_USD]]+Table1[[#This Row],[Rent_USD]]+Table1[[#This Row],[Insurance_USD]]+Table1[[#This Row],[Visa_Fee_USD]]+Table1[[#This Row],[Annual_Estimated_Living_cost]]</f>
        <v>20587.51824817518</v>
      </c>
    </row>
    <row r="210" spans="1:17" x14ac:dyDescent="0.25">
      <c r="A210" s="2" t="s">
        <v>64</v>
      </c>
      <c r="B210" s="1" t="s">
        <v>490</v>
      </c>
      <c r="C210" s="1" t="s">
        <v>493</v>
      </c>
      <c r="D210" s="1" t="s">
        <v>260</v>
      </c>
      <c r="E210" s="1" t="s">
        <v>16</v>
      </c>
      <c r="F210" s="1">
        <v>2</v>
      </c>
      <c r="G210" s="1" t="str">
        <f>CONCATENATE(Table1[[#This Row],[Duration_Years]]," ","years")</f>
        <v>2 years</v>
      </c>
      <c r="H210" s="11">
        <v>5100</v>
      </c>
      <c r="I210" s="1">
        <v>72.3</v>
      </c>
      <c r="J210" s="11">
        <v>550</v>
      </c>
      <c r="K210" s="11">
        <v>90</v>
      </c>
      <c r="L210" s="11">
        <v>800</v>
      </c>
      <c r="M210" s="22">
        <v>1300</v>
      </c>
      <c r="N210" s="3" t="str">
        <f>IF(Table1[[#This Row],[Exchange_Rate]]&lt;5,"Strong Currency", IF(Table1[[#This Row],[Exchange_Rate]]&lt;=1000, "Medium Currency","Weak Currency"))</f>
        <v>Weak Currency</v>
      </c>
      <c r="O210" s="11">
        <f>(Table1[[#This Row],[Living_Cost_Index]]/123.3)*1850</f>
        <v>1084.7931873479317</v>
      </c>
      <c r="P210" s="11">
        <f>Table1[[#This Row],[Monthly_Estimated_Living_cost]]*12</f>
        <v>13017.51824817518</v>
      </c>
      <c r="Q210" s="13">
        <f>Table1[[#This Row],[Tuition_USD]]+Table1[[#This Row],[Rent_USD]]+Table1[[#This Row],[Insurance_USD]]+Table1[[#This Row],[Visa_Fee_USD]]+Table1[[#This Row],[Annual_Estimated_Living_cost]]</f>
        <v>19557.51824817518</v>
      </c>
    </row>
    <row r="211" spans="1:17" x14ac:dyDescent="0.25">
      <c r="A211" s="2" t="s">
        <v>64</v>
      </c>
      <c r="B211" s="1" t="s">
        <v>494</v>
      </c>
      <c r="C211" s="1" t="s">
        <v>495</v>
      </c>
      <c r="D211" s="1" t="s">
        <v>63</v>
      </c>
      <c r="E211" s="1" t="s">
        <v>16</v>
      </c>
      <c r="F211" s="1">
        <v>2</v>
      </c>
      <c r="G211" s="1" t="str">
        <f>CONCATENATE(Table1[[#This Row],[Duration_Years]]," ","years")</f>
        <v>2 years</v>
      </c>
      <c r="H211" s="11">
        <v>6300</v>
      </c>
      <c r="I211" s="1">
        <v>71.2</v>
      </c>
      <c r="J211" s="11">
        <v>570</v>
      </c>
      <c r="K211" s="11">
        <v>90</v>
      </c>
      <c r="L211" s="11">
        <v>800</v>
      </c>
      <c r="M211" s="22">
        <v>1300</v>
      </c>
      <c r="N211" s="3" t="str">
        <f>IF(Table1[[#This Row],[Exchange_Rate]]&lt;5,"Strong Currency", IF(Table1[[#This Row],[Exchange_Rate]]&lt;=1000, "Medium Currency","Weak Currency"))</f>
        <v>Weak Currency</v>
      </c>
      <c r="O211" s="11">
        <f>(Table1[[#This Row],[Living_Cost_Index]]/123.3)*1850</f>
        <v>1068.2887266828873</v>
      </c>
      <c r="P211" s="11">
        <f>Table1[[#This Row],[Monthly_Estimated_Living_cost]]*12</f>
        <v>12819.464720194646</v>
      </c>
      <c r="Q211" s="13">
        <f>Table1[[#This Row],[Tuition_USD]]+Table1[[#This Row],[Rent_USD]]+Table1[[#This Row],[Insurance_USD]]+Table1[[#This Row],[Visa_Fee_USD]]+Table1[[#This Row],[Annual_Estimated_Living_cost]]</f>
        <v>20579.464720194646</v>
      </c>
    </row>
    <row r="212" spans="1:17" x14ac:dyDescent="0.25">
      <c r="A212" s="2" t="s">
        <v>64</v>
      </c>
      <c r="B212" s="1" t="s">
        <v>496</v>
      </c>
      <c r="C212" s="1" t="s">
        <v>497</v>
      </c>
      <c r="D212" s="1" t="s">
        <v>20</v>
      </c>
      <c r="E212" s="1" t="s">
        <v>16</v>
      </c>
      <c r="F212" s="1">
        <v>2</v>
      </c>
      <c r="G212" s="1" t="str">
        <f>CONCATENATE(Table1[[#This Row],[Duration_Years]]," ","years")</f>
        <v>2 years</v>
      </c>
      <c r="H212" s="11">
        <v>5000</v>
      </c>
      <c r="I212" s="1">
        <v>76.400000000000006</v>
      </c>
      <c r="J212" s="11">
        <v>600</v>
      </c>
      <c r="K212" s="11">
        <v>90</v>
      </c>
      <c r="L212" s="11">
        <v>800</v>
      </c>
      <c r="M212" s="22">
        <v>1300</v>
      </c>
      <c r="N212" s="3" t="str">
        <f>IF(Table1[[#This Row],[Exchange_Rate]]&lt;5,"Strong Currency", IF(Table1[[#This Row],[Exchange_Rate]]&lt;=1000, "Medium Currency","Weak Currency"))</f>
        <v>Weak Currency</v>
      </c>
      <c r="O212" s="11">
        <f>(Table1[[#This Row],[Living_Cost_Index]]/123.3)*1850</f>
        <v>1146.3098134630984</v>
      </c>
      <c r="P212" s="11">
        <f>Table1[[#This Row],[Monthly_Estimated_Living_cost]]*12</f>
        <v>13755.717761557182</v>
      </c>
      <c r="Q212" s="13">
        <f>Table1[[#This Row],[Tuition_USD]]+Table1[[#This Row],[Rent_USD]]+Table1[[#This Row],[Insurance_USD]]+Table1[[#This Row],[Visa_Fee_USD]]+Table1[[#This Row],[Annual_Estimated_Living_cost]]</f>
        <v>20245.717761557182</v>
      </c>
    </row>
    <row r="213" spans="1:17" x14ac:dyDescent="0.25">
      <c r="A213" s="2" t="s">
        <v>64</v>
      </c>
      <c r="B213" s="1" t="s">
        <v>498</v>
      </c>
      <c r="C213" s="1" t="s">
        <v>499</v>
      </c>
      <c r="D213" s="1" t="s">
        <v>500</v>
      </c>
      <c r="E213" s="1" t="s">
        <v>16</v>
      </c>
      <c r="F213" s="1">
        <v>2</v>
      </c>
      <c r="G213" s="1" t="str">
        <f>CONCATENATE(Table1[[#This Row],[Duration_Years]]," ","years")</f>
        <v>2 years</v>
      </c>
      <c r="H213" s="11">
        <v>5900</v>
      </c>
      <c r="I213" s="1">
        <v>77.8</v>
      </c>
      <c r="J213" s="11">
        <v>650</v>
      </c>
      <c r="K213" s="11">
        <v>90</v>
      </c>
      <c r="L213" s="11">
        <v>800</v>
      </c>
      <c r="M213" s="22">
        <v>1300</v>
      </c>
      <c r="N213" s="3" t="str">
        <f>IF(Table1[[#This Row],[Exchange_Rate]]&lt;5,"Strong Currency", IF(Table1[[#This Row],[Exchange_Rate]]&lt;=1000, "Medium Currency","Weak Currency"))</f>
        <v>Weak Currency</v>
      </c>
      <c r="O213" s="11">
        <f>(Table1[[#This Row],[Living_Cost_Index]]/123.3)*1850</f>
        <v>1167.315490673155</v>
      </c>
      <c r="P213" s="11">
        <f>Table1[[#This Row],[Monthly_Estimated_Living_cost]]*12</f>
        <v>14007.785888077859</v>
      </c>
      <c r="Q213" s="13">
        <f>Table1[[#This Row],[Tuition_USD]]+Table1[[#This Row],[Rent_USD]]+Table1[[#This Row],[Insurance_USD]]+Table1[[#This Row],[Visa_Fee_USD]]+Table1[[#This Row],[Annual_Estimated_Living_cost]]</f>
        <v>21447.785888077859</v>
      </c>
    </row>
    <row r="214" spans="1:17" x14ac:dyDescent="0.25">
      <c r="A214" s="2" t="s">
        <v>64</v>
      </c>
      <c r="B214" s="1" t="s">
        <v>165</v>
      </c>
      <c r="C214" s="1" t="s">
        <v>501</v>
      </c>
      <c r="D214" s="1" t="s">
        <v>502</v>
      </c>
      <c r="E214" s="1" t="s">
        <v>16</v>
      </c>
      <c r="F214" s="1">
        <v>2</v>
      </c>
      <c r="G214" s="1" t="str">
        <f>CONCATENATE(Table1[[#This Row],[Duration_Years]]," ","years")</f>
        <v>2 years</v>
      </c>
      <c r="H214" s="11">
        <v>4900</v>
      </c>
      <c r="I214" s="1">
        <v>75.400000000000006</v>
      </c>
      <c r="J214" s="11">
        <v>540</v>
      </c>
      <c r="K214" s="11">
        <v>90</v>
      </c>
      <c r="L214" s="11">
        <v>800</v>
      </c>
      <c r="M214" s="22">
        <v>1300</v>
      </c>
      <c r="N214" s="3" t="str">
        <f>IF(Table1[[#This Row],[Exchange_Rate]]&lt;5,"Strong Currency", IF(Table1[[#This Row],[Exchange_Rate]]&lt;=1000, "Medium Currency","Weak Currency"))</f>
        <v>Weak Currency</v>
      </c>
      <c r="O214" s="11">
        <f>(Table1[[#This Row],[Living_Cost_Index]]/123.3)*1850</f>
        <v>1131.3057583130576</v>
      </c>
      <c r="P214" s="11">
        <f>Table1[[#This Row],[Monthly_Estimated_Living_cost]]*12</f>
        <v>13575.669099756691</v>
      </c>
      <c r="Q214" s="13">
        <f>Table1[[#This Row],[Tuition_USD]]+Table1[[#This Row],[Rent_USD]]+Table1[[#This Row],[Insurance_USD]]+Table1[[#This Row],[Visa_Fee_USD]]+Table1[[#This Row],[Annual_Estimated_Living_cost]]</f>
        <v>19905.669099756691</v>
      </c>
    </row>
    <row r="215" spans="1:17" x14ac:dyDescent="0.25">
      <c r="A215" s="2" t="s">
        <v>64</v>
      </c>
      <c r="B215" s="1" t="s">
        <v>503</v>
      </c>
      <c r="C215" s="1" t="s">
        <v>504</v>
      </c>
      <c r="D215" s="1" t="s">
        <v>505</v>
      </c>
      <c r="E215" s="1" t="s">
        <v>16</v>
      </c>
      <c r="F215" s="1">
        <v>2</v>
      </c>
      <c r="G215" s="1" t="str">
        <f>CONCATENATE(Table1[[#This Row],[Duration_Years]]," ","years")</f>
        <v>2 years</v>
      </c>
      <c r="H215" s="11">
        <v>4800</v>
      </c>
      <c r="I215" s="1">
        <v>70.099999999999994</v>
      </c>
      <c r="J215" s="11">
        <v>520</v>
      </c>
      <c r="K215" s="11">
        <v>90</v>
      </c>
      <c r="L215" s="11">
        <v>800</v>
      </c>
      <c r="M215" s="22">
        <v>1300</v>
      </c>
      <c r="N215" s="3" t="str">
        <f>IF(Table1[[#This Row],[Exchange_Rate]]&lt;5,"Strong Currency", IF(Table1[[#This Row],[Exchange_Rate]]&lt;=1000, "Medium Currency","Weak Currency"))</f>
        <v>Weak Currency</v>
      </c>
      <c r="O215" s="11">
        <f>(Table1[[#This Row],[Living_Cost_Index]]/123.3)*1850</f>
        <v>1051.7842660178426</v>
      </c>
      <c r="P215" s="11">
        <f>Table1[[#This Row],[Monthly_Estimated_Living_cost]]*12</f>
        <v>12621.411192214111</v>
      </c>
      <c r="Q215" s="13">
        <f>Table1[[#This Row],[Tuition_USD]]+Table1[[#This Row],[Rent_USD]]+Table1[[#This Row],[Insurance_USD]]+Table1[[#This Row],[Visa_Fee_USD]]+Table1[[#This Row],[Annual_Estimated_Living_cost]]</f>
        <v>18831.411192214109</v>
      </c>
    </row>
    <row r="216" spans="1:17" x14ac:dyDescent="0.25">
      <c r="A216" s="2" t="s">
        <v>12</v>
      </c>
      <c r="B216" s="1" t="s">
        <v>120</v>
      </c>
      <c r="C216" s="1" t="s">
        <v>121</v>
      </c>
      <c r="D216" s="1" t="s">
        <v>15</v>
      </c>
      <c r="E216" s="1" t="s">
        <v>75</v>
      </c>
      <c r="F216" s="1">
        <v>4</v>
      </c>
      <c r="G216" s="1" t="str">
        <f>CONCATENATE(Table1[[#This Row],[Duration_Years]]," ","years")</f>
        <v>4 years</v>
      </c>
      <c r="H216" s="11">
        <v>57000</v>
      </c>
      <c r="I216" s="1">
        <v>95.2</v>
      </c>
      <c r="J216" s="11">
        <v>2400</v>
      </c>
      <c r="K216" s="11">
        <v>160</v>
      </c>
      <c r="L216" s="11">
        <v>1500</v>
      </c>
      <c r="M216" s="22">
        <v>1</v>
      </c>
      <c r="N216" s="3" t="str">
        <f>IF(Table1[[#This Row],[Exchange_Rate]]&lt;5,"Strong Currency", IF(Table1[[#This Row],[Exchange_Rate]]&lt;=1000, "Medium Currency","Weak Currency"))</f>
        <v>Strong Currency</v>
      </c>
      <c r="O216" s="11">
        <f>(Table1[[#This Row],[Living_Cost_Index]]/123.3)*1850</f>
        <v>1428.3860502838606</v>
      </c>
      <c r="P216" s="11">
        <f>Table1[[#This Row],[Monthly_Estimated_Living_cost]]*12</f>
        <v>17140.632603406328</v>
      </c>
      <c r="Q216" s="13">
        <f>Table1[[#This Row],[Tuition_USD]]+Table1[[#This Row],[Rent_USD]]+Table1[[#This Row],[Insurance_USD]]+Table1[[#This Row],[Visa_Fee_USD]]+Table1[[#This Row],[Annual_Estimated_Living_cost]]</f>
        <v>78200.632603406324</v>
      </c>
    </row>
    <row r="217" spans="1:17" x14ac:dyDescent="0.25">
      <c r="A217" s="2" t="s">
        <v>12</v>
      </c>
      <c r="B217" s="1" t="s">
        <v>13</v>
      </c>
      <c r="C217" s="1" t="s">
        <v>123</v>
      </c>
      <c r="D217" s="1" t="s">
        <v>15</v>
      </c>
      <c r="E217" s="1" t="s">
        <v>75</v>
      </c>
      <c r="F217" s="1">
        <v>4</v>
      </c>
      <c r="G217" s="1" t="str">
        <f>CONCATENATE(Table1[[#This Row],[Duration_Years]]," ","years")</f>
        <v>4 years</v>
      </c>
      <c r="H217" s="11">
        <v>55800</v>
      </c>
      <c r="I217" s="1">
        <v>83.5</v>
      </c>
      <c r="J217" s="11">
        <v>2300</v>
      </c>
      <c r="K217" s="11">
        <v>160</v>
      </c>
      <c r="L217" s="11">
        <v>1500</v>
      </c>
      <c r="M217" s="22">
        <v>1</v>
      </c>
      <c r="N217" s="3" t="str">
        <f>IF(Table1[[#This Row],[Exchange_Rate]]&lt;5,"Strong Currency", IF(Table1[[#This Row],[Exchange_Rate]]&lt;=1000, "Medium Currency","Weak Currency"))</f>
        <v>Strong Currency</v>
      </c>
      <c r="O217" s="11">
        <f>(Table1[[#This Row],[Living_Cost_Index]]/123.3)*1850</f>
        <v>1252.8386050283859</v>
      </c>
      <c r="P217" s="11">
        <f>Table1[[#This Row],[Monthly_Estimated_Living_cost]]*12</f>
        <v>15034.06326034063</v>
      </c>
      <c r="Q217" s="13">
        <f>Table1[[#This Row],[Tuition_USD]]+Table1[[#This Row],[Rent_USD]]+Table1[[#This Row],[Insurance_USD]]+Table1[[#This Row],[Visa_Fee_USD]]+Table1[[#This Row],[Annual_Estimated_Living_cost]]</f>
        <v>74794.063260340627</v>
      </c>
    </row>
    <row r="218" spans="1:17" x14ac:dyDescent="0.25">
      <c r="A218" s="2" t="s">
        <v>12</v>
      </c>
      <c r="B218" s="1" t="s">
        <v>506</v>
      </c>
      <c r="C218" s="1" t="s">
        <v>507</v>
      </c>
      <c r="D218" s="1" t="s">
        <v>15</v>
      </c>
      <c r="E218" s="1" t="s">
        <v>75</v>
      </c>
      <c r="F218" s="1">
        <v>4</v>
      </c>
      <c r="G218" s="1" t="str">
        <f>CONCATENATE(Table1[[#This Row],[Duration_Years]]," ","years")</f>
        <v>4 years</v>
      </c>
      <c r="H218" s="11">
        <v>54500</v>
      </c>
      <c r="I218" s="1">
        <v>79.8</v>
      </c>
      <c r="J218" s="11">
        <v>2100</v>
      </c>
      <c r="K218" s="11">
        <v>160</v>
      </c>
      <c r="L218" s="11">
        <v>1500</v>
      </c>
      <c r="M218" s="22">
        <v>1</v>
      </c>
      <c r="N218" s="3" t="str">
        <f>IF(Table1[[#This Row],[Exchange_Rate]]&lt;5,"Strong Currency", IF(Table1[[#This Row],[Exchange_Rate]]&lt;=1000, "Medium Currency","Weak Currency"))</f>
        <v>Strong Currency</v>
      </c>
      <c r="O218" s="11">
        <f>(Table1[[#This Row],[Living_Cost_Index]]/123.3)*1850</f>
        <v>1197.3236009732359</v>
      </c>
      <c r="P218" s="11">
        <f>Table1[[#This Row],[Monthly_Estimated_Living_cost]]*12</f>
        <v>14367.883211678831</v>
      </c>
      <c r="Q218" s="13">
        <f>Table1[[#This Row],[Tuition_USD]]+Table1[[#This Row],[Rent_USD]]+Table1[[#This Row],[Insurance_USD]]+Table1[[#This Row],[Visa_Fee_USD]]+Table1[[#This Row],[Annual_Estimated_Living_cost]]</f>
        <v>72627.883211678825</v>
      </c>
    </row>
    <row r="219" spans="1:17" x14ac:dyDescent="0.25">
      <c r="A219" s="2" t="s">
        <v>12</v>
      </c>
      <c r="B219" s="1" t="s">
        <v>508</v>
      </c>
      <c r="C219" s="1" t="s">
        <v>509</v>
      </c>
      <c r="D219" s="1" t="s">
        <v>15</v>
      </c>
      <c r="E219" s="1" t="s">
        <v>75</v>
      </c>
      <c r="F219" s="1">
        <v>4</v>
      </c>
      <c r="G219" s="1" t="str">
        <f>CONCATENATE(Table1[[#This Row],[Duration_Years]]," ","years")</f>
        <v>4 years</v>
      </c>
      <c r="H219" s="11">
        <v>54000</v>
      </c>
      <c r="I219" s="1">
        <v>81.2</v>
      </c>
      <c r="J219" s="11">
        <v>2000</v>
      </c>
      <c r="K219" s="11">
        <v>160</v>
      </c>
      <c r="L219" s="11">
        <v>1500</v>
      </c>
      <c r="M219" s="22">
        <v>1</v>
      </c>
      <c r="N219" s="3" t="str">
        <f>IF(Table1[[#This Row],[Exchange_Rate]]&lt;5,"Strong Currency", IF(Table1[[#This Row],[Exchange_Rate]]&lt;=1000, "Medium Currency","Weak Currency"))</f>
        <v>Strong Currency</v>
      </c>
      <c r="O219" s="11">
        <f>(Table1[[#This Row],[Living_Cost_Index]]/123.3)*1850</f>
        <v>1218.3292781832929</v>
      </c>
      <c r="P219" s="11">
        <f>Table1[[#This Row],[Monthly_Estimated_Living_cost]]*12</f>
        <v>14619.951338199515</v>
      </c>
      <c r="Q219" s="13">
        <f>Table1[[#This Row],[Tuition_USD]]+Table1[[#This Row],[Rent_USD]]+Table1[[#This Row],[Insurance_USD]]+Table1[[#This Row],[Visa_Fee_USD]]+Table1[[#This Row],[Annual_Estimated_Living_cost]]</f>
        <v>72279.95133819952</v>
      </c>
    </row>
    <row r="220" spans="1:17" x14ac:dyDescent="0.25">
      <c r="A220" s="2" t="s">
        <v>12</v>
      </c>
      <c r="B220" s="1" t="s">
        <v>269</v>
      </c>
      <c r="C220" s="1" t="s">
        <v>270</v>
      </c>
      <c r="D220" s="1" t="s">
        <v>15</v>
      </c>
      <c r="E220" s="1" t="s">
        <v>75</v>
      </c>
      <c r="F220" s="1">
        <v>4</v>
      </c>
      <c r="G220" s="1" t="str">
        <f>CONCATENATE(Table1[[#This Row],[Duration_Years]]," ","years")</f>
        <v>4 years</v>
      </c>
      <c r="H220" s="11">
        <v>53500</v>
      </c>
      <c r="I220" s="1">
        <v>82.4</v>
      </c>
      <c r="J220" s="11">
        <v>1900</v>
      </c>
      <c r="K220" s="11">
        <v>160</v>
      </c>
      <c r="L220" s="11">
        <v>1500</v>
      </c>
      <c r="M220" s="22">
        <v>1</v>
      </c>
      <c r="N220" s="3" t="str">
        <f>IF(Table1[[#This Row],[Exchange_Rate]]&lt;5,"Strong Currency", IF(Table1[[#This Row],[Exchange_Rate]]&lt;=1000, "Medium Currency","Weak Currency"))</f>
        <v>Strong Currency</v>
      </c>
      <c r="O220" s="11">
        <f>(Table1[[#This Row],[Living_Cost_Index]]/123.3)*1850</f>
        <v>1236.3341443633415</v>
      </c>
      <c r="P220" s="11">
        <f>Table1[[#This Row],[Monthly_Estimated_Living_cost]]*12</f>
        <v>14836.009732360097</v>
      </c>
      <c r="Q220" s="13">
        <f>Table1[[#This Row],[Tuition_USD]]+Table1[[#This Row],[Rent_USD]]+Table1[[#This Row],[Insurance_USD]]+Table1[[#This Row],[Visa_Fee_USD]]+Table1[[#This Row],[Annual_Estimated_Living_cost]]</f>
        <v>71896.009732360093</v>
      </c>
    </row>
    <row r="221" spans="1:17" x14ac:dyDescent="0.25">
      <c r="A221" s="2" t="s">
        <v>12</v>
      </c>
      <c r="B221" s="1" t="s">
        <v>510</v>
      </c>
      <c r="C221" s="1" t="s">
        <v>511</v>
      </c>
      <c r="D221" s="1" t="s">
        <v>15</v>
      </c>
      <c r="E221" s="1" t="s">
        <v>75</v>
      </c>
      <c r="F221" s="1">
        <v>4</v>
      </c>
      <c r="G221" s="1" t="str">
        <f>CONCATENATE(Table1[[#This Row],[Duration_Years]]," ","years")</f>
        <v>4 years</v>
      </c>
      <c r="H221" s="11">
        <v>43000</v>
      </c>
      <c r="I221" s="1">
        <v>88.7</v>
      </c>
      <c r="J221" s="11">
        <v>2200</v>
      </c>
      <c r="K221" s="11">
        <v>160</v>
      </c>
      <c r="L221" s="11">
        <v>1500</v>
      </c>
      <c r="M221" s="22">
        <v>1</v>
      </c>
      <c r="N221" s="3" t="str">
        <f>IF(Table1[[#This Row],[Exchange_Rate]]&lt;5,"Strong Currency", IF(Table1[[#This Row],[Exchange_Rate]]&lt;=1000, "Medium Currency","Weak Currency"))</f>
        <v>Strong Currency</v>
      </c>
      <c r="O221" s="11">
        <f>(Table1[[#This Row],[Living_Cost_Index]]/123.3)*1850</f>
        <v>1330.8596918085971</v>
      </c>
      <c r="P221" s="11">
        <f>Table1[[#This Row],[Monthly_Estimated_Living_cost]]*12</f>
        <v>15970.316301703166</v>
      </c>
      <c r="Q221" s="13">
        <f>Table1[[#This Row],[Tuition_USD]]+Table1[[#This Row],[Rent_USD]]+Table1[[#This Row],[Insurance_USD]]+Table1[[#This Row],[Visa_Fee_USD]]+Table1[[#This Row],[Annual_Estimated_Living_cost]]</f>
        <v>62830.316301703162</v>
      </c>
    </row>
    <row r="222" spans="1:17" x14ac:dyDescent="0.25">
      <c r="A222" s="2" t="s">
        <v>12</v>
      </c>
      <c r="B222" s="1" t="s">
        <v>170</v>
      </c>
      <c r="C222" s="1" t="s">
        <v>171</v>
      </c>
      <c r="D222" s="1" t="s">
        <v>15</v>
      </c>
      <c r="E222" s="1" t="s">
        <v>75</v>
      </c>
      <c r="F222" s="1">
        <v>4</v>
      </c>
      <c r="G222" s="1" t="str">
        <f>CONCATENATE(Table1[[#This Row],[Duration_Years]]," ","years")</f>
        <v>4 years</v>
      </c>
      <c r="H222" s="11">
        <v>43500</v>
      </c>
      <c r="I222" s="1">
        <v>91.5</v>
      </c>
      <c r="J222" s="11">
        <v>2300</v>
      </c>
      <c r="K222" s="11">
        <v>160</v>
      </c>
      <c r="L222" s="11">
        <v>1500</v>
      </c>
      <c r="M222" s="22">
        <v>1</v>
      </c>
      <c r="N222" s="3" t="str">
        <f>IF(Table1[[#This Row],[Exchange_Rate]]&lt;5,"Strong Currency", IF(Table1[[#This Row],[Exchange_Rate]]&lt;=1000, "Medium Currency","Weak Currency"))</f>
        <v>Strong Currency</v>
      </c>
      <c r="O222" s="11">
        <f>(Table1[[#This Row],[Living_Cost_Index]]/123.3)*1850</f>
        <v>1372.8710462287104</v>
      </c>
      <c r="P222" s="11">
        <f>Table1[[#This Row],[Monthly_Estimated_Living_cost]]*12</f>
        <v>16474.452554744523</v>
      </c>
      <c r="Q222" s="13">
        <f>Table1[[#This Row],[Tuition_USD]]+Table1[[#This Row],[Rent_USD]]+Table1[[#This Row],[Insurance_USD]]+Table1[[#This Row],[Visa_Fee_USD]]+Table1[[#This Row],[Annual_Estimated_Living_cost]]</f>
        <v>63934.452554744523</v>
      </c>
    </row>
    <row r="223" spans="1:17" x14ac:dyDescent="0.25">
      <c r="A223" s="2" t="s">
        <v>12</v>
      </c>
      <c r="B223" s="1" t="s">
        <v>88</v>
      </c>
      <c r="C223" s="1" t="s">
        <v>89</v>
      </c>
      <c r="D223" s="1" t="s">
        <v>15</v>
      </c>
      <c r="E223" s="1" t="s">
        <v>75</v>
      </c>
      <c r="F223" s="1">
        <v>4</v>
      </c>
      <c r="G223" s="1" t="str">
        <f>CONCATENATE(Table1[[#This Row],[Duration_Years]]," ","years")</f>
        <v>4 years</v>
      </c>
      <c r="H223" s="11">
        <v>52000</v>
      </c>
      <c r="I223" s="1">
        <v>75.400000000000006</v>
      </c>
      <c r="J223" s="11">
        <v>1700</v>
      </c>
      <c r="K223" s="11">
        <v>160</v>
      </c>
      <c r="L223" s="11">
        <v>1500</v>
      </c>
      <c r="M223" s="22">
        <v>1</v>
      </c>
      <c r="N223" s="3" t="str">
        <f>IF(Table1[[#This Row],[Exchange_Rate]]&lt;5,"Strong Currency", IF(Table1[[#This Row],[Exchange_Rate]]&lt;=1000, "Medium Currency","Weak Currency"))</f>
        <v>Strong Currency</v>
      </c>
      <c r="O223" s="11">
        <f>(Table1[[#This Row],[Living_Cost_Index]]/123.3)*1850</f>
        <v>1131.3057583130576</v>
      </c>
      <c r="P223" s="11">
        <f>Table1[[#This Row],[Monthly_Estimated_Living_cost]]*12</f>
        <v>13575.669099756691</v>
      </c>
      <c r="Q223" s="13">
        <f>Table1[[#This Row],[Tuition_USD]]+Table1[[#This Row],[Rent_USD]]+Table1[[#This Row],[Insurance_USD]]+Table1[[#This Row],[Visa_Fee_USD]]+Table1[[#This Row],[Annual_Estimated_Living_cost]]</f>
        <v>68935.669099756691</v>
      </c>
    </row>
    <row r="224" spans="1:17" x14ac:dyDescent="0.25">
      <c r="A224" s="2" t="s">
        <v>12</v>
      </c>
      <c r="B224" s="1" t="s">
        <v>94</v>
      </c>
      <c r="C224" s="1" t="s">
        <v>512</v>
      </c>
      <c r="D224" s="1" t="s">
        <v>15</v>
      </c>
      <c r="E224" s="1" t="s">
        <v>75</v>
      </c>
      <c r="F224" s="1">
        <v>4</v>
      </c>
      <c r="G224" s="1" t="str">
        <f>CONCATENATE(Table1[[#This Row],[Duration_Years]]," ","years")</f>
        <v>4 years</v>
      </c>
      <c r="H224" s="11">
        <v>40500</v>
      </c>
      <c r="I224" s="1">
        <v>72.8</v>
      </c>
      <c r="J224" s="11">
        <v>1800</v>
      </c>
      <c r="K224" s="11">
        <v>160</v>
      </c>
      <c r="L224" s="11">
        <v>1500</v>
      </c>
      <c r="M224" s="22">
        <v>1</v>
      </c>
      <c r="N224" s="3" t="str">
        <f>IF(Table1[[#This Row],[Exchange_Rate]]&lt;5,"Strong Currency", IF(Table1[[#This Row],[Exchange_Rate]]&lt;=1000, "Medium Currency","Weak Currency"))</f>
        <v>Strong Currency</v>
      </c>
      <c r="O224" s="11">
        <f>(Table1[[#This Row],[Living_Cost_Index]]/123.3)*1850</f>
        <v>1092.2952149229523</v>
      </c>
      <c r="P224" s="11">
        <f>Table1[[#This Row],[Monthly_Estimated_Living_cost]]*12</f>
        <v>13107.542579075427</v>
      </c>
      <c r="Q224" s="13">
        <f>Table1[[#This Row],[Tuition_USD]]+Table1[[#This Row],[Rent_USD]]+Table1[[#This Row],[Insurance_USD]]+Table1[[#This Row],[Visa_Fee_USD]]+Table1[[#This Row],[Annual_Estimated_Living_cost]]</f>
        <v>57067.542579075423</v>
      </c>
    </row>
    <row r="225" spans="1:17" x14ac:dyDescent="0.25">
      <c r="A225" s="2" t="s">
        <v>12</v>
      </c>
      <c r="B225" s="1" t="s">
        <v>149</v>
      </c>
      <c r="C225" s="1" t="s">
        <v>150</v>
      </c>
      <c r="D225" s="1" t="s">
        <v>15</v>
      </c>
      <c r="E225" s="1" t="s">
        <v>75</v>
      </c>
      <c r="F225" s="1">
        <v>4</v>
      </c>
      <c r="G225" s="1" t="str">
        <f>CONCATENATE(Table1[[#This Row],[Duration_Years]]," ","years")</f>
        <v>4 years</v>
      </c>
      <c r="H225" s="11">
        <v>39800</v>
      </c>
      <c r="I225" s="1">
        <v>85.6</v>
      </c>
      <c r="J225" s="11">
        <v>2000</v>
      </c>
      <c r="K225" s="11">
        <v>160</v>
      </c>
      <c r="L225" s="11">
        <v>1500</v>
      </c>
      <c r="M225" s="22">
        <v>1</v>
      </c>
      <c r="N225" s="3" t="str">
        <f>IF(Table1[[#This Row],[Exchange_Rate]]&lt;5,"Strong Currency", IF(Table1[[#This Row],[Exchange_Rate]]&lt;=1000, "Medium Currency","Weak Currency"))</f>
        <v>Strong Currency</v>
      </c>
      <c r="O225" s="11">
        <f>(Table1[[#This Row],[Living_Cost_Index]]/123.3)*1850</f>
        <v>1284.3471208434712</v>
      </c>
      <c r="P225" s="11">
        <f>Table1[[#This Row],[Monthly_Estimated_Living_cost]]*12</f>
        <v>15412.165450121654</v>
      </c>
      <c r="Q225" s="13">
        <f>Table1[[#This Row],[Tuition_USD]]+Table1[[#This Row],[Rent_USD]]+Table1[[#This Row],[Insurance_USD]]+Table1[[#This Row],[Visa_Fee_USD]]+Table1[[#This Row],[Annual_Estimated_Living_cost]]</f>
        <v>58872.165450121654</v>
      </c>
    </row>
    <row r="226" spans="1:17" x14ac:dyDescent="0.25">
      <c r="A226" s="2" t="s">
        <v>12</v>
      </c>
      <c r="B226" s="1" t="s">
        <v>279</v>
      </c>
      <c r="C226" s="1" t="s">
        <v>513</v>
      </c>
      <c r="D226" s="1" t="s">
        <v>15</v>
      </c>
      <c r="E226" s="1" t="s">
        <v>75</v>
      </c>
      <c r="F226" s="1">
        <v>4</v>
      </c>
      <c r="G226" s="1" t="str">
        <f>CONCATENATE(Table1[[#This Row],[Duration_Years]]," ","years")</f>
        <v>4 years</v>
      </c>
      <c r="H226" s="11">
        <v>37500</v>
      </c>
      <c r="I226" s="1">
        <v>71.2</v>
      </c>
      <c r="J226" s="11">
        <v>1600</v>
      </c>
      <c r="K226" s="11">
        <v>160</v>
      </c>
      <c r="L226" s="11">
        <v>1500</v>
      </c>
      <c r="M226" s="22">
        <v>1</v>
      </c>
      <c r="N226" s="3" t="str">
        <f>IF(Table1[[#This Row],[Exchange_Rate]]&lt;5,"Strong Currency", IF(Table1[[#This Row],[Exchange_Rate]]&lt;=1000, "Medium Currency","Weak Currency"))</f>
        <v>Strong Currency</v>
      </c>
      <c r="O226" s="11">
        <f>(Table1[[#This Row],[Living_Cost_Index]]/123.3)*1850</f>
        <v>1068.2887266828873</v>
      </c>
      <c r="P226" s="11">
        <f>Table1[[#This Row],[Monthly_Estimated_Living_cost]]*12</f>
        <v>12819.464720194646</v>
      </c>
      <c r="Q226" s="13">
        <f>Table1[[#This Row],[Tuition_USD]]+Table1[[#This Row],[Rent_USD]]+Table1[[#This Row],[Insurance_USD]]+Table1[[#This Row],[Visa_Fee_USD]]+Table1[[#This Row],[Annual_Estimated_Living_cost]]</f>
        <v>53579.46472019465</v>
      </c>
    </row>
    <row r="227" spans="1:17" x14ac:dyDescent="0.25">
      <c r="A227" s="2" t="s">
        <v>12</v>
      </c>
      <c r="B227" s="1" t="s">
        <v>514</v>
      </c>
      <c r="C227" s="1" t="s">
        <v>515</v>
      </c>
      <c r="D227" s="1" t="s">
        <v>15</v>
      </c>
      <c r="E227" s="1" t="s">
        <v>75</v>
      </c>
      <c r="F227" s="1">
        <v>4</v>
      </c>
      <c r="G227" s="1" t="str">
        <f>CONCATENATE(Table1[[#This Row],[Duration_Years]]," ","years")</f>
        <v>4 years</v>
      </c>
      <c r="H227" s="11">
        <v>36800</v>
      </c>
      <c r="I227" s="1">
        <v>70.5</v>
      </c>
      <c r="J227" s="11">
        <v>1500</v>
      </c>
      <c r="K227" s="11">
        <v>160</v>
      </c>
      <c r="L227" s="11">
        <v>1500</v>
      </c>
      <c r="M227" s="22">
        <v>1</v>
      </c>
      <c r="N227" s="3" t="str">
        <f>IF(Table1[[#This Row],[Exchange_Rate]]&lt;5,"Strong Currency", IF(Table1[[#This Row],[Exchange_Rate]]&lt;=1000, "Medium Currency","Weak Currency"))</f>
        <v>Strong Currency</v>
      </c>
      <c r="O227" s="11">
        <f>(Table1[[#This Row],[Living_Cost_Index]]/123.3)*1850</f>
        <v>1057.7858880778588</v>
      </c>
      <c r="P227" s="11">
        <f>Table1[[#This Row],[Monthly_Estimated_Living_cost]]*12</f>
        <v>12693.430656934306</v>
      </c>
      <c r="Q227" s="13">
        <f>Table1[[#This Row],[Tuition_USD]]+Table1[[#This Row],[Rent_USD]]+Table1[[#This Row],[Insurance_USD]]+Table1[[#This Row],[Visa_Fee_USD]]+Table1[[#This Row],[Annual_Estimated_Living_cost]]</f>
        <v>52653.430656934303</v>
      </c>
    </row>
    <row r="228" spans="1:17" x14ac:dyDescent="0.25">
      <c r="A228" s="2" t="s">
        <v>12</v>
      </c>
      <c r="B228" s="1" t="s">
        <v>91</v>
      </c>
      <c r="C228" s="1" t="s">
        <v>92</v>
      </c>
      <c r="D228" s="1" t="s">
        <v>15</v>
      </c>
      <c r="E228" s="1" t="s">
        <v>75</v>
      </c>
      <c r="F228" s="1">
        <v>4</v>
      </c>
      <c r="G228" s="1" t="str">
        <f>CONCATENATE(Table1[[#This Row],[Duration_Years]]," ","years")</f>
        <v>4 years</v>
      </c>
      <c r="H228" s="11">
        <v>33500</v>
      </c>
      <c r="I228" s="1">
        <v>76.8</v>
      </c>
      <c r="J228" s="11">
        <v>1700</v>
      </c>
      <c r="K228" s="11">
        <v>160</v>
      </c>
      <c r="L228" s="11">
        <v>1500</v>
      </c>
      <c r="M228" s="22">
        <v>1</v>
      </c>
      <c r="N228" s="3" t="str">
        <f>IF(Table1[[#This Row],[Exchange_Rate]]&lt;5,"Strong Currency", IF(Table1[[#This Row],[Exchange_Rate]]&lt;=1000, "Medium Currency","Weak Currency"))</f>
        <v>Strong Currency</v>
      </c>
      <c r="O228" s="11">
        <f>(Table1[[#This Row],[Living_Cost_Index]]/123.3)*1850</f>
        <v>1152.3114355231144</v>
      </c>
      <c r="P228" s="11">
        <f>Table1[[#This Row],[Monthly_Estimated_Living_cost]]*12</f>
        <v>13827.737226277372</v>
      </c>
      <c r="Q228" s="13">
        <f>Table1[[#This Row],[Tuition_USD]]+Table1[[#This Row],[Rent_USD]]+Table1[[#This Row],[Insurance_USD]]+Table1[[#This Row],[Visa_Fee_USD]]+Table1[[#This Row],[Annual_Estimated_Living_cost]]</f>
        <v>50687.737226277372</v>
      </c>
    </row>
    <row r="229" spans="1:17" x14ac:dyDescent="0.25">
      <c r="A229" s="2" t="s">
        <v>12</v>
      </c>
      <c r="B229" s="1" t="s">
        <v>516</v>
      </c>
      <c r="C229" s="1" t="s">
        <v>517</v>
      </c>
      <c r="D229" s="1" t="s">
        <v>15</v>
      </c>
      <c r="E229" s="1" t="s">
        <v>75</v>
      </c>
      <c r="F229" s="1">
        <v>4</v>
      </c>
      <c r="G229" s="1" t="str">
        <f>CONCATENATE(Table1[[#This Row],[Duration_Years]]," ","years")</f>
        <v>4 years</v>
      </c>
      <c r="H229" s="11">
        <v>32800</v>
      </c>
      <c r="I229" s="1">
        <v>71.400000000000006</v>
      </c>
      <c r="J229" s="11">
        <v>1400</v>
      </c>
      <c r="K229" s="11">
        <v>160</v>
      </c>
      <c r="L229" s="11">
        <v>1500</v>
      </c>
      <c r="M229" s="22">
        <v>1</v>
      </c>
      <c r="N229" s="3" t="str">
        <f>IF(Table1[[#This Row],[Exchange_Rate]]&lt;5,"Strong Currency", IF(Table1[[#This Row],[Exchange_Rate]]&lt;=1000, "Medium Currency","Weak Currency"))</f>
        <v>Strong Currency</v>
      </c>
      <c r="O229" s="11">
        <f>(Table1[[#This Row],[Living_Cost_Index]]/123.3)*1850</f>
        <v>1071.2895377128955</v>
      </c>
      <c r="P229" s="11">
        <f>Table1[[#This Row],[Monthly_Estimated_Living_cost]]*12</f>
        <v>12855.474452554747</v>
      </c>
      <c r="Q229" s="13">
        <f>Table1[[#This Row],[Tuition_USD]]+Table1[[#This Row],[Rent_USD]]+Table1[[#This Row],[Insurance_USD]]+Table1[[#This Row],[Visa_Fee_USD]]+Table1[[#This Row],[Annual_Estimated_Living_cost]]</f>
        <v>48715.474452554743</v>
      </c>
    </row>
    <row r="230" spans="1:17" x14ac:dyDescent="0.25">
      <c r="A230" s="2" t="s">
        <v>12</v>
      </c>
      <c r="B230" s="1" t="s">
        <v>518</v>
      </c>
      <c r="C230" s="1" t="s">
        <v>519</v>
      </c>
      <c r="D230" s="1" t="s">
        <v>15</v>
      </c>
      <c r="E230" s="1" t="s">
        <v>75</v>
      </c>
      <c r="F230" s="1">
        <v>4</v>
      </c>
      <c r="G230" s="1" t="str">
        <f>CONCATENATE(Table1[[#This Row],[Duration_Years]]," ","years")</f>
        <v>4 years</v>
      </c>
      <c r="H230" s="11">
        <v>31500</v>
      </c>
      <c r="I230" s="1">
        <v>68.900000000000006</v>
      </c>
      <c r="J230" s="11">
        <v>1300</v>
      </c>
      <c r="K230" s="11">
        <v>160</v>
      </c>
      <c r="L230" s="11">
        <v>1500</v>
      </c>
      <c r="M230" s="22">
        <v>1</v>
      </c>
      <c r="N230" s="3" t="str">
        <f>IF(Table1[[#This Row],[Exchange_Rate]]&lt;5,"Strong Currency", IF(Table1[[#This Row],[Exchange_Rate]]&lt;=1000, "Medium Currency","Weak Currency"))</f>
        <v>Strong Currency</v>
      </c>
      <c r="O230" s="11">
        <f>(Table1[[#This Row],[Living_Cost_Index]]/123.3)*1850</f>
        <v>1033.779399837794</v>
      </c>
      <c r="P230" s="11">
        <f>Table1[[#This Row],[Monthly_Estimated_Living_cost]]*12</f>
        <v>12405.352798053529</v>
      </c>
      <c r="Q230" s="13">
        <f>Table1[[#This Row],[Tuition_USD]]+Table1[[#This Row],[Rent_USD]]+Table1[[#This Row],[Insurance_USD]]+Table1[[#This Row],[Visa_Fee_USD]]+Table1[[#This Row],[Annual_Estimated_Living_cost]]</f>
        <v>46865.352798053529</v>
      </c>
    </row>
    <row r="231" spans="1:17" x14ac:dyDescent="0.25">
      <c r="A231" s="2" t="s">
        <v>12</v>
      </c>
      <c r="B231" s="1" t="s">
        <v>520</v>
      </c>
      <c r="C231" s="1" t="s">
        <v>521</v>
      </c>
      <c r="D231" s="1" t="s">
        <v>15</v>
      </c>
      <c r="E231" s="1" t="s">
        <v>75</v>
      </c>
      <c r="F231" s="1">
        <v>4</v>
      </c>
      <c r="G231" s="1" t="str">
        <f>CONCATENATE(Table1[[#This Row],[Duration_Years]]," ","years")</f>
        <v>4 years</v>
      </c>
      <c r="H231" s="11">
        <v>28500</v>
      </c>
      <c r="I231" s="1">
        <v>70.2</v>
      </c>
      <c r="J231" s="11">
        <v>1400</v>
      </c>
      <c r="K231" s="11">
        <v>160</v>
      </c>
      <c r="L231" s="11">
        <v>1500</v>
      </c>
      <c r="M231" s="22">
        <v>1</v>
      </c>
      <c r="N231" s="3" t="str">
        <f>IF(Table1[[#This Row],[Exchange_Rate]]&lt;5,"Strong Currency", IF(Table1[[#This Row],[Exchange_Rate]]&lt;=1000, "Medium Currency","Weak Currency"))</f>
        <v>Strong Currency</v>
      </c>
      <c r="O231" s="11">
        <f>(Table1[[#This Row],[Living_Cost_Index]]/123.3)*1850</f>
        <v>1053.2846715328469</v>
      </c>
      <c r="P231" s="11">
        <f>Table1[[#This Row],[Monthly_Estimated_Living_cost]]*12</f>
        <v>12639.416058394163</v>
      </c>
      <c r="Q231" s="13">
        <f>Table1[[#This Row],[Tuition_USD]]+Table1[[#This Row],[Rent_USD]]+Table1[[#This Row],[Insurance_USD]]+Table1[[#This Row],[Visa_Fee_USD]]+Table1[[#This Row],[Annual_Estimated_Living_cost]]</f>
        <v>44199.416058394163</v>
      </c>
    </row>
    <row r="232" spans="1:17" x14ac:dyDescent="0.25">
      <c r="A232" s="2" t="s">
        <v>12</v>
      </c>
      <c r="B232" s="1" t="s">
        <v>281</v>
      </c>
      <c r="C232" s="1" t="s">
        <v>282</v>
      </c>
      <c r="D232" s="1" t="s">
        <v>15</v>
      </c>
      <c r="E232" s="1" t="s">
        <v>75</v>
      </c>
      <c r="F232" s="1">
        <v>4</v>
      </c>
      <c r="G232" s="1" t="str">
        <f>CONCATENATE(Table1[[#This Row],[Duration_Years]]," ","years")</f>
        <v>4 years</v>
      </c>
      <c r="H232" s="11">
        <v>28000</v>
      </c>
      <c r="I232" s="1">
        <v>72.5</v>
      </c>
      <c r="J232" s="11">
        <v>1500</v>
      </c>
      <c r="K232" s="11">
        <v>160</v>
      </c>
      <c r="L232" s="11">
        <v>1500</v>
      </c>
      <c r="M232" s="22">
        <v>1</v>
      </c>
      <c r="N232" s="3" t="str">
        <f>IF(Table1[[#This Row],[Exchange_Rate]]&lt;5,"Strong Currency", IF(Table1[[#This Row],[Exchange_Rate]]&lt;=1000, "Medium Currency","Weak Currency"))</f>
        <v>Strong Currency</v>
      </c>
      <c r="O232" s="11">
        <f>(Table1[[#This Row],[Living_Cost_Index]]/123.3)*1850</f>
        <v>1087.7939983779399</v>
      </c>
      <c r="P232" s="11">
        <f>Table1[[#This Row],[Monthly_Estimated_Living_cost]]*12</f>
        <v>13053.52798053528</v>
      </c>
      <c r="Q232" s="13">
        <f>Table1[[#This Row],[Tuition_USD]]+Table1[[#This Row],[Rent_USD]]+Table1[[#This Row],[Insurance_USD]]+Table1[[#This Row],[Visa_Fee_USD]]+Table1[[#This Row],[Annual_Estimated_Living_cost]]</f>
        <v>44213.527980535277</v>
      </c>
    </row>
    <row r="233" spans="1:17" x14ac:dyDescent="0.25">
      <c r="A233" s="2" t="s">
        <v>12</v>
      </c>
      <c r="B233" s="1" t="s">
        <v>522</v>
      </c>
      <c r="C233" s="1" t="s">
        <v>523</v>
      </c>
      <c r="D233" s="1" t="s">
        <v>15</v>
      </c>
      <c r="E233" s="1" t="s">
        <v>75</v>
      </c>
      <c r="F233" s="1">
        <v>4</v>
      </c>
      <c r="G233" s="1" t="str">
        <f>CONCATENATE(Table1[[#This Row],[Duration_Years]]," ","years")</f>
        <v>4 years</v>
      </c>
      <c r="H233" s="11">
        <v>27500</v>
      </c>
      <c r="I233" s="1">
        <v>71.8</v>
      </c>
      <c r="J233" s="11">
        <v>1400</v>
      </c>
      <c r="K233" s="11">
        <v>160</v>
      </c>
      <c r="L233" s="11">
        <v>1500</v>
      </c>
      <c r="M233" s="22">
        <v>1</v>
      </c>
      <c r="N233" s="3" t="str">
        <f>IF(Table1[[#This Row],[Exchange_Rate]]&lt;5,"Strong Currency", IF(Table1[[#This Row],[Exchange_Rate]]&lt;=1000, "Medium Currency","Weak Currency"))</f>
        <v>Strong Currency</v>
      </c>
      <c r="O233" s="11">
        <f>(Table1[[#This Row],[Living_Cost_Index]]/123.3)*1850</f>
        <v>1077.2911597729117</v>
      </c>
      <c r="P233" s="11">
        <f>Table1[[#This Row],[Monthly_Estimated_Living_cost]]*12</f>
        <v>12927.49391727494</v>
      </c>
      <c r="Q233" s="13">
        <f>Table1[[#This Row],[Tuition_USD]]+Table1[[#This Row],[Rent_USD]]+Table1[[#This Row],[Insurance_USD]]+Table1[[#This Row],[Visa_Fee_USD]]+Table1[[#This Row],[Annual_Estimated_Living_cost]]</f>
        <v>43487.493917274944</v>
      </c>
    </row>
    <row r="234" spans="1:17" x14ac:dyDescent="0.25">
      <c r="A234" s="2" t="s">
        <v>12</v>
      </c>
      <c r="B234" s="1" t="s">
        <v>524</v>
      </c>
      <c r="C234" s="1" t="s">
        <v>525</v>
      </c>
      <c r="D234" s="1" t="s">
        <v>15</v>
      </c>
      <c r="E234" s="1" t="s">
        <v>75</v>
      </c>
      <c r="F234" s="1">
        <v>4</v>
      </c>
      <c r="G234" s="1" t="str">
        <f>CONCATENATE(Table1[[#This Row],[Duration_Years]]," ","years")</f>
        <v>4 years</v>
      </c>
      <c r="H234" s="11">
        <v>27000</v>
      </c>
      <c r="I234" s="1">
        <v>69.5</v>
      </c>
      <c r="J234" s="11">
        <v>1300</v>
      </c>
      <c r="K234" s="11">
        <v>160</v>
      </c>
      <c r="L234" s="11">
        <v>1500</v>
      </c>
      <c r="M234" s="22">
        <v>1</v>
      </c>
      <c r="N234" s="3" t="str">
        <f>IF(Table1[[#This Row],[Exchange_Rate]]&lt;5,"Strong Currency", IF(Table1[[#This Row],[Exchange_Rate]]&lt;=1000, "Medium Currency","Weak Currency"))</f>
        <v>Strong Currency</v>
      </c>
      <c r="O234" s="11">
        <f>(Table1[[#This Row],[Living_Cost_Index]]/123.3)*1850</f>
        <v>1042.7818329278184</v>
      </c>
      <c r="P234" s="11">
        <f>Table1[[#This Row],[Monthly_Estimated_Living_cost]]*12</f>
        <v>12513.381995133821</v>
      </c>
      <c r="Q234" s="13">
        <f>Table1[[#This Row],[Tuition_USD]]+Table1[[#This Row],[Rent_USD]]+Table1[[#This Row],[Insurance_USD]]+Table1[[#This Row],[Visa_Fee_USD]]+Table1[[#This Row],[Annual_Estimated_Living_cost]]</f>
        <v>42473.381995133823</v>
      </c>
    </row>
    <row r="235" spans="1:17" x14ac:dyDescent="0.25">
      <c r="A235" s="2" t="s">
        <v>12</v>
      </c>
      <c r="B235" s="1" t="s">
        <v>526</v>
      </c>
      <c r="C235" s="1" t="s">
        <v>527</v>
      </c>
      <c r="D235" s="1" t="s">
        <v>15</v>
      </c>
      <c r="E235" s="1" t="s">
        <v>75</v>
      </c>
      <c r="F235" s="1">
        <v>4</v>
      </c>
      <c r="G235" s="1" t="str">
        <f>CONCATENATE(Table1[[#This Row],[Duration_Years]]," ","years")</f>
        <v>4 years</v>
      </c>
      <c r="H235" s="11">
        <v>26500</v>
      </c>
      <c r="I235" s="1">
        <v>70.099999999999994</v>
      </c>
      <c r="J235" s="11">
        <v>1300</v>
      </c>
      <c r="K235" s="11">
        <v>160</v>
      </c>
      <c r="L235" s="11">
        <v>1500</v>
      </c>
      <c r="M235" s="22">
        <v>1</v>
      </c>
      <c r="N235" s="3" t="str">
        <f>IF(Table1[[#This Row],[Exchange_Rate]]&lt;5,"Strong Currency", IF(Table1[[#This Row],[Exchange_Rate]]&lt;=1000, "Medium Currency","Weak Currency"))</f>
        <v>Strong Currency</v>
      </c>
      <c r="O235" s="11">
        <f>(Table1[[#This Row],[Living_Cost_Index]]/123.3)*1850</f>
        <v>1051.7842660178426</v>
      </c>
      <c r="P235" s="11">
        <f>Table1[[#This Row],[Monthly_Estimated_Living_cost]]*12</f>
        <v>12621.411192214111</v>
      </c>
      <c r="Q235" s="13">
        <f>Table1[[#This Row],[Tuition_USD]]+Table1[[#This Row],[Rent_USD]]+Table1[[#This Row],[Insurance_USD]]+Table1[[#This Row],[Visa_Fee_USD]]+Table1[[#This Row],[Annual_Estimated_Living_cost]]</f>
        <v>42081.411192214109</v>
      </c>
    </row>
    <row r="236" spans="1:17" x14ac:dyDescent="0.25">
      <c r="A236" s="2" t="s">
        <v>17</v>
      </c>
      <c r="B236" s="1" t="s">
        <v>13</v>
      </c>
      <c r="C236" s="1" t="s">
        <v>127</v>
      </c>
      <c r="D236" s="1" t="s">
        <v>15</v>
      </c>
      <c r="E236" s="1" t="s">
        <v>75</v>
      </c>
      <c r="F236" s="1">
        <v>3</v>
      </c>
      <c r="G236" s="1" t="str">
        <f>CONCATENATE(Table1[[#This Row],[Duration_Years]]," ","years")</f>
        <v>3 years</v>
      </c>
      <c r="H236" s="11">
        <v>38500</v>
      </c>
      <c r="I236" s="1">
        <v>78.5</v>
      </c>
      <c r="J236" s="11">
        <v>1800</v>
      </c>
      <c r="K236" s="11">
        <v>490</v>
      </c>
      <c r="L236" s="11">
        <v>800</v>
      </c>
      <c r="M236" s="22">
        <v>0.79</v>
      </c>
      <c r="N236" s="3" t="str">
        <f>IF(Table1[[#This Row],[Exchange_Rate]]&lt;5,"Strong Currency", IF(Table1[[#This Row],[Exchange_Rate]]&lt;=1000, "Medium Currency","Weak Currency"))</f>
        <v>Strong Currency</v>
      </c>
      <c r="O236" s="11">
        <f>(Table1[[#This Row],[Living_Cost_Index]]/123.3)*1850</f>
        <v>1177.8183292781832</v>
      </c>
      <c r="P236" s="11">
        <f>Table1[[#This Row],[Monthly_Estimated_Living_cost]]*12</f>
        <v>14133.819951338199</v>
      </c>
      <c r="Q236" s="13">
        <f>Table1[[#This Row],[Tuition_USD]]+Table1[[#This Row],[Rent_USD]]+Table1[[#This Row],[Insurance_USD]]+Table1[[#This Row],[Visa_Fee_USD]]+Table1[[#This Row],[Annual_Estimated_Living_cost]]</f>
        <v>55723.819951338199</v>
      </c>
    </row>
    <row r="237" spans="1:17" x14ac:dyDescent="0.25">
      <c r="A237" s="2" t="s">
        <v>17</v>
      </c>
      <c r="B237" s="1" t="s">
        <v>125</v>
      </c>
      <c r="C237" s="1" t="s">
        <v>126</v>
      </c>
      <c r="D237" s="1" t="s">
        <v>15</v>
      </c>
      <c r="E237" s="1" t="s">
        <v>75</v>
      </c>
      <c r="F237" s="1">
        <v>3</v>
      </c>
      <c r="G237" s="1" t="str">
        <f>CONCATENATE(Table1[[#This Row],[Duration_Years]]," ","years")</f>
        <v>3 years</v>
      </c>
      <c r="H237" s="11">
        <v>37900</v>
      </c>
      <c r="I237" s="1">
        <v>77.8</v>
      </c>
      <c r="J237" s="11">
        <v>1850</v>
      </c>
      <c r="K237" s="11">
        <v>490</v>
      </c>
      <c r="L237" s="11">
        <v>800</v>
      </c>
      <c r="M237" s="22">
        <v>0.79</v>
      </c>
      <c r="N237" s="3" t="str">
        <f>IF(Table1[[#This Row],[Exchange_Rate]]&lt;5,"Strong Currency", IF(Table1[[#This Row],[Exchange_Rate]]&lt;=1000, "Medium Currency","Weak Currency"))</f>
        <v>Strong Currency</v>
      </c>
      <c r="O237" s="11">
        <f>(Table1[[#This Row],[Living_Cost_Index]]/123.3)*1850</f>
        <v>1167.315490673155</v>
      </c>
      <c r="P237" s="11">
        <f>Table1[[#This Row],[Monthly_Estimated_Living_cost]]*12</f>
        <v>14007.785888077859</v>
      </c>
      <c r="Q237" s="13">
        <f>Table1[[#This Row],[Tuition_USD]]+Table1[[#This Row],[Rent_USD]]+Table1[[#This Row],[Insurance_USD]]+Table1[[#This Row],[Visa_Fee_USD]]+Table1[[#This Row],[Annual_Estimated_Living_cost]]</f>
        <v>55047.785888077859</v>
      </c>
    </row>
    <row r="238" spans="1:17" x14ac:dyDescent="0.25">
      <c r="A238" s="2" t="s">
        <v>17</v>
      </c>
      <c r="B238" s="1" t="s">
        <v>18</v>
      </c>
      <c r="C238" s="1" t="s">
        <v>19</v>
      </c>
      <c r="D238" s="1" t="s">
        <v>15</v>
      </c>
      <c r="E238" s="1" t="s">
        <v>75</v>
      </c>
      <c r="F238" s="1">
        <v>3</v>
      </c>
      <c r="G238" s="1" t="str">
        <f>CONCATENATE(Table1[[#This Row],[Duration_Years]]," ","years")</f>
        <v>3 years</v>
      </c>
      <c r="H238" s="11">
        <v>37500</v>
      </c>
      <c r="I238" s="1">
        <v>83.2</v>
      </c>
      <c r="J238" s="11">
        <v>2200</v>
      </c>
      <c r="K238" s="11">
        <v>490</v>
      </c>
      <c r="L238" s="11">
        <v>800</v>
      </c>
      <c r="M238" s="22">
        <v>0.79</v>
      </c>
      <c r="N238" s="3" t="str">
        <f>IF(Table1[[#This Row],[Exchange_Rate]]&lt;5,"Strong Currency", IF(Table1[[#This Row],[Exchange_Rate]]&lt;=1000, "Medium Currency","Weak Currency"))</f>
        <v>Strong Currency</v>
      </c>
      <c r="O238" s="11">
        <f>(Table1[[#This Row],[Living_Cost_Index]]/123.3)*1850</f>
        <v>1248.3373884833738</v>
      </c>
      <c r="P238" s="11">
        <f>Table1[[#This Row],[Monthly_Estimated_Living_cost]]*12</f>
        <v>14980.048661800487</v>
      </c>
      <c r="Q238" s="13">
        <f>Table1[[#This Row],[Tuition_USD]]+Table1[[#This Row],[Rent_USD]]+Table1[[#This Row],[Insurance_USD]]+Table1[[#This Row],[Visa_Fee_USD]]+Table1[[#This Row],[Annual_Estimated_Living_cost]]</f>
        <v>55970.048661800487</v>
      </c>
    </row>
    <row r="239" spans="1:17" x14ac:dyDescent="0.25">
      <c r="A239" s="2" t="s">
        <v>17</v>
      </c>
      <c r="B239" s="1" t="s">
        <v>18</v>
      </c>
      <c r="C239" s="1" t="s">
        <v>289</v>
      </c>
      <c r="D239" s="1" t="s">
        <v>15</v>
      </c>
      <c r="E239" s="1" t="s">
        <v>75</v>
      </c>
      <c r="F239" s="1">
        <v>3</v>
      </c>
      <c r="G239" s="1" t="str">
        <f>CONCATENATE(Table1[[#This Row],[Duration_Years]]," ","years")</f>
        <v>3 years</v>
      </c>
      <c r="H239" s="11">
        <v>36800</v>
      </c>
      <c r="I239" s="1">
        <v>83.2</v>
      </c>
      <c r="J239" s="11">
        <v>2100</v>
      </c>
      <c r="K239" s="11">
        <v>490</v>
      </c>
      <c r="L239" s="11">
        <v>800</v>
      </c>
      <c r="M239" s="22">
        <v>0.79</v>
      </c>
      <c r="N239" s="3" t="str">
        <f>IF(Table1[[#This Row],[Exchange_Rate]]&lt;5,"Strong Currency", IF(Table1[[#This Row],[Exchange_Rate]]&lt;=1000, "Medium Currency","Weak Currency"))</f>
        <v>Strong Currency</v>
      </c>
      <c r="O239" s="11">
        <f>(Table1[[#This Row],[Living_Cost_Index]]/123.3)*1850</f>
        <v>1248.3373884833738</v>
      </c>
      <c r="P239" s="11">
        <f>Table1[[#This Row],[Monthly_Estimated_Living_cost]]*12</f>
        <v>14980.048661800487</v>
      </c>
      <c r="Q239" s="13">
        <f>Table1[[#This Row],[Tuition_USD]]+Table1[[#This Row],[Rent_USD]]+Table1[[#This Row],[Insurance_USD]]+Table1[[#This Row],[Visa_Fee_USD]]+Table1[[#This Row],[Annual_Estimated_Living_cost]]</f>
        <v>55170.048661800487</v>
      </c>
    </row>
    <row r="240" spans="1:17" x14ac:dyDescent="0.25">
      <c r="A240" s="2" t="s">
        <v>17</v>
      </c>
      <c r="B240" s="1" t="s">
        <v>18</v>
      </c>
      <c r="C240" s="1" t="s">
        <v>528</v>
      </c>
      <c r="D240" s="1" t="s">
        <v>15</v>
      </c>
      <c r="E240" s="1" t="s">
        <v>75</v>
      </c>
      <c r="F240" s="1">
        <v>3</v>
      </c>
      <c r="G240" s="1" t="str">
        <f>CONCATENATE(Table1[[#This Row],[Duration_Years]]," ","years")</f>
        <v>3 years</v>
      </c>
      <c r="H240" s="11">
        <v>35500</v>
      </c>
      <c r="I240" s="1">
        <v>83.2</v>
      </c>
      <c r="J240" s="11">
        <v>2000</v>
      </c>
      <c r="K240" s="11">
        <v>490</v>
      </c>
      <c r="L240" s="11">
        <v>800</v>
      </c>
      <c r="M240" s="22">
        <v>0.79</v>
      </c>
      <c r="N240" s="3" t="str">
        <f>IF(Table1[[#This Row],[Exchange_Rate]]&lt;5,"Strong Currency", IF(Table1[[#This Row],[Exchange_Rate]]&lt;=1000, "Medium Currency","Weak Currency"))</f>
        <v>Strong Currency</v>
      </c>
      <c r="O240" s="11">
        <f>(Table1[[#This Row],[Living_Cost_Index]]/123.3)*1850</f>
        <v>1248.3373884833738</v>
      </c>
      <c r="P240" s="11">
        <f>Table1[[#This Row],[Monthly_Estimated_Living_cost]]*12</f>
        <v>14980.048661800487</v>
      </c>
      <c r="Q240" s="13">
        <f>Table1[[#This Row],[Tuition_USD]]+Table1[[#This Row],[Rent_USD]]+Table1[[#This Row],[Insurance_USD]]+Table1[[#This Row],[Visa_Fee_USD]]+Table1[[#This Row],[Annual_Estimated_Living_cost]]</f>
        <v>53770.048661800487</v>
      </c>
    </row>
    <row r="241" spans="1:17" x14ac:dyDescent="0.25">
      <c r="A241" s="2" t="s">
        <v>17</v>
      </c>
      <c r="B241" s="1" t="s">
        <v>529</v>
      </c>
      <c r="C241" s="1" t="s">
        <v>530</v>
      </c>
      <c r="D241" s="1" t="s">
        <v>15</v>
      </c>
      <c r="E241" s="1" t="s">
        <v>75</v>
      </c>
      <c r="F241" s="1">
        <v>4</v>
      </c>
      <c r="G241" s="1" t="str">
        <f>CONCATENATE(Table1[[#This Row],[Duration_Years]]," ","years")</f>
        <v>4 years</v>
      </c>
      <c r="H241" s="11">
        <v>32500</v>
      </c>
      <c r="I241" s="1">
        <v>75.400000000000006</v>
      </c>
      <c r="J241" s="11">
        <v>1600</v>
      </c>
      <c r="K241" s="11">
        <v>490</v>
      </c>
      <c r="L241" s="11">
        <v>800</v>
      </c>
      <c r="M241" s="22">
        <v>0.79</v>
      </c>
      <c r="N241" s="3" t="str">
        <f>IF(Table1[[#This Row],[Exchange_Rate]]&lt;5,"Strong Currency", IF(Table1[[#This Row],[Exchange_Rate]]&lt;=1000, "Medium Currency","Weak Currency"))</f>
        <v>Strong Currency</v>
      </c>
      <c r="O241" s="11">
        <f>(Table1[[#This Row],[Living_Cost_Index]]/123.3)*1850</f>
        <v>1131.3057583130576</v>
      </c>
      <c r="P241" s="11">
        <f>Table1[[#This Row],[Monthly_Estimated_Living_cost]]*12</f>
        <v>13575.669099756691</v>
      </c>
      <c r="Q241" s="13">
        <f>Table1[[#This Row],[Tuition_USD]]+Table1[[#This Row],[Rent_USD]]+Table1[[#This Row],[Insurance_USD]]+Table1[[#This Row],[Visa_Fee_USD]]+Table1[[#This Row],[Annual_Estimated_Living_cost]]</f>
        <v>48965.669099756691</v>
      </c>
    </row>
    <row r="242" spans="1:17" x14ac:dyDescent="0.25">
      <c r="A242" s="2" t="s">
        <v>17</v>
      </c>
      <c r="B242" s="1" t="s">
        <v>172</v>
      </c>
      <c r="C242" s="1" t="s">
        <v>173</v>
      </c>
      <c r="D242" s="1" t="s">
        <v>15</v>
      </c>
      <c r="E242" s="1" t="s">
        <v>75</v>
      </c>
      <c r="F242" s="1">
        <v>3</v>
      </c>
      <c r="G242" s="1" t="str">
        <f>CONCATENATE(Table1[[#This Row],[Duration_Years]]," ","years")</f>
        <v>3 years</v>
      </c>
      <c r="H242" s="11">
        <v>31800</v>
      </c>
      <c r="I242" s="1">
        <v>72.099999999999994</v>
      </c>
      <c r="J242" s="11">
        <v>1400</v>
      </c>
      <c r="K242" s="11">
        <v>490</v>
      </c>
      <c r="L242" s="11">
        <v>800</v>
      </c>
      <c r="M242" s="22">
        <v>0.79</v>
      </c>
      <c r="N242" s="3" t="str">
        <f>IF(Table1[[#This Row],[Exchange_Rate]]&lt;5,"Strong Currency", IF(Table1[[#This Row],[Exchange_Rate]]&lt;=1000, "Medium Currency","Weak Currency"))</f>
        <v>Strong Currency</v>
      </c>
      <c r="O242" s="11">
        <f>(Table1[[#This Row],[Living_Cost_Index]]/123.3)*1850</f>
        <v>1081.7923763179238</v>
      </c>
      <c r="P242" s="11">
        <f>Table1[[#This Row],[Monthly_Estimated_Living_cost]]*12</f>
        <v>12981.508515815085</v>
      </c>
      <c r="Q242" s="13">
        <f>Table1[[#This Row],[Tuition_USD]]+Table1[[#This Row],[Rent_USD]]+Table1[[#This Row],[Insurance_USD]]+Table1[[#This Row],[Visa_Fee_USD]]+Table1[[#This Row],[Annual_Estimated_Living_cost]]</f>
        <v>47471.508515815083</v>
      </c>
    </row>
    <row r="243" spans="1:17" x14ac:dyDescent="0.25">
      <c r="A243" s="2" t="s">
        <v>17</v>
      </c>
      <c r="B243" s="1" t="s">
        <v>97</v>
      </c>
      <c r="C243" s="1" t="s">
        <v>98</v>
      </c>
      <c r="D243" s="1" t="s">
        <v>15</v>
      </c>
      <c r="E243" s="1" t="s">
        <v>75</v>
      </c>
      <c r="F243" s="1">
        <v>3</v>
      </c>
      <c r="G243" s="1" t="str">
        <f>CONCATENATE(Table1[[#This Row],[Duration_Years]]," ","years")</f>
        <v>3 years</v>
      </c>
      <c r="H243" s="11">
        <v>31500</v>
      </c>
      <c r="I243" s="1">
        <v>74.8</v>
      </c>
      <c r="J243" s="11">
        <v>1500</v>
      </c>
      <c r="K243" s="11">
        <v>490</v>
      </c>
      <c r="L243" s="11">
        <v>800</v>
      </c>
      <c r="M243" s="22">
        <v>0.79</v>
      </c>
      <c r="N243" s="3" t="str">
        <f>IF(Table1[[#This Row],[Exchange_Rate]]&lt;5,"Strong Currency", IF(Table1[[#This Row],[Exchange_Rate]]&lt;=1000, "Medium Currency","Weak Currency"))</f>
        <v>Strong Currency</v>
      </c>
      <c r="O243" s="11">
        <f>(Table1[[#This Row],[Living_Cost_Index]]/123.3)*1850</f>
        <v>1122.3033252230332</v>
      </c>
      <c r="P243" s="11">
        <f>Table1[[#This Row],[Monthly_Estimated_Living_cost]]*12</f>
        <v>13467.639902676397</v>
      </c>
      <c r="Q243" s="13">
        <f>Table1[[#This Row],[Tuition_USD]]+Table1[[#This Row],[Rent_USD]]+Table1[[#This Row],[Insurance_USD]]+Table1[[#This Row],[Visa_Fee_USD]]+Table1[[#This Row],[Annual_Estimated_Living_cost]]</f>
        <v>47757.639902676397</v>
      </c>
    </row>
    <row r="244" spans="1:17" x14ac:dyDescent="0.25">
      <c r="A244" s="2" t="s">
        <v>17</v>
      </c>
      <c r="B244" s="1" t="s">
        <v>292</v>
      </c>
      <c r="C244" s="1" t="s">
        <v>293</v>
      </c>
      <c r="D244" s="1" t="s">
        <v>15</v>
      </c>
      <c r="E244" s="1" t="s">
        <v>75</v>
      </c>
      <c r="F244" s="1">
        <v>3</v>
      </c>
      <c r="G244" s="1" t="str">
        <f>CONCATENATE(Table1[[#This Row],[Duration_Years]]," ","years")</f>
        <v>3 years</v>
      </c>
      <c r="H244" s="11">
        <v>31200</v>
      </c>
      <c r="I244" s="1">
        <v>71.5</v>
      </c>
      <c r="J244" s="11">
        <v>1300</v>
      </c>
      <c r="K244" s="11">
        <v>490</v>
      </c>
      <c r="L244" s="11">
        <v>800</v>
      </c>
      <c r="M244" s="22">
        <v>0.79</v>
      </c>
      <c r="N244" s="3" t="str">
        <f>IF(Table1[[#This Row],[Exchange_Rate]]&lt;5,"Strong Currency", IF(Table1[[#This Row],[Exchange_Rate]]&lt;=1000, "Medium Currency","Weak Currency"))</f>
        <v>Strong Currency</v>
      </c>
      <c r="O244" s="11">
        <f>(Table1[[#This Row],[Living_Cost_Index]]/123.3)*1850</f>
        <v>1072.7899432278994</v>
      </c>
      <c r="P244" s="11">
        <f>Table1[[#This Row],[Monthly_Estimated_Living_cost]]*12</f>
        <v>12873.479318734793</v>
      </c>
      <c r="Q244" s="13">
        <f>Table1[[#This Row],[Tuition_USD]]+Table1[[#This Row],[Rent_USD]]+Table1[[#This Row],[Insurance_USD]]+Table1[[#This Row],[Visa_Fee_USD]]+Table1[[#This Row],[Annual_Estimated_Living_cost]]</f>
        <v>46663.479318734797</v>
      </c>
    </row>
    <row r="245" spans="1:17" x14ac:dyDescent="0.25">
      <c r="A245" s="2" t="s">
        <v>17</v>
      </c>
      <c r="B245" s="1" t="s">
        <v>153</v>
      </c>
      <c r="C245" s="1" t="s">
        <v>154</v>
      </c>
      <c r="D245" s="1" t="s">
        <v>15</v>
      </c>
      <c r="E245" s="1" t="s">
        <v>75</v>
      </c>
      <c r="F245" s="1">
        <v>4</v>
      </c>
      <c r="G245" s="1" t="str">
        <f>CONCATENATE(Table1[[#This Row],[Duration_Years]]," ","years")</f>
        <v>4 years</v>
      </c>
      <c r="H245" s="11">
        <v>30800</v>
      </c>
      <c r="I245" s="1">
        <v>73.2</v>
      </c>
      <c r="J245" s="11">
        <v>1400</v>
      </c>
      <c r="K245" s="11">
        <v>490</v>
      </c>
      <c r="L245" s="11">
        <v>800</v>
      </c>
      <c r="M245" s="22">
        <v>0.79</v>
      </c>
      <c r="N245" s="3" t="str">
        <f>IF(Table1[[#This Row],[Exchange_Rate]]&lt;5,"Strong Currency", IF(Table1[[#This Row],[Exchange_Rate]]&lt;=1000, "Medium Currency","Weak Currency"))</f>
        <v>Strong Currency</v>
      </c>
      <c r="O245" s="11">
        <f>(Table1[[#This Row],[Living_Cost_Index]]/123.3)*1850</f>
        <v>1098.2968369829684</v>
      </c>
      <c r="P245" s="11">
        <f>Table1[[#This Row],[Monthly_Estimated_Living_cost]]*12</f>
        <v>13179.56204379562</v>
      </c>
      <c r="Q245" s="13">
        <f>Table1[[#This Row],[Tuition_USD]]+Table1[[#This Row],[Rent_USD]]+Table1[[#This Row],[Insurance_USD]]+Table1[[#This Row],[Visa_Fee_USD]]+Table1[[#This Row],[Annual_Estimated_Living_cost]]</f>
        <v>46669.562043795624</v>
      </c>
    </row>
    <row r="246" spans="1:17" x14ac:dyDescent="0.25">
      <c r="A246" s="2" t="s">
        <v>17</v>
      </c>
      <c r="B246" s="1" t="s">
        <v>296</v>
      </c>
      <c r="C246" s="1" t="s">
        <v>297</v>
      </c>
      <c r="D246" s="1" t="s">
        <v>15</v>
      </c>
      <c r="E246" s="1" t="s">
        <v>75</v>
      </c>
      <c r="F246" s="1">
        <v>3</v>
      </c>
      <c r="G246" s="1" t="str">
        <f>CONCATENATE(Table1[[#This Row],[Duration_Years]]," ","years")</f>
        <v>3 years</v>
      </c>
      <c r="H246" s="11">
        <v>30500</v>
      </c>
      <c r="I246" s="1">
        <v>71.8</v>
      </c>
      <c r="J246" s="11">
        <v>1300</v>
      </c>
      <c r="K246" s="11">
        <v>490</v>
      </c>
      <c r="L246" s="11">
        <v>800</v>
      </c>
      <c r="M246" s="22">
        <v>0.79</v>
      </c>
      <c r="N246" s="3" t="str">
        <f>IF(Table1[[#This Row],[Exchange_Rate]]&lt;5,"Strong Currency", IF(Table1[[#This Row],[Exchange_Rate]]&lt;=1000, "Medium Currency","Weak Currency"))</f>
        <v>Strong Currency</v>
      </c>
      <c r="O246" s="11">
        <f>(Table1[[#This Row],[Living_Cost_Index]]/123.3)*1850</f>
        <v>1077.2911597729117</v>
      </c>
      <c r="P246" s="11">
        <f>Table1[[#This Row],[Monthly_Estimated_Living_cost]]*12</f>
        <v>12927.49391727494</v>
      </c>
      <c r="Q246" s="13">
        <f>Table1[[#This Row],[Tuition_USD]]+Table1[[#This Row],[Rent_USD]]+Table1[[#This Row],[Insurance_USD]]+Table1[[#This Row],[Visa_Fee_USD]]+Table1[[#This Row],[Annual_Estimated_Living_cost]]</f>
        <v>46017.493917274944</v>
      </c>
    </row>
    <row r="247" spans="1:17" x14ac:dyDescent="0.25">
      <c r="A247" s="2" t="s">
        <v>17</v>
      </c>
      <c r="B247" s="1" t="s">
        <v>290</v>
      </c>
      <c r="C247" s="1" t="s">
        <v>291</v>
      </c>
      <c r="D247" s="1" t="s">
        <v>15</v>
      </c>
      <c r="E247" s="1" t="s">
        <v>75</v>
      </c>
      <c r="F247" s="1">
        <v>3</v>
      </c>
      <c r="G247" s="1" t="str">
        <f>CONCATENATE(Table1[[#This Row],[Duration_Years]]," ","years")</f>
        <v>3 years</v>
      </c>
      <c r="H247" s="11">
        <v>30200</v>
      </c>
      <c r="I247" s="1">
        <v>71.2</v>
      </c>
      <c r="J247" s="11">
        <v>1250</v>
      </c>
      <c r="K247" s="11">
        <v>490</v>
      </c>
      <c r="L247" s="11">
        <v>800</v>
      </c>
      <c r="M247" s="22">
        <v>0.79</v>
      </c>
      <c r="N247" s="3" t="str">
        <f>IF(Table1[[#This Row],[Exchange_Rate]]&lt;5,"Strong Currency", IF(Table1[[#This Row],[Exchange_Rate]]&lt;=1000, "Medium Currency","Weak Currency"))</f>
        <v>Strong Currency</v>
      </c>
      <c r="O247" s="11">
        <f>(Table1[[#This Row],[Living_Cost_Index]]/123.3)*1850</f>
        <v>1068.2887266828873</v>
      </c>
      <c r="P247" s="11">
        <f>Table1[[#This Row],[Monthly_Estimated_Living_cost]]*12</f>
        <v>12819.464720194646</v>
      </c>
      <c r="Q247" s="13">
        <f>Table1[[#This Row],[Tuition_USD]]+Table1[[#This Row],[Rent_USD]]+Table1[[#This Row],[Insurance_USD]]+Table1[[#This Row],[Visa_Fee_USD]]+Table1[[#This Row],[Annual_Estimated_Living_cost]]</f>
        <v>45559.46472019465</v>
      </c>
    </row>
    <row r="248" spans="1:17" x14ac:dyDescent="0.25">
      <c r="A248" s="2" t="s">
        <v>17</v>
      </c>
      <c r="B248" s="1" t="s">
        <v>294</v>
      </c>
      <c r="C248" s="1" t="s">
        <v>295</v>
      </c>
      <c r="D248" s="1" t="s">
        <v>15</v>
      </c>
      <c r="E248" s="1" t="s">
        <v>75</v>
      </c>
      <c r="F248" s="1">
        <v>3</v>
      </c>
      <c r="G248" s="1" t="str">
        <f>CONCATENATE(Table1[[#This Row],[Duration_Years]]," ","years")</f>
        <v>3 years</v>
      </c>
      <c r="H248" s="11">
        <v>29800</v>
      </c>
      <c r="I248" s="1">
        <v>70.5</v>
      </c>
      <c r="J248" s="11">
        <v>1200</v>
      </c>
      <c r="K248" s="11">
        <v>490</v>
      </c>
      <c r="L248" s="11">
        <v>800</v>
      </c>
      <c r="M248" s="22">
        <v>0.79</v>
      </c>
      <c r="N248" s="3" t="str">
        <f>IF(Table1[[#This Row],[Exchange_Rate]]&lt;5,"Strong Currency", IF(Table1[[#This Row],[Exchange_Rate]]&lt;=1000, "Medium Currency","Weak Currency"))</f>
        <v>Strong Currency</v>
      </c>
      <c r="O248" s="11">
        <f>(Table1[[#This Row],[Living_Cost_Index]]/123.3)*1850</f>
        <v>1057.7858880778588</v>
      </c>
      <c r="P248" s="11">
        <f>Table1[[#This Row],[Monthly_Estimated_Living_cost]]*12</f>
        <v>12693.430656934306</v>
      </c>
      <c r="Q248" s="13">
        <f>Table1[[#This Row],[Tuition_USD]]+Table1[[#This Row],[Rent_USD]]+Table1[[#This Row],[Insurance_USD]]+Table1[[#This Row],[Visa_Fee_USD]]+Table1[[#This Row],[Annual_Estimated_Living_cost]]</f>
        <v>44983.430656934303</v>
      </c>
    </row>
    <row r="249" spans="1:17" x14ac:dyDescent="0.25">
      <c r="A249" s="2" t="s">
        <v>17</v>
      </c>
      <c r="B249" s="1" t="s">
        <v>301</v>
      </c>
      <c r="C249" s="1" t="s">
        <v>302</v>
      </c>
      <c r="D249" s="1" t="s">
        <v>15</v>
      </c>
      <c r="E249" s="1" t="s">
        <v>75</v>
      </c>
      <c r="F249" s="1">
        <v>3</v>
      </c>
      <c r="G249" s="1" t="str">
        <f>CONCATENATE(Table1[[#This Row],[Duration_Years]]," ","years")</f>
        <v>3 years</v>
      </c>
      <c r="H249" s="11">
        <v>29500</v>
      </c>
      <c r="I249" s="1">
        <v>70.8</v>
      </c>
      <c r="J249" s="11">
        <v>1150</v>
      </c>
      <c r="K249" s="11">
        <v>490</v>
      </c>
      <c r="L249" s="11">
        <v>800</v>
      </c>
      <c r="M249" s="22">
        <v>0.79</v>
      </c>
      <c r="N249" s="3" t="str">
        <f>IF(Table1[[#This Row],[Exchange_Rate]]&lt;5,"Strong Currency", IF(Table1[[#This Row],[Exchange_Rate]]&lt;=1000, "Medium Currency","Weak Currency"))</f>
        <v>Strong Currency</v>
      </c>
      <c r="O249" s="11">
        <f>(Table1[[#This Row],[Living_Cost_Index]]/123.3)*1850</f>
        <v>1062.2871046228711</v>
      </c>
      <c r="P249" s="11">
        <f>Table1[[#This Row],[Monthly_Estimated_Living_cost]]*12</f>
        <v>12747.445255474453</v>
      </c>
      <c r="Q249" s="13">
        <f>Table1[[#This Row],[Tuition_USD]]+Table1[[#This Row],[Rent_USD]]+Table1[[#This Row],[Insurance_USD]]+Table1[[#This Row],[Visa_Fee_USD]]+Table1[[#This Row],[Annual_Estimated_Living_cost]]</f>
        <v>44687.445255474449</v>
      </c>
    </row>
    <row r="250" spans="1:17" x14ac:dyDescent="0.25">
      <c r="A250" s="2" t="s">
        <v>17</v>
      </c>
      <c r="B250" s="1" t="s">
        <v>298</v>
      </c>
      <c r="C250" s="1" t="s">
        <v>299</v>
      </c>
      <c r="D250" s="1" t="s">
        <v>15</v>
      </c>
      <c r="E250" s="1" t="s">
        <v>75</v>
      </c>
      <c r="F250" s="1">
        <v>3</v>
      </c>
      <c r="G250" s="1" t="str">
        <f>CONCATENATE(Table1[[#This Row],[Duration_Years]]," ","years")</f>
        <v>3 years</v>
      </c>
      <c r="H250" s="11">
        <v>29200</v>
      </c>
      <c r="I250" s="1">
        <v>72.400000000000006</v>
      </c>
      <c r="J250" s="11">
        <v>1300</v>
      </c>
      <c r="K250" s="11">
        <v>490</v>
      </c>
      <c r="L250" s="11">
        <v>800</v>
      </c>
      <c r="M250" s="22">
        <v>0.79</v>
      </c>
      <c r="N250" s="3" t="str">
        <f>IF(Table1[[#This Row],[Exchange_Rate]]&lt;5,"Strong Currency", IF(Table1[[#This Row],[Exchange_Rate]]&lt;=1000, "Medium Currency","Weak Currency"))</f>
        <v>Strong Currency</v>
      </c>
      <c r="O250" s="11">
        <f>(Table1[[#This Row],[Living_Cost_Index]]/123.3)*1850</f>
        <v>1086.2935928629361</v>
      </c>
      <c r="P250" s="11">
        <f>Table1[[#This Row],[Monthly_Estimated_Living_cost]]*12</f>
        <v>13035.523114355234</v>
      </c>
      <c r="Q250" s="13">
        <f>Table1[[#This Row],[Tuition_USD]]+Table1[[#This Row],[Rent_USD]]+Table1[[#This Row],[Insurance_USD]]+Table1[[#This Row],[Visa_Fee_USD]]+Table1[[#This Row],[Annual_Estimated_Living_cost]]</f>
        <v>44825.523114355237</v>
      </c>
    </row>
    <row r="251" spans="1:17" x14ac:dyDescent="0.25">
      <c r="A251" s="2" t="s">
        <v>17</v>
      </c>
      <c r="B251" s="1" t="s">
        <v>277</v>
      </c>
      <c r="C251" s="1" t="s">
        <v>531</v>
      </c>
      <c r="D251" s="1" t="s">
        <v>15</v>
      </c>
      <c r="E251" s="1" t="s">
        <v>75</v>
      </c>
      <c r="F251" s="1">
        <v>3</v>
      </c>
      <c r="G251" s="1" t="str">
        <f>CONCATENATE(Table1[[#This Row],[Duration_Years]]," ","years")</f>
        <v>3 years</v>
      </c>
      <c r="H251" s="11">
        <v>28900</v>
      </c>
      <c r="I251" s="1">
        <v>71.599999999999994</v>
      </c>
      <c r="J251" s="11">
        <v>1250</v>
      </c>
      <c r="K251" s="11">
        <v>490</v>
      </c>
      <c r="L251" s="11">
        <v>800</v>
      </c>
      <c r="M251" s="22">
        <v>0.79</v>
      </c>
      <c r="N251" s="3" t="str">
        <f>IF(Table1[[#This Row],[Exchange_Rate]]&lt;5,"Strong Currency", IF(Table1[[#This Row],[Exchange_Rate]]&lt;=1000, "Medium Currency","Weak Currency"))</f>
        <v>Strong Currency</v>
      </c>
      <c r="O251" s="11">
        <f>(Table1[[#This Row],[Living_Cost_Index]]/123.3)*1850</f>
        <v>1074.2903487429032</v>
      </c>
      <c r="P251" s="11">
        <f>Table1[[#This Row],[Monthly_Estimated_Living_cost]]*12</f>
        <v>12891.48418491484</v>
      </c>
      <c r="Q251" s="13">
        <f>Table1[[#This Row],[Tuition_USD]]+Table1[[#This Row],[Rent_USD]]+Table1[[#This Row],[Insurance_USD]]+Table1[[#This Row],[Visa_Fee_USD]]+Table1[[#This Row],[Annual_Estimated_Living_cost]]</f>
        <v>44331.484184914836</v>
      </c>
    </row>
    <row r="252" spans="1:17" x14ac:dyDescent="0.25">
      <c r="A252" s="2" t="s">
        <v>17</v>
      </c>
      <c r="B252" s="1" t="s">
        <v>532</v>
      </c>
      <c r="C252" s="1" t="s">
        <v>533</v>
      </c>
      <c r="D252" s="1" t="s">
        <v>15</v>
      </c>
      <c r="E252" s="1" t="s">
        <v>75</v>
      </c>
      <c r="F252" s="1">
        <v>3</v>
      </c>
      <c r="G252" s="1" t="str">
        <f>CONCATENATE(Table1[[#This Row],[Duration_Years]]," ","years")</f>
        <v>3 years</v>
      </c>
      <c r="H252" s="11">
        <v>28600</v>
      </c>
      <c r="I252" s="1">
        <v>70.2</v>
      </c>
      <c r="J252" s="11">
        <v>1100</v>
      </c>
      <c r="K252" s="11">
        <v>490</v>
      </c>
      <c r="L252" s="11">
        <v>800</v>
      </c>
      <c r="M252" s="22">
        <v>0.79</v>
      </c>
      <c r="N252" s="3" t="str">
        <f>IF(Table1[[#This Row],[Exchange_Rate]]&lt;5,"Strong Currency", IF(Table1[[#This Row],[Exchange_Rate]]&lt;=1000, "Medium Currency","Weak Currency"))</f>
        <v>Strong Currency</v>
      </c>
      <c r="O252" s="11">
        <f>(Table1[[#This Row],[Living_Cost_Index]]/123.3)*1850</f>
        <v>1053.2846715328469</v>
      </c>
      <c r="P252" s="11">
        <f>Table1[[#This Row],[Monthly_Estimated_Living_cost]]*12</f>
        <v>12639.416058394163</v>
      </c>
      <c r="Q252" s="13">
        <f>Table1[[#This Row],[Tuition_USD]]+Table1[[#This Row],[Rent_USD]]+Table1[[#This Row],[Insurance_USD]]+Table1[[#This Row],[Visa_Fee_USD]]+Table1[[#This Row],[Annual_Estimated_Living_cost]]</f>
        <v>43629.416058394163</v>
      </c>
    </row>
    <row r="253" spans="1:17" x14ac:dyDescent="0.25">
      <c r="A253" s="2" t="s">
        <v>17</v>
      </c>
      <c r="B253" s="1" t="s">
        <v>303</v>
      </c>
      <c r="C253" s="1" t="s">
        <v>304</v>
      </c>
      <c r="D253" s="1" t="s">
        <v>15</v>
      </c>
      <c r="E253" s="1" t="s">
        <v>75</v>
      </c>
      <c r="F253" s="1">
        <v>3</v>
      </c>
      <c r="G253" s="1" t="str">
        <f>CONCATENATE(Table1[[#This Row],[Duration_Years]]," ","years")</f>
        <v>3 years</v>
      </c>
      <c r="H253" s="11">
        <v>28300</v>
      </c>
      <c r="I253" s="1">
        <v>69.8</v>
      </c>
      <c r="J253" s="11">
        <v>1050</v>
      </c>
      <c r="K253" s="11">
        <v>490</v>
      </c>
      <c r="L253" s="11">
        <v>800</v>
      </c>
      <c r="M253" s="22">
        <v>0.79</v>
      </c>
      <c r="N253" s="3" t="str">
        <f>IF(Table1[[#This Row],[Exchange_Rate]]&lt;5,"Strong Currency", IF(Table1[[#This Row],[Exchange_Rate]]&lt;=1000, "Medium Currency","Weak Currency"))</f>
        <v>Strong Currency</v>
      </c>
      <c r="O253" s="11">
        <f>(Table1[[#This Row],[Living_Cost_Index]]/123.3)*1850</f>
        <v>1047.2830494728303</v>
      </c>
      <c r="P253" s="11">
        <f>Table1[[#This Row],[Monthly_Estimated_Living_cost]]*12</f>
        <v>12567.396593673962</v>
      </c>
      <c r="Q253" s="13">
        <f>Table1[[#This Row],[Tuition_USD]]+Table1[[#This Row],[Rent_USD]]+Table1[[#This Row],[Insurance_USD]]+Table1[[#This Row],[Visa_Fee_USD]]+Table1[[#This Row],[Annual_Estimated_Living_cost]]</f>
        <v>43207.396593673962</v>
      </c>
    </row>
    <row r="254" spans="1:17" x14ac:dyDescent="0.25">
      <c r="A254" s="2" t="s">
        <v>17</v>
      </c>
      <c r="B254" s="1" t="s">
        <v>231</v>
      </c>
      <c r="C254" s="1" t="s">
        <v>308</v>
      </c>
      <c r="D254" s="1" t="s">
        <v>15</v>
      </c>
      <c r="E254" s="1" t="s">
        <v>75</v>
      </c>
      <c r="F254" s="1">
        <v>3</v>
      </c>
      <c r="G254" s="1" t="str">
        <f>CONCATENATE(Table1[[#This Row],[Duration_Years]]," ","years")</f>
        <v>3 years</v>
      </c>
      <c r="H254" s="11">
        <v>28000</v>
      </c>
      <c r="I254" s="1">
        <v>70.099999999999994</v>
      </c>
      <c r="J254" s="11">
        <v>1100</v>
      </c>
      <c r="K254" s="11">
        <v>490</v>
      </c>
      <c r="L254" s="11">
        <v>800</v>
      </c>
      <c r="M254" s="22">
        <v>0.79</v>
      </c>
      <c r="N254" s="3" t="str">
        <f>IF(Table1[[#This Row],[Exchange_Rate]]&lt;5,"Strong Currency", IF(Table1[[#This Row],[Exchange_Rate]]&lt;=1000, "Medium Currency","Weak Currency"))</f>
        <v>Strong Currency</v>
      </c>
      <c r="O254" s="11">
        <f>(Table1[[#This Row],[Living_Cost_Index]]/123.3)*1850</f>
        <v>1051.7842660178426</v>
      </c>
      <c r="P254" s="11">
        <f>Table1[[#This Row],[Monthly_Estimated_Living_cost]]*12</f>
        <v>12621.411192214111</v>
      </c>
      <c r="Q254" s="13">
        <f>Table1[[#This Row],[Tuition_USD]]+Table1[[#This Row],[Rent_USD]]+Table1[[#This Row],[Insurance_USD]]+Table1[[#This Row],[Visa_Fee_USD]]+Table1[[#This Row],[Annual_Estimated_Living_cost]]</f>
        <v>43011.411192214109</v>
      </c>
    </row>
    <row r="255" spans="1:17" x14ac:dyDescent="0.25">
      <c r="A255" s="2" t="s">
        <v>17</v>
      </c>
      <c r="B255" s="1" t="s">
        <v>534</v>
      </c>
      <c r="C255" s="1" t="s">
        <v>535</v>
      </c>
      <c r="D255" s="1" t="s">
        <v>15</v>
      </c>
      <c r="E255" s="1" t="s">
        <v>75</v>
      </c>
      <c r="F255" s="1">
        <v>4</v>
      </c>
      <c r="G255" s="1" t="str">
        <f>CONCATENATE(Table1[[#This Row],[Duration_Years]]," ","years")</f>
        <v>4 years</v>
      </c>
      <c r="H255" s="11">
        <v>27700</v>
      </c>
      <c r="I255" s="1">
        <v>69.5</v>
      </c>
      <c r="J255" s="11">
        <v>1000</v>
      </c>
      <c r="K255" s="11">
        <v>490</v>
      </c>
      <c r="L255" s="11">
        <v>800</v>
      </c>
      <c r="M255" s="22">
        <v>0.79</v>
      </c>
      <c r="N255" s="3" t="str">
        <f>IF(Table1[[#This Row],[Exchange_Rate]]&lt;5,"Strong Currency", IF(Table1[[#This Row],[Exchange_Rate]]&lt;=1000, "Medium Currency","Weak Currency"))</f>
        <v>Strong Currency</v>
      </c>
      <c r="O255" s="11">
        <f>(Table1[[#This Row],[Living_Cost_Index]]/123.3)*1850</f>
        <v>1042.7818329278184</v>
      </c>
      <c r="P255" s="11">
        <f>Table1[[#This Row],[Monthly_Estimated_Living_cost]]*12</f>
        <v>12513.381995133821</v>
      </c>
      <c r="Q255" s="13">
        <f>Table1[[#This Row],[Tuition_USD]]+Table1[[#This Row],[Rent_USD]]+Table1[[#This Row],[Insurance_USD]]+Table1[[#This Row],[Visa_Fee_USD]]+Table1[[#This Row],[Annual_Estimated_Living_cost]]</f>
        <v>42503.381995133823</v>
      </c>
    </row>
    <row r="256" spans="1:17" x14ac:dyDescent="0.25">
      <c r="A256" s="2" t="s">
        <v>17</v>
      </c>
      <c r="B256" s="1" t="s">
        <v>536</v>
      </c>
      <c r="C256" s="1" t="s">
        <v>537</v>
      </c>
      <c r="D256" s="1" t="s">
        <v>15</v>
      </c>
      <c r="E256" s="1" t="s">
        <v>75</v>
      </c>
      <c r="F256" s="1">
        <v>3</v>
      </c>
      <c r="G256" s="1" t="str">
        <f>CONCATENATE(Table1[[#This Row],[Duration_Years]]," ","years")</f>
        <v>3 years</v>
      </c>
      <c r="H256" s="11">
        <v>27400</v>
      </c>
      <c r="I256" s="1">
        <v>68.900000000000006</v>
      </c>
      <c r="J256" s="11">
        <v>950</v>
      </c>
      <c r="K256" s="11">
        <v>490</v>
      </c>
      <c r="L256" s="11">
        <v>800</v>
      </c>
      <c r="M256" s="22">
        <v>0.79</v>
      </c>
      <c r="N256" s="3" t="str">
        <f>IF(Table1[[#This Row],[Exchange_Rate]]&lt;5,"Strong Currency", IF(Table1[[#This Row],[Exchange_Rate]]&lt;=1000, "Medium Currency","Weak Currency"))</f>
        <v>Strong Currency</v>
      </c>
      <c r="O256" s="11">
        <f>(Table1[[#This Row],[Living_Cost_Index]]/123.3)*1850</f>
        <v>1033.779399837794</v>
      </c>
      <c r="P256" s="11">
        <f>Table1[[#This Row],[Monthly_Estimated_Living_cost]]*12</f>
        <v>12405.352798053529</v>
      </c>
      <c r="Q256" s="13">
        <f>Table1[[#This Row],[Tuition_USD]]+Table1[[#This Row],[Rent_USD]]+Table1[[#This Row],[Insurance_USD]]+Table1[[#This Row],[Visa_Fee_USD]]+Table1[[#This Row],[Annual_Estimated_Living_cost]]</f>
        <v>42045.352798053529</v>
      </c>
    </row>
    <row r="257" spans="1:17" x14ac:dyDescent="0.25">
      <c r="A257" s="2" t="s">
        <v>17</v>
      </c>
      <c r="B257" s="1" t="s">
        <v>538</v>
      </c>
      <c r="C257" s="1" t="s">
        <v>539</v>
      </c>
      <c r="D257" s="1" t="s">
        <v>15</v>
      </c>
      <c r="E257" s="1" t="s">
        <v>75</v>
      </c>
      <c r="F257" s="1">
        <v>3</v>
      </c>
      <c r="G257" s="1" t="str">
        <f>CONCATENATE(Table1[[#This Row],[Duration_Years]]," ","years")</f>
        <v>3 years</v>
      </c>
      <c r="H257" s="11">
        <v>27100</v>
      </c>
      <c r="I257" s="1">
        <v>71.2</v>
      </c>
      <c r="J257" s="11">
        <v>1150</v>
      </c>
      <c r="K257" s="11">
        <v>490</v>
      </c>
      <c r="L257" s="11">
        <v>800</v>
      </c>
      <c r="M257" s="22">
        <v>0.79</v>
      </c>
      <c r="N257" s="3" t="str">
        <f>IF(Table1[[#This Row],[Exchange_Rate]]&lt;5,"Strong Currency", IF(Table1[[#This Row],[Exchange_Rate]]&lt;=1000, "Medium Currency","Weak Currency"))</f>
        <v>Strong Currency</v>
      </c>
      <c r="O257" s="11">
        <f>(Table1[[#This Row],[Living_Cost_Index]]/123.3)*1850</f>
        <v>1068.2887266828873</v>
      </c>
      <c r="P257" s="11">
        <f>Table1[[#This Row],[Monthly_Estimated_Living_cost]]*12</f>
        <v>12819.464720194646</v>
      </c>
      <c r="Q257" s="13">
        <f>Table1[[#This Row],[Tuition_USD]]+Table1[[#This Row],[Rent_USD]]+Table1[[#This Row],[Insurance_USD]]+Table1[[#This Row],[Visa_Fee_USD]]+Table1[[#This Row],[Annual_Estimated_Living_cost]]</f>
        <v>42359.46472019465</v>
      </c>
    </row>
    <row r="258" spans="1:17" x14ac:dyDescent="0.25">
      <c r="A258" s="2" t="s">
        <v>17</v>
      </c>
      <c r="B258" s="1" t="s">
        <v>540</v>
      </c>
      <c r="C258" s="1" t="s">
        <v>541</v>
      </c>
      <c r="D258" s="1" t="s">
        <v>15</v>
      </c>
      <c r="E258" s="1" t="s">
        <v>75</v>
      </c>
      <c r="F258" s="1">
        <v>3</v>
      </c>
      <c r="G258" s="1" t="str">
        <f>CONCATENATE(Table1[[#This Row],[Duration_Years]]," ","years")</f>
        <v>3 years</v>
      </c>
      <c r="H258" s="11">
        <v>26800</v>
      </c>
      <c r="I258" s="1">
        <v>72.5</v>
      </c>
      <c r="J258" s="11">
        <v>1200</v>
      </c>
      <c r="K258" s="11">
        <v>490</v>
      </c>
      <c r="L258" s="11">
        <v>800</v>
      </c>
      <c r="M258" s="22">
        <v>0.79</v>
      </c>
      <c r="N258" s="3" t="str">
        <f>IF(Table1[[#This Row],[Exchange_Rate]]&lt;5,"Strong Currency", IF(Table1[[#This Row],[Exchange_Rate]]&lt;=1000, "Medium Currency","Weak Currency"))</f>
        <v>Strong Currency</v>
      </c>
      <c r="O258" s="11">
        <f>(Table1[[#This Row],[Living_Cost_Index]]/123.3)*1850</f>
        <v>1087.7939983779399</v>
      </c>
      <c r="P258" s="11">
        <f>Table1[[#This Row],[Monthly_Estimated_Living_cost]]*12</f>
        <v>13053.52798053528</v>
      </c>
      <c r="Q258" s="13">
        <f>Table1[[#This Row],[Tuition_USD]]+Table1[[#This Row],[Rent_USD]]+Table1[[#This Row],[Insurance_USD]]+Table1[[#This Row],[Visa_Fee_USD]]+Table1[[#This Row],[Annual_Estimated_Living_cost]]</f>
        <v>42343.527980535277</v>
      </c>
    </row>
    <row r="259" spans="1:17" x14ac:dyDescent="0.25">
      <c r="A259" s="2" t="s">
        <v>17</v>
      </c>
      <c r="B259" s="1" t="s">
        <v>542</v>
      </c>
      <c r="C259" s="1" t="s">
        <v>543</v>
      </c>
      <c r="D259" s="1" t="s">
        <v>15</v>
      </c>
      <c r="E259" s="1" t="s">
        <v>75</v>
      </c>
      <c r="F259" s="1">
        <v>3</v>
      </c>
      <c r="G259" s="1" t="str">
        <f>CONCATENATE(Table1[[#This Row],[Duration_Years]]," ","years")</f>
        <v>3 years</v>
      </c>
      <c r="H259" s="11">
        <v>26500</v>
      </c>
      <c r="I259" s="1">
        <v>69.8</v>
      </c>
      <c r="J259" s="11">
        <v>1000</v>
      </c>
      <c r="K259" s="11">
        <v>490</v>
      </c>
      <c r="L259" s="11">
        <v>800</v>
      </c>
      <c r="M259" s="22">
        <v>0.79</v>
      </c>
      <c r="N259" s="3" t="str">
        <f>IF(Table1[[#This Row],[Exchange_Rate]]&lt;5,"Strong Currency", IF(Table1[[#This Row],[Exchange_Rate]]&lt;=1000, "Medium Currency","Weak Currency"))</f>
        <v>Strong Currency</v>
      </c>
      <c r="O259" s="11">
        <f>(Table1[[#This Row],[Living_Cost_Index]]/123.3)*1850</f>
        <v>1047.2830494728303</v>
      </c>
      <c r="P259" s="11">
        <f>Table1[[#This Row],[Monthly_Estimated_Living_cost]]*12</f>
        <v>12567.396593673962</v>
      </c>
      <c r="Q259" s="13">
        <f>Table1[[#This Row],[Tuition_USD]]+Table1[[#This Row],[Rent_USD]]+Table1[[#This Row],[Insurance_USD]]+Table1[[#This Row],[Visa_Fee_USD]]+Table1[[#This Row],[Annual_Estimated_Living_cost]]</f>
        <v>41357.396593673962</v>
      </c>
    </row>
    <row r="260" spans="1:17" x14ac:dyDescent="0.25">
      <c r="A260" s="2" t="s">
        <v>17</v>
      </c>
      <c r="B260" s="1" t="s">
        <v>544</v>
      </c>
      <c r="C260" s="1" t="s">
        <v>545</v>
      </c>
      <c r="D260" s="1" t="s">
        <v>15</v>
      </c>
      <c r="E260" s="1" t="s">
        <v>75</v>
      </c>
      <c r="F260" s="1">
        <v>3</v>
      </c>
      <c r="G260" s="1" t="str">
        <f>CONCATENATE(Table1[[#This Row],[Duration_Years]]," ","years")</f>
        <v>3 years</v>
      </c>
      <c r="H260" s="11">
        <v>26200</v>
      </c>
      <c r="I260" s="1">
        <v>73.400000000000006</v>
      </c>
      <c r="J260" s="11">
        <v>1250</v>
      </c>
      <c r="K260" s="11">
        <v>490</v>
      </c>
      <c r="L260" s="11">
        <v>800</v>
      </c>
      <c r="M260" s="22">
        <v>0.79</v>
      </c>
      <c r="N260" s="3" t="str">
        <f>IF(Table1[[#This Row],[Exchange_Rate]]&lt;5,"Strong Currency", IF(Table1[[#This Row],[Exchange_Rate]]&lt;=1000, "Medium Currency","Weak Currency"))</f>
        <v>Strong Currency</v>
      </c>
      <c r="O260" s="11">
        <f>(Table1[[#This Row],[Living_Cost_Index]]/123.3)*1850</f>
        <v>1101.2976480129764</v>
      </c>
      <c r="P260" s="11">
        <f>Table1[[#This Row],[Monthly_Estimated_Living_cost]]*12</f>
        <v>13215.571776155717</v>
      </c>
      <c r="Q260" s="13">
        <f>Table1[[#This Row],[Tuition_USD]]+Table1[[#This Row],[Rent_USD]]+Table1[[#This Row],[Insurance_USD]]+Table1[[#This Row],[Visa_Fee_USD]]+Table1[[#This Row],[Annual_Estimated_Living_cost]]</f>
        <v>41955.571776155717</v>
      </c>
    </row>
    <row r="261" spans="1:17" x14ac:dyDescent="0.25">
      <c r="A261" s="2" t="s">
        <v>17</v>
      </c>
      <c r="B261" s="1" t="s">
        <v>546</v>
      </c>
      <c r="C261" s="1" t="s">
        <v>547</v>
      </c>
      <c r="D261" s="1" t="s">
        <v>15</v>
      </c>
      <c r="E261" s="1" t="s">
        <v>75</v>
      </c>
      <c r="F261" s="1">
        <v>3</v>
      </c>
      <c r="G261" s="1" t="str">
        <f>CONCATENATE(Table1[[#This Row],[Duration_Years]]," ","years")</f>
        <v>3 years</v>
      </c>
      <c r="H261" s="11">
        <v>25900</v>
      </c>
      <c r="I261" s="1">
        <v>71.8</v>
      </c>
      <c r="J261" s="11">
        <v>1150</v>
      </c>
      <c r="K261" s="11">
        <v>490</v>
      </c>
      <c r="L261" s="11">
        <v>800</v>
      </c>
      <c r="M261" s="22">
        <v>0.79</v>
      </c>
      <c r="N261" s="3" t="str">
        <f>IF(Table1[[#This Row],[Exchange_Rate]]&lt;5,"Strong Currency", IF(Table1[[#This Row],[Exchange_Rate]]&lt;=1000, "Medium Currency","Weak Currency"))</f>
        <v>Strong Currency</v>
      </c>
      <c r="O261" s="11">
        <f>(Table1[[#This Row],[Living_Cost_Index]]/123.3)*1850</f>
        <v>1077.2911597729117</v>
      </c>
      <c r="P261" s="11">
        <f>Table1[[#This Row],[Monthly_Estimated_Living_cost]]*12</f>
        <v>12927.49391727494</v>
      </c>
      <c r="Q261" s="13">
        <f>Table1[[#This Row],[Tuition_USD]]+Table1[[#This Row],[Rent_USD]]+Table1[[#This Row],[Insurance_USD]]+Table1[[#This Row],[Visa_Fee_USD]]+Table1[[#This Row],[Annual_Estimated_Living_cost]]</f>
        <v>41267.493917274944</v>
      </c>
    </row>
    <row r="262" spans="1:17" x14ac:dyDescent="0.25">
      <c r="A262" s="2" t="s">
        <v>17</v>
      </c>
      <c r="B262" s="1" t="s">
        <v>548</v>
      </c>
      <c r="C262" s="1" t="s">
        <v>549</v>
      </c>
      <c r="D262" s="1" t="s">
        <v>15</v>
      </c>
      <c r="E262" s="1" t="s">
        <v>75</v>
      </c>
      <c r="F262" s="1">
        <v>3</v>
      </c>
      <c r="G262" s="1" t="str">
        <f>CONCATENATE(Table1[[#This Row],[Duration_Years]]," ","years")</f>
        <v>3 years</v>
      </c>
      <c r="H262" s="11">
        <v>25600</v>
      </c>
      <c r="I262" s="1">
        <v>72.099999999999994</v>
      </c>
      <c r="J262" s="11">
        <v>1200</v>
      </c>
      <c r="K262" s="11">
        <v>490</v>
      </c>
      <c r="L262" s="11">
        <v>800</v>
      </c>
      <c r="M262" s="22">
        <v>0.79</v>
      </c>
      <c r="N262" s="3" t="str">
        <f>IF(Table1[[#This Row],[Exchange_Rate]]&lt;5,"Strong Currency", IF(Table1[[#This Row],[Exchange_Rate]]&lt;=1000, "Medium Currency","Weak Currency"))</f>
        <v>Strong Currency</v>
      </c>
      <c r="O262" s="11">
        <f>(Table1[[#This Row],[Living_Cost_Index]]/123.3)*1850</f>
        <v>1081.7923763179238</v>
      </c>
      <c r="P262" s="11">
        <f>Table1[[#This Row],[Monthly_Estimated_Living_cost]]*12</f>
        <v>12981.508515815085</v>
      </c>
      <c r="Q262" s="13">
        <f>Table1[[#This Row],[Tuition_USD]]+Table1[[#This Row],[Rent_USD]]+Table1[[#This Row],[Insurance_USD]]+Table1[[#This Row],[Visa_Fee_USD]]+Table1[[#This Row],[Annual_Estimated_Living_cost]]</f>
        <v>41071.508515815083</v>
      </c>
    </row>
    <row r="263" spans="1:17" x14ac:dyDescent="0.25">
      <c r="A263" s="2" t="s">
        <v>17</v>
      </c>
      <c r="B263" s="1" t="s">
        <v>550</v>
      </c>
      <c r="C263" s="1" t="s">
        <v>551</v>
      </c>
      <c r="D263" s="1" t="s">
        <v>15</v>
      </c>
      <c r="E263" s="1" t="s">
        <v>75</v>
      </c>
      <c r="F263" s="1">
        <v>3</v>
      </c>
      <c r="G263" s="1" t="str">
        <f>CONCATENATE(Table1[[#This Row],[Duration_Years]]," ","years")</f>
        <v>3 years</v>
      </c>
      <c r="H263" s="11">
        <v>25300</v>
      </c>
      <c r="I263" s="1">
        <v>70.5</v>
      </c>
      <c r="J263" s="11">
        <v>1100</v>
      </c>
      <c r="K263" s="11">
        <v>490</v>
      </c>
      <c r="L263" s="11">
        <v>800</v>
      </c>
      <c r="M263" s="22">
        <v>0.79</v>
      </c>
      <c r="N263" s="3" t="str">
        <f>IF(Table1[[#This Row],[Exchange_Rate]]&lt;5,"Strong Currency", IF(Table1[[#This Row],[Exchange_Rate]]&lt;=1000, "Medium Currency","Weak Currency"))</f>
        <v>Strong Currency</v>
      </c>
      <c r="O263" s="11">
        <f>(Table1[[#This Row],[Living_Cost_Index]]/123.3)*1850</f>
        <v>1057.7858880778588</v>
      </c>
      <c r="P263" s="11">
        <f>Table1[[#This Row],[Monthly_Estimated_Living_cost]]*12</f>
        <v>12693.430656934306</v>
      </c>
      <c r="Q263" s="13">
        <f>Table1[[#This Row],[Tuition_USD]]+Table1[[#This Row],[Rent_USD]]+Table1[[#This Row],[Insurance_USD]]+Table1[[#This Row],[Visa_Fee_USD]]+Table1[[#This Row],[Annual_Estimated_Living_cost]]</f>
        <v>40383.430656934303</v>
      </c>
    </row>
    <row r="264" spans="1:17" x14ac:dyDescent="0.25">
      <c r="A264" s="2" t="s">
        <v>17</v>
      </c>
      <c r="B264" s="1" t="s">
        <v>552</v>
      </c>
      <c r="C264" s="1" t="s">
        <v>553</v>
      </c>
      <c r="D264" s="1" t="s">
        <v>15</v>
      </c>
      <c r="E264" s="1" t="s">
        <v>75</v>
      </c>
      <c r="F264" s="1">
        <v>4</v>
      </c>
      <c r="G264" s="1" t="str">
        <f>CONCATENATE(Table1[[#This Row],[Duration_Years]]," ","years")</f>
        <v>4 years</v>
      </c>
      <c r="H264" s="11">
        <v>25000</v>
      </c>
      <c r="I264" s="1">
        <v>68.900000000000006</v>
      </c>
      <c r="J264" s="11">
        <v>950</v>
      </c>
      <c r="K264" s="11">
        <v>490</v>
      </c>
      <c r="L264" s="11">
        <v>800</v>
      </c>
      <c r="M264" s="22">
        <v>0.79</v>
      </c>
      <c r="N264" s="3" t="str">
        <f>IF(Table1[[#This Row],[Exchange_Rate]]&lt;5,"Strong Currency", IF(Table1[[#This Row],[Exchange_Rate]]&lt;=1000, "Medium Currency","Weak Currency"))</f>
        <v>Strong Currency</v>
      </c>
      <c r="O264" s="11">
        <f>(Table1[[#This Row],[Living_Cost_Index]]/123.3)*1850</f>
        <v>1033.779399837794</v>
      </c>
      <c r="P264" s="11">
        <f>Table1[[#This Row],[Monthly_Estimated_Living_cost]]*12</f>
        <v>12405.352798053529</v>
      </c>
      <c r="Q264" s="13">
        <f>Table1[[#This Row],[Tuition_USD]]+Table1[[#This Row],[Rent_USD]]+Table1[[#This Row],[Insurance_USD]]+Table1[[#This Row],[Visa_Fee_USD]]+Table1[[#This Row],[Annual_Estimated_Living_cost]]</f>
        <v>39645.352798053529</v>
      </c>
    </row>
    <row r="265" spans="1:17" x14ac:dyDescent="0.25">
      <c r="A265" s="2" t="s">
        <v>17</v>
      </c>
      <c r="B265" s="1" t="s">
        <v>554</v>
      </c>
      <c r="C265" s="1" t="s">
        <v>555</v>
      </c>
      <c r="D265" s="1" t="s">
        <v>15</v>
      </c>
      <c r="E265" s="1" t="s">
        <v>75</v>
      </c>
      <c r="F265" s="1">
        <v>4</v>
      </c>
      <c r="G265" s="1" t="str">
        <f>CONCATENATE(Table1[[#This Row],[Duration_Years]]," ","years")</f>
        <v>4 years</v>
      </c>
      <c r="H265" s="11">
        <v>24700</v>
      </c>
      <c r="I265" s="1">
        <v>69.2</v>
      </c>
      <c r="J265" s="11">
        <v>1000</v>
      </c>
      <c r="K265" s="11">
        <v>490</v>
      </c>
      <c r="L265" s="11">
        <v>800</v>
      </c>
      <c r="M265" s="22">
        <v>0.79</v>
      </c>
      <c r="N265" s="3" t="str">
        <f>IF(Table1[[#This Row],[Exchange_Rate]]&lt;5,"Strong Currency", IF(Table1[[#This Row],[Exchange_Rate]]&lt;=1000, "Medium Currency","Weak Currency"))</f>
        <v>Strong Currency</v>
      </c>
      <c r="O265" s="11">
        <f>(Table1[[#This Row],[Living_Cost_Index]]/123.3)*1850</f>
        <v>1038.2806163828063</v>
      </c>
      <c r="P265" s="11">
        <f>Table1[[#This Row],[Monthly_Estimated_Living_cost]]*12</f>
        <v>12459.367396593676</v>
      </c>
      <c r="Q265" s="13">
        <f>Table1[[#This Row],[Tuition_USD]]+Table1[[#This Row],[Rent_USD]]+Table1[[#This Row],[Insurance_USD]]+Table1[[#This Row],[Visa_Fee_USD]]+Table1[[#This Row],[Annual_Estimated_Living_cost]]</f>
        <v>39449.367396593676</v>
      </c>
    </row>
    <row r="266" spans="1:17" x14ac:dyDescent="0.25">
      <c r="A266" s="2" t="s">
        <v>17</v>
      </c>
      <c r="B266" s="1" t="s">
        <v>556</v>
      </c>
      <c r="C266" s="1" t="s">
        <v>557</v>
      </c>
      <c r="D266" s="1" t="s">
        <v>15</v>
      </c>
      <c r="E266" s="1" t="s">
        <v>75</v>
      </c>
      <c r="F266" s="1">
        <v>4</v>
      </c>
      <c r="G266" s="1" t="str">
        <f>CONCATENATE(Table1[[#This Row],[Duration_Years]]," ","years")</f>
        <v>4 years</v>
      </c>
      <c r="H266" s="11">
        <v>24400</v>
      </c>
      <c r="I266" s="1">
        <v>69.5</v>
      </c>
      <c r="J266" s="11">
        <v>1050</v>
      </c>
      <c r="K266" s="11">
        <v>490</v>
      </c>
      <c r="L266" s="11">
        <v>800</v>
      </c>
      <c r="M266" s="22">
        <v>0.79</v>
      </c>
      <c r="N266" s="3" t="str">
        <f>IF(Table1[[#This Row],[Exchange_Rate]]&lt;5,"Strong Currency", IF(Table1[[#This Row],[Exchange_Rate]]&lt;=1000, "Medium Currency","Weak Currency"))</f>
        <v>Strong Currency</v>
      </c>
      <c r="O266" s="11">
        <f>(Table1[[#This Row],[Living_Cost_Index]]/123.3)*1850</f>
        <v>1042.7818329278184</v>
      </c>
      <c r="P266" s="11">
        <f>Table1[[#This Row],[Monthly_Estimated_Living_cost]]*12</f>
        <v>12513.381995133821</v>
      </c>
      <c r="Q266" s="13">
        <f>Table1[[#This Row],[Tuition_USD]]+Table1[[#This Row],[Rent_USD]]+Table1[[#This Row],[Insurance_USD]]+Table1[[#This Row],[Visa_Fee_USD]]+Table1[[#This Row],[Annual_Estimated_Living_cost]]</f>
        <v>39253.381995133823</v>
      </c>
    </row>
    <row r="267" spans="1:17" x14ac:dyDescent="0.25">
      <c r="A267" s="2" t="s">
        <v>17</v>
      </c>
      <c r="B267" s="1" t="s">
        <v>558</v>
      </c>
      <c r="C267" s="1" t="s">
        <v>559</v>
      </c>
      <c r="D267" s="1" t="s">
        <v>15</v>
      </c>
      <c r="E267" s="1" t="s">
        <v>75</v>
      </c>
      <c r="F267" s="1">
        <v>3</v>
      </c>
      <c r="G267" s="1" t="str">
        <f>CONCATENATE(Table1[[#This Row],[Duration_Years]]," ","years")</f>
        <v>3 years</v>
      </c>
      <c r="H267" s="11">
        <v>24100</v>
      </c>
      <c r="I267" s="1">
        <v>68.5</v>
      </c>
      <c r="J267" s="11">
        <v>900</v>
      </c>
      <c r="K267" s="11">
        <v>490</v>
      </c>
      <c r="L267" s="11">
        <v>800</v>
      </c>
      <c r="M267" s="22">
        <v>0.79</v>
      </c>
      <c r="N267" s="3" t="str">
        <f>IF(Table1[[#This Row],[Exchange_Rate]]&lt;5,"Strong Currency", IF(Table1[[#This Row],[Exchange_Rate]]&lt;=1000, "Medium Currency","Weak Currency"))</f>
        <v>Strong Currency</v>
      </c>
      <c r="O267" s="11">
        <f>(Table1[[#This Row],[Living_Cost_Index]]/123.3)*1850</f>
        <v>1027.7777777777778</v>
      </c>
      <c r="P267" s="11">
        <f>Table1[[#This Row],[Monthly_Estimated_Living_cost]]*12</f>
        <v>12333.333333333334</v>
      </c>
      <c r="Q267" s="13">
        <f>Table1[[#This Row],[Tuition_USD]]+Table1[[#This Row],[Rent_USD]]+Table1[[#This Row],[Insurance_USD]]+Table1[[#This Row],[Visa_Fee_USD]]+Table1[[#This Row],[Annual_Estimated_Living_cost]]</f>
        <v>38623.333333333336</v>
      </c>
    </row>
    <row r="268" spans="1:17" x14ac:dyDescent="0.25">
      <c r="A268" s="2" t="s">
        <v>17</v>
      </c>
      <c r="B268" s="1" t="s">
        <v>560</v>
      </c>
      <c r="C268" s="1" t="s">
        <v>561</v>
      </c>
      <c r="D268" s="1" t="s">
        <v>15</v>
      </c>
      <c r="E268" s="1" t="s">
        <v>75</v>
      </c>
      <c r="F268" s="1">
        <v>3</v>
      </c>
      <c r="G268" s="1" t="str">
        <f>CONCATENATE(Table1[[#This Row],[Duration_Years]]," ","years")</f>
        <v>3 years</v>
      </c>
      <c r="H268" s="11">
        <v>23800</v>
      </c>
      <c r="I268" s="1">
        <v>83.2</v>
      </c>
      <c r="J268" s="11">
        <v>1800</v>
      </c>
      <c r="K268" s="11">
        <v>490</v>
      </c>
      <c r="L268" s="11">
        <v>800</v>
      </c>
      <c r="M268" s="22">
        <v>0.79</v>
      </c>
      <c r="N268" s="3" t="str">
        <f>IF(Table1[[#This Row],[Exchange_Rate]]&lt;5,"Strong Currency", IF(Table1[[#This Row],[Exchange_Rate]]&lt;=1000, "Medium Currency","Weak Currency"))</f>
        <v>Strong Currency</v>
      </c>
      <c r="O268" s="11">
        <f>(Table1[[#This Row],[Living_Cost_Index]]/123.3)*1850</f>
        <v>1248.3373884833738</v>
      </c>
      <c r="P268" s="11">
        <f>Table1[[#This Row],[Monthly_Estimated_Living_cost]]*12</f>
        <v>14980.048661800487</v>
      </c>
      <c r="Q268" s="13">
        <f>Table1[[#This Row],[Tuition_USD]]+Table1[[#This Row],[Rent_USD]]+Table1[[#This Row],[Insurance_USD]]+Table1[[#This Row],[Visa_Fee_USD]]+Table1[[#This Row],[Annual_Estimated_Living_cost]]</f>
        <v>41870.048661800487</v>
      </c>
    </row>
    <row r="269" spans="1:17" x14ac:dyDescent="0.25">
      <c r="A269" s="2" t="s">
        <v>17</v>
      </c>
      <c r="B269" s="1" t="s">
        <v>562</v>
      </c>
      <c r="C269" s="1" t="s">
        <v>563</v>
      </c>
      <c r="D269" s="1" t="s">
        <v>15</v>
      </c>
      <c r="E269" s="1" t="s">
        <v>75</v>
      </c>
      <c r="F269" s="1">
        <v>3</v>
      </c>
      <c r="G269" s="1" t="str">
        <f>CONCATENATE(Table1[[#This Row],[Duration_Years]]," ","years")</f>
        <v>3 years</v>
      </c>
      <c r="H269" s="11">
        <v>23500</v>
      </c>
      <c r="I269" s="1">
        <v>83.2</v>
      </c>
      <c r="J269" s="11">
        <v>1900</v>
      </c>
      <c r="K269" s="11">
        <v>490</v>
      </c>
      <c r="L269" s="11">
        <v>800</v>
      </c>
      <c r="M269" s="22">
        <v>0.79</v>
      </c>
      <c r="N269" s="3" t="str">
        <f>IF(Table1[[#This Row],[Exchange_Rate]]&lt;5,"Strong Currency", IF(Table1[[#This Row],[Exchange_Rate]]&lt;=1000, "Medium Currency","Weak Currency"))</f>
        <v>Strong Currency</v>
      </c>
      <c r="O269" s="11">
        <f>(Table1[[#This Row],[Living_Cost_Index]]/123.3)*1850</f>
        <v>1248.3373884833738</v>
      </c>
      <c r="P269" s="11">
        <f>Table1[[#This Row],[Monthly_Estimated_Living_cost]]*12</f>
        <v>14980.048661800487</v>
      </c>
      <c r="Q269" s="13">
        <f>Table1[[#This Row],[Tuition_USD]]+Table1[[#This Row],[Rent_USD]]+Table1[[#This Row],[Insurance_USD]]+Table1[[#This Row],[Visa_Fee_USD]]+Table1[[#This Row],[Annual_Estimated_Living_cost]]</f>
        <v>41670.048661800487</v>
      </c>
    </row>
    <row r="270" spans="1:17" x14ac:dyDescent="0.25">
      <c r="A270" s="2" t="s">
        <v>17</v>
      </c>
      <c r="B270" s="1" t="s">
        <v>564</v>
      </c>
      <c r="C270" s="1" t="s">
        <v>565</v>
      </c>
      <c r="D270" s="1" t="s">
        <v>15</v>
      </c>
      <c r="E270" s="1" t="s">
        <v>75</v>
      </c>
      <c r="F270" s="1">
        <v>3</v>
      </c>
      <c r="G270" s="1" t="str">
        <f>CONCATENATE(Table1[[#This Row],[Duration_Years]]," ","years")</f>
        <v>3 years</v>
      </c>
      <c r="H270" s="11">
        <v>23200</v>
      </c>
      <c r="I270" s="1">
        <v>75.5</v>
      </c>
      <c r="J270" s="11">
        <v>1400</v>
      </c>
      <c r="K270" s="11">
        <v>490</v>
      </c>
      <c r="L270" s="11">
        <v>800</v>
      </c>
      <c r="M270" s="22">
        <v>0.79</v>
      </c>
      <c r="N270" s="3" t="str">
        <f>IF(Table1[[#This Row],[Exchange_Rate]]&lt;5,"Strong Currency", IF(Table1[[#This Row],[Exchange_Rate]]&lt;=1000, "Medium Currency","Weak Currency"))</f>
        <v>Strong Currency</v>
      </c>
      <c r="O270" s="11">
        <f>(Table1[[#This Row],[Living_Cost_Index]]/123.3)*1850</f>
        <v>1132.8061638280617</v>
      </c>
      <c r="P270" s="11">
        <f>Table1[[#This Row],[Monthly_Estimated_Living_cost]]*12</f>
        <v>13593.673965936741</v>
      </c>
      <c r="Q270" s="13">
        <f>Table1[[#This Row],[Tuition_USD]]+Table1[[#This Row],[Rent_USD]]+Table1[[#This Row],[Insurance_USD]]+Table1[[#This Row],[Visa_Fee_USD]]+Table1[[#This Row],[Annual_Estimated_Living_cost]]</f>
        <v>39483.673965936745</v>
      </c>
    </row>
    <row r="271" spans="1:17" x14ac:dyDescent="0.25">
      <c r="A271" s="2" t="s">
        <v>17</v>
      </c>
      <c r="B271" s="1" t="s">
        <v>566</v>
      </c>
      <c r="C271" s="1" t="s">
        <v>567</v>
      </c>
      <c r="D271" s="1" t="s">
        <v>15</v>
      </c>
      <c r="E271" s="1" t="s">
        <v>75</v>
      </c>
      <c r="F271" s="1">
        <v>3</v>
      </c>
      <c r="G271" s="1" t="str">
        <f>CONCATENATE(Table1[[#This Row],[Duration_Years]]," ","years")</f>
        <v>3 years</v>
      </c>
      <c r="H271" s="11">
        <v>22900</v>
      </c>
      <c r="I271" s="1">
        <v>69.8</v>
      </c>
      <c r="J271" s="11">
        <v>1000</v>
      </c>
      <c r="K271" s="11">
        <v>490</v>
      </c>
      <c r="L271" s="11">
        <v>800</v>
      </c>
      <c r="M271" s="22">
        <v>0.79</v>
      </c>
      <c r="N271" s="3" t="str">
        <f>IF(Table1[[#This Row],[Exchange_Rate]]&lt;5,"Strong Currency", IF(Table1[[#This Row],[Exchange_Rate]]&lt;=1000, "Medium Currency","Weak Currency"))</f>
        <v>Strong Currency</v>
      </c>
      <c r="O271" s="11">
        <f>(Table1[[#This Row],[Living_Cost_Index]]/123.3)*1850</f>
        <v>1047.2830494728303</v>
      </c>
      <c r="P271" s="11">
        <f>Table1[[#This Row],[Monthly_Estimated_Living_cost]]*12</f>
        <v>12567.396593673962</v>
      </c>
      <c r="Q271" s="13">
        <f>Table1[[#This Row],[Tuition_USD]]+Table1[[#This Row],[Rent_USD]]+Table1[[#This Row],[Insurance_USD]]+Table1[[#This Row],[Visa_Fee_USD]]+Table1[[#This Row],[Annual_Estimated_Living_cost]]</f>
        <v>37757.396593673962</v>
      </c>
    </row>
    <row r="272" spans="1:17" x14ac:dyDescent="0.25">
      <c r="A272" s="2" t="s">
        <v>17</v>
      </c>
      <c r="B272" s="1" t="s">
        <v>568</v>
      </c>
      <c r="C272" s="1" t="s">
        <v>569</v>
      </c>
      <c r="D272" s="1" t="s">
        <v>15</v>
      </c>
      <c r="E272" s="1" t="s">
        <v>75</v>
      </c>
      <c r="F272" s="1">
        <v>3</v>
      </c>
      <c r="G272" s="1" t="str">
        <f>CONCATENATE(Table1[[#This Row],[Duration_Years]]," ","years")</f>
        <v>3 years</v>
      </c>
      <c r="H272" s="11">
        <v>22600</v>
      </c>
      <c r="I272" s="1">
        <v>68.5</v>
      </c>
      <c r="J272" s="11">
        <v>950</v>
      </c>
      <c r="K272" s="11">
        <v>490</v>
      </c>
      <c r="L272" s="11">
        <v>800</v>
      </c>
      <c r="M272" s="22">
        <v>0.79</v>
      </c>
      <c r="N272" s="3" t="str">
        <f>IF(Table1[[#This Row],[Exchange_Rate]]&lt;5,"Strong Currency", IF(Table1[[#This Row],[Exchange_Rate]]&lt;=1000, "Medium Currency","Weak Currency"))</f>
        <v>Strong Currency</v>
      </c>
      <c r="O272" s="11">
        <f>(Table1[[#This Row],[Living_Cost_Index]]/123.3)*1850</f>
        <v>1027.7777777777778</v>
      </c>
      <c r="P272" s="11">
        <f>Table1[[#This Row],[Monthly_Estimated_Living_cost]]*12</f>
        <v>12333.333333333334</v>
      </c>
      <c r="Q272" s="13">
        <f>Table1[[#This Row],[Tuition_USD]]+Table1[[#This Row],[Rent_USD]]+Table1[[#This Row],[Insurance_USD]]+Table1[[#This Row],[Visa_Fee_USD]]+Table1[[#This Row],[Annual_Estimated_Living_cost]]</f>
        <v>37173.333333333336</v>
      </c>
    </row>
    <row r="273" spans="1:17" x14ac:dyDescent="0.25">
      <c r="A273" s="2" t="s">
        <v>17</v>
      </c>
      <c r="B273" s="1" t="s">
        <v>570</v>
      </c>
      <c r="C273" s="1" t="s">
        <v>571</v>
      </c>
      <c r="D273" s="1" t="s">
        <v>15</v>
      </c>
      <c r="E273" s="1" t="s">
        <v>75</v>
      </c>
      <c r="F273" s="1">
        <v>3</v>
      </c>
      <c r="G273" s="1" t="str">
        <f>CONCATENATE(Table1[[#This Row],[Duration_Years]]," ","years")</f>
        <v>3 years</v>
      </c>
      <c r="H273" s="11">
        <v>22300</v>
      </c>
      <c r="I273" s="1">
        <v>71.8</v>
      </c>
      <c r="J273" s="11">
        <v>1200</v>
      </c>
      <c r="K273" s="11">
        <v>490</v>
      </c>
      <c r="L273" s="11">
        <v>800</v>
      </c>
      <c r="M273" s="22">
        <v>0.79</v>
      </c>
      <c r="N273" s="3" t="str">
        <f>IF(Table1[[#This Row],[Exchange_Rate]]&lt;5,"Strong Currency", IF(Table1[[#This Row],[Exchange_Rate]]&lt;=1000, "Medium Currency","Weak Currency"))</f>
        <v>Strong Currency</v>
      </c>
      <c r="O273" s="11">
        <f>(Table1[[#This Row],[Living_Cost_Index]]/123.3)*1850</f>
        <v>1077.2911597729117</v>
      </c>
      <c r="P273" s="11">
        <f>Table1[[#This Row],[Monthly_Estimated_Living_cost]]*12</f>
        <v>12927.49391727494</v>
      </c>
      <c r="Q273" s="13">
        <f>Table1[[#This Row],[Tuition_USD]]+Table1[[#This Row],[Rent_USD]]+Table1[[#This Row],[Insurance_USD]]+Table1[[#This Row],[Visa_Fee_USD]]+Table1[[#This Row],[Annual_Estimated_Living_cost]]</f>
        <v>37717.493917274944</v>
      </c>
    </row>
    <row r="274" spans="1:17" x14ac:dyDescent="0.25">
      <c r="A274" s="2" t="s">
        <v>17</v>
      </c>
      <c r="B274" s="1" t="s">
        <v>572</v>
      </c>
      <c r="C274" s="1" t="s">
        <v>573</v>
      </c>
      <c r="D274" s="1" t="s">
        <v>15</v>
      </c>
      <c r="E274" s="1" t="s">
        <v>75</v>
      </c>
      <c r="F274" s="1">
        <v>3</v>
      </c>
      <c r="G274" s="1" t="str">
        <f>CONCATENATE(Table1[[#This Row],[Duration_Years]]," ","years")</f>
        <v>3 years</v>
      </c>
      <c r="H274" s="11">
        <v>22000</v>
      </c>
      <c r="I274" s="1">
        <v>67.900000000000006</v>
      </c>
      <c r="J274" s="11">
        <v>850</v>
      </c>
      <c r="K274" s="11">
        <v>490</v>
      </c>
      <c r="L274" s="11">
        <v>800</v>
      </c>
      <c r="M274" s="22">
        <v>0.79</v>
      </c>
      <c r="N274" s="3" t="str">
        <f>IF(Table1[[#This Row],[Exchange_Rate]]&lt;5,"Strong Currency", IF(Table1[[#This Row],[Exchange_Rate]]&lt;=1000, "Medium Currency","Weak Currency"))</f>
        <v>Strong Currency</v>
      </c>
      <c r="O274" s="11">
        <f>(Table1[[#This Row],[Living_Cost_Index]]/123.3)*1850</f>
        <v>1018.7753446877535</v>
      </c>
      <c r="P274" s="11">
        <f>Table1[[#This Row],[Monthly_Estimated_Living_cost]]*12</f>
        <v>12225.304136253042</v>
      </c>
      <c r="Q274" s="13">
        <f>Table1[[#This Row],[Tuition_USD]]+Table1[[#This Row],[Rent_USD]]+Table1[[#This Row],[Insurance_USD]]+Table1[[#This Row],[Visa_Fee_USD]]+Table1[[#This Row],[Annual_Estimated_Living_cost]]</f>
        <v>36365.304136253042</v>
      </c>
    </row>
    <row r="275" spans="1:17" x14ac:dyDescent="0.25">
      <c r="A275" s="2" t="s">
        <v>17</v>
      </c>
      <c r="B275" s="1" t="s">
        <v>574</v>
      </c>
      <c r="C275" s="1" t="s">
        <v>575</v>
      </c>
      <c r="D275" s="1" t="s">
        <v>15</v>
      </c>
      <c r="E275" s="1" t="s">
        <v>75</v>
      </c>
      <c r="F275" s="1">
        <v>3</v>
      </c>
      <c r="G275" s="1" t="str">
        <f>CONCATENATE(Table1[[#This Row],[Duration_Years]]," ","years")</f>
        <v>3 years</v>
      </c>
      <c r="H275" s="11">
        <v>21700</v>
      </c>
      <c r="I275" s="1">
        <v>67.5</v>
      </c>
      <c r="J275" s="11">
        <v>800</v>
      </c>
      <c r="K275" s="11">
        <v>490</v>
      </c>
      <c r="L275" s="11">
        <v>800</v>
      </c>
      <c r="M275" s="22">
        <v>0.79</v>
      </c>
      <c r="N275" s="3" t="str">
        <f>IF(Table1[[#This Row],[Exchange_Rate]]&lt;5,"Strong Currency", IF(Table1[[#This Row],[Exchange_Rate]]&lt;=1000, "Medium Currency","Weak Currency"))</f>
        <v>Strong Currency</v>
      </c>
      <c r="O275" s="11">
        <f>(Table1[[#This Row],[Living_Cost_Index]]/123.3)*1850</f>
        <v>1012.7737226277372</v>
      </c>
      <c r="P275" s="11">
        <f>Table1[[#This Row],[Monthly_Estimated_Living_cost]]*12</f>
        <v>12153.284671532847</v>
      </c>
      <c r="Q275" s="13">
        <f>Table1[[#This Row],[Tuition_USD]]+Table1[[#This Row],[Rent_USD]]+Table1[[#This Row],[Insurance_USD]]+Table1[[#This Row],[Visa_Fee_USD]]+Table1[[#This Row],[Annual_Estimated_Living_cost]]</f>
        <v>35943.284671532849</v>
      </c>
    </row>
    <row r="276" spans="1:17" x14ac:dyDescent="0.25">
      <c r="A276" s="2" t="s">
        <v>17</v>
      </c>
      <c r="B276" s="1" t="s">
        <v>576</v>
      </c>
      <c r="C276" s="1" t="s">
        <v>577</v>
      </c>
      <c r="D276" s="1" t="s">
        <v>15</v>
      </c>
      <c r="E276" s="1" t="s">
        <v>75</v>
      </c>
      <c r="F276" s="1">
        <v>3</v>
      </c>
      <c r="G276" s="1" t="str">
        <f>CONCATENATE(Table1[[#This Row],[Duration_Years]]," ","years")</f>
        <v>3 years</v>
      </c>
      <c r="H276" s="11">
        <v>21400</v>
      </c>
      <c r="I276" s="1">
        <v>69.2</v>
      </c>
      <c r="J276" s="11">
        <v>950</v>
      </c>
      <c r="K276" s="11">
        <v>490</v>
      </c>
      <c r="L276" s="11">
        <v>800</v>
      </c>
      <c r="M276" s="22">
        <v>0.79</v>
      </c>
      <c r="N276" s="3" t="str">
        <f>IF(Table1[[#This Row],[Exchange_Rate]]&lt;5,"Strong Currency", IF(Table1[[#This Row],[Exchange_Rate]]&lt;=1000, "Medium Currency","Weak Currency"))</f>
        <v>Strong Currency</v>
      </c>
      <c r="O276" s="11">
        <f>(Table1[[#This Row],[Living_Cost_Index]]/123.3)*1850</f>
        <v>1038.2806163828063</v>
      </c>
      <c r="P276" s="11">
        <f>Table1[[#This Row],[Monthly_Estimated_Living_cost]]*12</f>
        <v>12459.367396593676</v>
      </c>
      <c r="Q276" s="13">
        <f>Table1[[#This Row],[Tuition_USD]]+Table1[[#This Row],[Rent_USD]]+Table1[[#This Row],[Insurance_USD]]+Table1[[#This Row],[Visa_Fee_USD]]+Table1[[#This Row],[Annual_Estimated_Living_cost]]</f>
        <v>36099.367396593676</v>
      </c>
    </row>
    <row r="277" spans="1:17" x14ac:dyDescent="0.25">
      <c r="A277" s="2" t="s">
        <v>17</v>
      </c>
      <c r="B277" s="1" t="s">
        <v>578</v>
      </c>
      <c r="C277" s="1" t="s">
        <v>579</v>
      </c>
      <c r="D277" s="1" t="s">
        <v>15</v>
      </c>
      <c r="E277" s="1" t="s">
        <v>75</v>
      </c>
      <c r="F277" s="1">
        <v>3</v>
      </c>
      <c r="G277" s="1" t="str">
        <f>CONCATENATE(Table1[[#This Row],[Duration_Years]]," ","years")</f>
        <v>3 years</v>
      </c>
      <c r="H277" s="11">
        <v>21100</v>
      </c>
      <c r="I277" s="1">
        <v>70.5</v>
      </c>
      <c r="J277" s="11">
        <v>1000</v>
      </c>
      <c r="K277" s="11">
        <v>490</v>
      </c>
      <c r="L277" s="11">
        <v>800</v>
      </c>
      <c r="M277" s="22">
        <v>0.79</v>
      </c>
      <c r="N277" s="3" t="str">
        <f>IF(Table1[[#This Row],[Exchange_Rate]]&lt;5,"Strong Currency", IF(Table1[[#This Row],[Exchange_Rate]]&lt;=1000, "Medium Currency","Weak Currency"))</f>
        <v>Strong Currency</v>
      </c>
      <c r="O277" s="11">
        <f>(Table1[[#This Row],[Living_Cost_Index]]/123.3)*1850</f>
        <v>1057.7858880778588</v>
      </c>
      <c r="P277" s="11">
        <f>Table1[[#This Row],[Monthly_Estimated_Living_cost]]*12</f>
        <v>12693.430656934306</v>
      </c>
      <c r="Q277" s="13">
        <f>Table1[[#This Row],[Tuition_USD]]+Table1[[#This Row],[Rent_USD]]+Table1[[#This Row],[Insurance_USD]]+Table1[[#This Row],[Visa_Fee_USD]]+Table1[[#This Row],[Annual_Estimated_Living_cost]]</f>
        <v>36083.430656934303</v>
      </c>
    </row>
    <row r="278" spans="1:17" x14ac:dyDescent="0.25">
      <c r="A278" s="2" t="s">
        <v>17</v>
      </c>
      <c r="B278" s="1" t="s">
        <v>580</v>
      </c>
      <c r="C278" s="1" t="s">
        <v>581</v>
      </c>
      <c r="D278" s="1" t="s">
        <v>15</v>
      </c>
      <c r="E278" s="1" t="s">
        <v>75</v>
      </c>
      <c r="F278" s="1">
        <v>3</v>
      </c>
      <c r="G278" s="1" t="str">
        <f>CONCATENATE(Table1[[#This Row],[Duration_Years]]," ","years")</f>
        <v>3 years</v>
      </c>
      <c r="H278" s="11">
        <v>20800</v>
      </c>
      <c r="I278" s="1">
        <v>67.2</v>
      </c>
      <c r="J278" s="11">
        <v>800</v>
      </c>
      <c r="K278" s="11">
        <v>490</v>
      </c>
      <c r="L278" s="11">
        <v>800</v>
      </c>
      <c r="M278" s="22">
        <v>0.79</v>
      </c>
      <c r="N278" s="3" t="str">
        <f>IF(Table1[[#This Row],[Exchange_Rate]]&lt;5,"Strong Currency", IF(Table1[[#This Row],[Exchange_Rate]]&lt;=1000, "Medium Currency","Weak Currency"))</f>
        <v>Strong Currency</v>
      </c>
      <c r="O278" s="11">
        <f>(Table1[[#This Row],[Living_Cost_Index]]/123.3)*1850</f>
        <v>1008.272506082725</v>
      </c>
      <c r="P278" s="11">
        <f>Table1[[#This Row],[Monthly_Estimated_Living_cost]]*12</f>
        <v>12099.2700729927</v>
      </c>
      <c r="Q278" s="13">
        <f>Table1[[#This Row],[Tuition_USD]]+Table1[[#This Row],[Rent_USD]]+Table1[[#This Row],[Insurance_USD]]+Table1[[#This Row],[Visa_Fee_USD]]+Table1[[#This Row],[Annual_Estimated_Living_cost]]</f>
        <v>34989.270072992702</v>
      </c>
    </row>
    <row r="279" spans="1:17" x14ac:dyDescent="0.25">
      <c r="A279" s="2" t="s">
        <v>17</v>
      </c>
      <c r="B279" s="1" t="s">
        <v>582</v>
      </c>
      <c r="C279" s="1" t="s">
        <v>583</v>
      </c>
      <c r="D279" s="1" t="s">
        <v>15</v>
      </c>
      <c r="E279" s="1" t="s">
        <v>75</v>
      </c>
      <c r="F279" s="1">
        <v>3</v>
      </c>
      <c r="G279" s="1" t="str">
        <f>CONCATENATE(Table1[[#This Row],[Duration_Years]]," ","years")</f>
        <v>3 years</v>
      </c>
      <c r="H279" s="11">
        <v>20500</v>
      </c>
      <c r="I279" s="1">
        <v>68.5</v>
      </c>
      <c r="J279" s="11">
        <v>900</v>
      </c>
      <c r="K279" s="11">
        <v>490</v>
      </c>
      <c r="L279" s="11">
        <v>800</v>
      </c>
      <c r="M279" s="22">
        <v>0.79</v>
      </c>
      <c r="N279" s="3" t="str">
        <f>IF(Table1[[#This Row],[Exchange_Rate]]&lt;5,"Strong Currency", IF(Table1[[#This Row],[Exchange_Rate]]&lt;=1000, "Medium Currency","Weak Currency"))</f>
        <v>Strong Currency</v>
      </c>
      <c r="O279" s="11">
        <f>(Table1[[#This Row],[Living_Cost_Index]]/123.3)*1850</f>
        <v>1027.7777777777778</v>
      </c>
      <c r="P279" s="11">
        <f>Table1[[#This Row],[Monthly_Estimated_Living_cost]]*12</f>
        <v>12333.333333333334</v>
      </c>
      <c r="Q279" s="13">
        <f>Table1[[#This Row],[Tuition_USD]]+Table1[[#This Row],[Rent_USD]]+Table1[[#This Row],[Insurance_USD]]+Table1[[#This Row],[Visa_Fee_USD]]+Table1[[#This Row],[Annual_Estimated_Living_cost]]</f>
        <v>35023.333333333336</v>
      </c>
    </row>
    <row r="280" spans="1:17" x14ac:dyDescent="0.25">
      <c r="A280" s="2" t="s">
        <v>17</v>
      </c>
      <c r="B280" s="1" t="s">
        <v>584</v>
      </c>
      <c r="C280" s="1" t="s">
        <v>585</v>
      </c>
      <c r="D280" s="1" t="s">
        <v>15</v>
      </c>
      <c r="E280" s="1" t="s">
        <v>75</v>
      </c>
      <c r="F280" s="1">
        <v>3</v>
      </c>
      <c r="G280" s="1" t="str">
        <f>CONCATENATE(Table1[[#This Row],[Duration_Years]]," ","years")</f>
        <v>3 years</v>
      </c>
      <c r="H280" s="11">
        <v>20200</v>
      </c>
      <c r="I280" s="1">
        <v>69.8</v>
      </c>
      <c r="J280" s="11">
        <v>950</v>
      </c>
      <c r="K280" s="11">
        <v>490</v>
      </c>
      <c r="L280" s="11">
        <v>800</v>
      </c>
      <c r="M280" s="22">
        <v>0.79</v>
      </c>
      <c r="N280" s="3" t="str">
        <f>IF(Table1[[#This Row],[Exchange_Rate]]&lt;5,"Strong Currency", IF(Table1[[#This Row],[Exchange_Rate]]&lt;=1000, "Medium Currency","Weak Currency"))</f>
        <v>Strong Currency</v>
      </c>
      <c r="O280" s="11">
        <f>(Table1[[#This Row],[Living_Cost_Index]]/123.3)*1850</f>
        <v>1047.2830494728303</v>
      </c>
      <c r="P280" s="11">
        <f>Table1[[#This Row],[Monthly_Estimated_Living_cost]]*12</f>
        <v>12567.396593673962</v>
      </c>
      <c r="Q280" s="13">
        <f>Table1[[#This Row],[Tuition_USD]]+Table1[[#This Row],[Rent_USD]]+Table1[[#This Row],[Insurance_USD]]+Table1[[#This Row],[Visa_Fee_USD]]+Table1[[#This Row],[Annual_Estimated_Living_cost]]</f>
        <v>35007.396593673962</v>
      </c>
    </row>
    <row r="281" spans="1:17" x14ac:dyDescent="0.25">
      <c r="A281" s="2" t="s">
        <v>17</v>
      </c>
      <c r="B281" s="1" t="s">
        <v>586</v>
      </c>
      <c r="C281" s="1" t="s">
        <v>587</v>
      </c>
      <c r="D281" s="1" t="s">
        <v>15</v>
      </c>
      <c r="E281" s="1" t="s">
        <v>75</v>
      </c>
      <c r="F281" s="1">
        <v>3</v>
      </c>
      <c r="G281" s="1" t="str">
        <f>CONCATENATE(Table1[[#This Row],[Duration_Years]]," ","years")</f>
        <v>3 years</v>
      </c>
      <c r="H281" s="11">
        <v>19900</v>
      </c>
      <c r="I281" s="1">
        <v>77.8</v>
      </c>
      <c r="J281" s="11">
        <v>1500</v>
      </c>
      <c r="K281" s="11">
        <v>490</v>
      </c>
      <c r="L281" s="11">
        <v>800</v>
      </c>
      <c r="M281" s="22">
        <v>0.79</v>
      </c>
      <c r="N281" s="3" t="str">
        <f>IF(Table1[[#This Row],[Exchange_Rate]]&lt;5,"Strong Currency", IF(Table1[[#This Row],[Exchange_Rate]]&lt;=1000, "Medium Currency","Weak Currency"))</f>
        <v>Strong Currency</v>
      </c>
      <c r="O281" s="11">
        <f>(Table1[[#This Row],[Living_Cost_Index]]/123.3)*1850</f>
        <v>1167.315490673155</v>
      </c>
      <c r="P281" s="11">
        <f>Table1[[#This Row],[Monthly_Estimated_Living_cost]]*12</f>
        <v>14007.785888077859</v>
      </c>
      <c r="Q281" s="13">
        <f>Table1[[#This Row],[Tuition_USD]]+Table1[[#This Row],[Rent_USD]]+Table1[[#This Row],[Insurance_USD]]+Table1[[#This Row],[Visa_Fee_USD]]+Table1[[#This Row],[Annual_Estimated_Living_cost]]</f>
        <v>36697.785888077859</v>
      </c>
    </row>
    <row r="282" spans="1:17" x14ac:dyDescent="0.25">
      <c r="A282" s="2" t="s">
        <v>17</v>
      </c>
      <c r="B282" s="1" t="s">
        <v>588</v>
      </c>
      <c r="C282" s="1" t="s">
        <v>589</v>
      </c>
      <c r="D282" s="1" t="s">
        <v>15</v>
      </c>
      <c r="E282" s="1" t="s">
        <v>75</v>
      </c>
      <c r="F282" s="1">
        <v>3</v>
      </c>
      <c r="G282" s="1" t="str">
        <f>CONCATENATE(Table1[[#This Row],[Duration_Years]]," ","years")</f>
        <v>3 years</v>
      </c>
      <c r="H282" s="11">
        <v>19600</v>
      </c>
      <c r="I282" s="1">
        <v>68.900000000000006</v>
      </c>
      <c r="J282" s="11">
        <v>900</v>
      </c>
      <c r="K282" s="11">
        <v>490</v>
      </c>
      <c r="L282" s="11">
        <v>800</v>
      </c>
      <c r="M282" s="22">
        <v>0.79</v>
      </c>
      <c r="N282" s="3" t="str">
        <f>IF(Table1[[#This Row],[Exchange_Rate]]&lt;5,"Strong Currency", IF(Table1[[#This Row],[Exchange_Rate]]&lt;=1000, "Medium Currency","Weak Currency"))</f>
        <v>Strong Currency</v>
      </c>
      <c r="O282" s="11">
        <f>(Table1[[#This Row],[Living_Cost_Index]]/123.3)*1850</f>
        <v>1033.779399837794</v>
      </c>
      <c r="P282" s="11">
        <f>Table1[[#This Row],[Monthly_Estimated_Living_cost]]*12</f>
        <v>12405.352798053529</v>
      </c>
      <c r="Q282" s="13">
        <f>Table1[[#This Row],[Tuition_USD]]+Table1[[#This Row],[Rent_USD]]+Table1[[#This Row],[Insurance_USD]]+Table1[[#This Row],[Visa_Fee_USD]]+Table1[[#This Row],[Annual_Estimated_Living_cost]]</f>
        <v>34195.352798053529</v>
      </c>
    </row>
    <row r="283" spans="1:17" x14ac:dyDescent="0.25">
      <c r="A283" s="2" t="s">
        <v>17</v>
      </c>
      <c r="B283" s="1" t="s">
        <v>590</v>
      </c>
      <c r="C283" s="1" t="s">
        <v>591</v>
      </c>
      <c r="D283" s="1" t="s">
        <v>15</v>
      </c>
      <c r="E283" s="1" t="s">
        <v>75</v>
      </c>
      <c r="F283" s="1">
        <v>3</v>
      </c>
      <c r="G283" s="1" t="str">
        <f>CONCATENATE(Table1[[#This Row],[Duration_Years]]," ","years")</f>
        <v>3 years</v>
      </c>
      <c r="H283" s="11">
        <v>19300</v>
      </c>
      <c r="I283" s="1">
        <v>83.2</v>
      </c>
      <c r="J283" s="11">
        <v>1800</v>
      </c>
      <c r="K283" s="11">
        <v>490</v>
      </c>
      <c r="L283" s="11">
        <v>800</v>
      </c>
      <c r="M283" s="22">
        <v>0.79</v>
      </c>
      <c r="N283" s="3" t="str">
        <f>IF(Table1[[#This Row],[Exchange_Rate]]&lt;5,"Strong Currency", IF(Table1[[#This Row],[Exchange_Rate]]&lt;=1000, "Medium Currency","Weak Currency"))</f>
        <v>Strong Currency</v>
      </c>
      <c r="O283" s="11">
        <f>(Table1[[#This Row],[Living_Cost_Index]]/123.3)*1850</f>
        <v>1248.3373884833738</v>
      </c>
      <c r="P283" s="11">
        <f>Table1[[#This Row],[Monthly_Estimated_Living_cost]]*12</f>
        <v>14980.048661800487</v>
      </c>
      <c r="Q283" s="13">
        <f>Table1[[#This Row],[Tuition_USD]]+Table1[[#This Row],[Rent_USD]]+Table1[[#This Row],[Insurance_USD]]+Table1[[#This Row],[Visa_Fee_USD]]+Table1[[#This Row],[Annual_Estimated_Living_cost]]</f>
        <v>37370.048661800487</v>
      </c>
    </row>
    <row r="284" spans="1:17" x14ac:dyDescent="0.25">
      <c r="A284" s="2" t="s">
        <v>17</v>
      </c>
      <c r="B284" s="1" t="s">
        <v>592</v>
      </c>
      <c r="C284" s="1" t="s">
        <v>593</v>
      </c>
      <c r="D284" s="1" t="s">
        <v>15</v>
      </c>
      <c r="E284" s="1" t="s">
        <v>75</v>
      </c>
      <c r="F284" s="1">
        <v>3</v>
      </c>
      <c r="G284" s="1" t="str">
        <f>CONCATENATE(Table1[[#This Row],[Duration_Years]]," ","years")</f>
        <v>3 years</v>
      </c>
      <c r="H284" s="11">
        <v>19000</v>
      </c>
      <c r="I284" s="1">
        <v>83.2</v>
      </c>
      <c r="J284" s="11">
        <v>1700</v>
      </c>
      <c r="K284" s="11">
        <v>490</v>
      </c>
      <c r="L284" s="11">
        <v>800</v>
      </c>
      <c r="M284" s="22">
        <v>0.79</v>
      </c>
      <c r="N284" s="3" t="str">
        <f>IF(Table1[[#This Row],[Exchange_Rate]]&lt;5,"Strong Currency", IF(Table1[[#This Row],[Exchange_Rate]]&lt;=1000, "Medium Currency","Weak Currency"))</f>
        <v>Strong Currency</v>
      </c>
      <c r="O284" s="11">
        <f>(Table1[[#This Row],[Living_Cost_Index]]/123.3)*1850</f>
        <v>1248.3373884833738</v>
      </c>
      <c r="P284" s="11">
        <f>Table1[[#This Row],[Monthly_Estimated_Living_cost]]*12</f>
        <v>14980.048661800487</v>
      </c>
      <c r="Q284" s="13">
        <f>Table1[[#This Row],[Tuition_USD]]+Table1[[#This Row],[Rent_USD]]+Table1[[#This Row],[Insurance_USD]]+Table1[[#This Row],[Visa_Fee_USD]]+Table1[[#This Row],[Annual_Estimated_Living_cost]]</f>
        <v>36970.048661800487</v>
      </c>
    </row>
    <row r="285" spans="1:17" x14ac:dyDescent="0.25">
      <c r="A285" s="2" t="s">
        <v>17</v>
      </c>
      <c r="B285" s="1" t="s">
        <v>594</v>
      </c>
      <c r="C285" s="1" t="s">
        <v>595</v>
      </c>
      <c r="D285" s="1" t="s">
        <v>15</v>
      </c>
      <c r="E285" s="1" t="s">
        <v>75</v>
      </c>
      <c r="F285" s="1">
        <v>3</v>
      </c>
      <c r="G285" s="1" t="str">
        <f>CONCATENATE(Table1[[#This Row],[Duration_Years]]," ","years")</f>
        <v>3 years</v>
      </c>
      <c r="H285" s="11">
        <v>18700</v>
      </c>
      <c r="I285" s="1">
        <v>83.2</v>
      </c>
      <c r="J285" s="11">
        <v>1600</v>
      </c>
      <c r="K285" s="11">
        <v>490</v>
      </c>
      <c r="L285" s="11">
        <v>800</v>
      </c>
      <c r="M285" s="22">
        <v>0.79</v>
      </c>
      <c r="N285" s="3" t="str">
        <f>IF(Table1[[#This Row],[Exchange_Rate]]&lt;5,"Strong Currency", IF(Table1[[#This Row],[Exchange_Rate]]&lt;=1000, "Medium Currency","Weak Currency"))</f>
        <v>Strong Currency</v>
      </c>
      <c r="O285" s="11">
        <f>(Table1[[#This Row],[Living_Cost_Index]]/123.3)*1850</f>
        <v>1248.3373884833738</v>
      </c>
      <c r="P285" s="11">
        <f>Table1[[#This Row],[Monthly_Estimated_Living_cost]]*12</f>
        <v>14980.048661800487</v>
      </c>
      <c r="Q285" s="13">
        <f>Table1[[#This Row],[Tuition_USD]]+Table1[[#This Row],[Rent_USD]]+Table1[[#This Row],[Insurance_USD]]+Table1[[#This Row],[Visa_Fee_USD]]+Table1[[#This Row],[Annual_Estimated_Living_cost]]</f>
        <v>36570.048661800487</v>
      </c>
    </row>
    <row r="286" spans="1:17" x14ac:dyDescent="0.25">
      <c r="A286" s="2" t="s">
        <v>21</v>
      </c>
      <c r="B286" s="1" t="s">
        <v>22</v>
      </c>
      <c r="C286" s="1" t="s">
        <v>23</v>
      </c>
      <c r="D286" s="1" t="s">
        <v>15</v>
      </c>
      <c r="E286" s="1" t="s">
        <v>75</v>
      </c>
      <c r="F286" s="1">
        <v>4</v>
      </c>
      <c r="G286" s="1" t="str">
        <f>CONCATENATE(Table1[[#This Row],[Duration_Years]]," ","years")</f>
        <v>4 years</v>
      </c>
      <c r="H286" s="11">
        <v>45200</v>
      </c>
      <c r="I286" s="1">
        <v>73.5</v>
      </c>
      <c r="J286" s="11">
        <v>1800</v>
      </c>
      <c r="K286" s="11">
        <v>235</v>
      </c>
      <c r="L286" s="11">
        <v>600</v>
      </c>
      <c r="M286" s="22">
        <v>1.35</v>
      </c>
      <c r="N286" s="3" t="str">
        <f>IF(Table1[[#This Row],[Exchange_Rate]]&lt;5,"Strong Currency", IF(Table1[[#This Row],[Exchange_Rate]]&lt;=1000, "Medium Currency","Weak Currency"))</f>
        <v>Strong Currency</v>
      </c>
      <c r="O286" s="11">
        <f>(Table1[[#This Row],[Living_Cost_Index]]/123.3)*1850</f>
        <v>1102.7980535279805</v>
      </c>
      <c r="P286" s="11">
        <f>Table1[[#This Row],[Monthly_Estimated_Living_cost]]*12</f>
        <v>13233.576642335767</v>
      </c>
      <c r="Q286" s="13">
        <f>Table1[[#This Row],[Tuition_USD]]+Table1[[#This Row],[Rent_USD]]+Table1[[#This Row],[Insurance_USD]]+Table1[[#This Row],[Visa_Fee_USD]]+Table1[[#This Row],[Annual_Estimated_Living_cost]]</f>
        <v>61068.576642335771</v>
      </c>
    </row>
    <row r="287" spans="1:17" x14ac:dyDescent="0.25">
      <c r="A287" s="2" t="s">
        <v>21</v>
      </c>
      <c r="B287" s="1" t="s">
        <v>22</v>
      </c>
      <c r="C287" s="1" t="s">
        <v>23</v>
      </c>
      <c r="D287" s="1" t="s">
        <v>15</v>
      </c>
      <c r="E287" s="1" t="s">
        <v>16</v>
      </c>
      <c r="F287" s="1">
        <v>2</v>
      </c>
      <c r="G287" s="1" t="str">
        <f>CONCATENATE(Table1[[#This Row],[Duration_Years]]," ","years")</f>
        <v>2 years</v>
      </c>
      <c r="H287" s="11">
        <v>28500</v>
      </c>
      <c r="I287" s="1">
        <v>73.5</v>
      </c>
      <c r="J287" s="11">
        <v>1800</v>
      </c>
      <c r="K287" s="11">
        <v>235</v>
      </c>
      <c r="L287" s="11">
        <v>600</v>
      </c>
      <c r="M287" s="22">
        <v>1.35</v>
      </c>
      <c r="N287" s="3" t="str">
        <f>IF(Table1[[#This Row],[Exchange_Rate]]&lt;5,"Strong Currency", IF(Table1[[#This Row],[Exchange_Rate]]&lt;=1000, "Medium Currency","Weak Currency"))</f>
        <v>Strong Currency</v>
      </c>
      <c r="O287" s="11">
        <f>(Table1[[#This Row],[Living_Cost_Index]]/123.3)*1850</f>
        <v>1102.7980535279805</v>
      </c>
      <c r="P287" s="11">
        <f>Table1[[#This Row],[Monthly_Estimated_Living_cost]]*12</f>
        <v>13233.576642335767</v>
      </c>
      <c r="Q287" s="13">
        <f>Table1[[#This Row],[Tuition_USD]]+Table1[[#This Row],[Rent_USD]]+Table1[[#This Row],[Insurance_USD]]+Table1[[#This Row],[Visa_Fee_USD]]+Table1[[#This Row],[Annual_Estimated_Living_cost]]</f>
        <v>44368.576642335771</v>
      </c>
    </row>
    <row r="288" spans="1:17" x14ac:dyDescent="0.25">
      <c r="A288" s="2" t="s">
        <v>21</v>
      </c>
      <c r="B288" s="1" t="s">
        <v>175</v>
      </c>
      <c r="C288" s="1" t="s">
        <v>176</v>
      </c>
      <c r="D288" s="1" t="s">
        <v>15</v>
      </c>
      <c r="E288" s="1" t="s">
        <v>75</v>
      </c>
      <c r="F288" s="1">
        <v>4</v>
      </c>
      <c r="G288" s="1" t="str">
        <f>CONCATENATE(Table1[[#This Row],[Duration_Years]]," ","years")</f>
        <v>4 years</v>
      </c>
      <c r="H288" s="11">
        <v>43800</v>
      </c>
      <c r="I288" s="1">
        <v>71.2</v>
      </c>
      <c r="J288" s="11">
        <v>1900</v>
      </c>
      <c r="K288" s="11">
        <v>235</v>
      </c>
      <c r="L288" s="11">
        <v>600</v>
      </c>
      <c r="M288" s="22">
        <v>1.35</v>
      </c>
      <c r="N288" s="3" t="str">
        <f>IF(Table1[[#This Row],[Exchange_Rate]]&lt;5,"Strong Currency", IF(Table1[[#This Row],[Exchange_Rate]]&lt;=1000, "Medium Currency","Weak Currency"))</f>
        <v>Strong Currency</v>
      </c>
      <c r="O288" s="11">
        <f>(Table1[[#This Row],[Living_Cost_Index]]/123.3)*1850</f>
        <v>1068.2887266828873</v>
      </c>
      <c r="P288" s="11">
        <f>Table1[[#This Row],[Monthly_Estimated_Living_cost]]*12</f>
        <v>12819.464720194646</v>
      </c>
      <c r="Q288" s="13">
        <f>Table1[[#This Row],[Tuition_USD]]+Table1[[#This Row],[Rent_USD]]+Table1[[#This Row],[Insurance_USD]]+Table1[[#This Row],[Visa_Fee_USD]]+Table1[[#This Row],[Annual_Estimated_Living_cost]]</f>
        <v>59354.46472019465</v>
      </c>
    </row>
    <row r="289" spans="1:17" x14ac:dyDescent="0.25">
      <c r="A289" s="2" t="s">
        <v>21</v>
      </c>
      <c r="B289" s="1" t="s">
        <v>175</v>
      </c>
      <c r="C289" s="1" t="s">
        <v>176</v>
      </c>
      <c r="D289" s="1" t="s">
        <v>15</v>
      </c>
      <c r="E289" s="1" t="s">
        <v>16</v>
      </c>
      <c r="F289" s="1">
        <v>2</v>
      </c>
      <c r="G289" s="1" t="str">
        <f>CONCATENATE(Table1[[#This Row],[Duration_Years]]," ","years")</f>
        <v>2 years</v>
      </c>
      <c r="H289" s="11">
        <v>27900</v>
      </c>
      <c r="I289" s="1">
        <v>71.2</v>
      </c>
      <c r="J289" s="11">
        <v>1900</v>
      </c>
      <c r="K289" s="11">
        <v>235</v>
      </c>
      <c r="L289" s="11">
        <v>600</v>
      </c>
      <c r="M289" s="22">
        <v>1.35</v>
      </c>
      <c r="N289" s="3" t="str">
        <f>IF(Table1[[#This Row],[Exchange_Rate]]&lt;5,"Strong Currency", IF(Table1[[#This Row],[Exchange_Rate]]&lt;=1000, "Medium Currency","Weak Currency"))</f>
        <v>Strong Currency</v>
      </c>
      <c r="O289" s="11">
        <f>(Table1[[#This Row],[Living_Cost_Index]]/123.3)*1850</f>
        <v>1068.2887266828873</v>
      </c>
      <c r="P289" s="11">
        <f>Table1[[#This Row],[Monthly_Estimated_Living_cost]]*12</f>
        <v>12819.464720194646</v>
      </c>
      <c r="Q289" s="13">
        <f>Table1[[#This Row],[Tuition_USD]]+Table1[[#This Row],[Rent_USD]]+Table1[[#This Row],[Insurance_USD]]+Table1[[#This Row],[Visa_Fee_USD]]+Table1[[#This Row],[Annual_Estimated_Living_cost]]</f>
        <v>43454.46472019465</v>
      </c>
    </row>
    <row r="290" spans="1:17" x14ac:dyDescent="0.25">
      <c r="A290" s="2" t="s">
        <v>21</v>
      </c>
      <c r="B290" s="1" t="s">
        <v>596</v>
      </c>
      <c r="C290" s="1" t="s">
        <v>597</v>
      </c>
      <c r="D290" s="1" t="s">
        <v>15</v>
      </c>
      <c r="E290" s="1" t="s">
        <v>75</v>
      </c>
      <c r="F290" s="1">
        <v>4</v>
      </c>
      <c r="G290" s="1" t="str">
        <f>CONCATENATE(Table1[[#This Row],[Duration_Years]]," ","years")</f>
        <v>4 years</v>
      </c>
      <c r="H290" s="11">
        <v>41500</v>
      </c>
      <c r="I290" s="1">
        <v>65.8</v>
      </c>
      <c r="J290" s="11">
        <v>1500</v>
      </c>
      <c r="K290" s="11">
        <v>235</v>
      </c>
      <c r="L290" s="11">
        <v>600</v>
      </c>
      <c r="M290" s="22">
        <v>1.35</v>
      </c>
      <c r="N290" s="3" t="str">
        <f>IF(Table1[[#This Row],[Exchange_Rate]]&lt;5,"Strong Currency", IF(Table1[[#This Row],[Exchange_Rate]]&lt;=1000, "Medium Currency","Weak Currency"))</f>
        <v>Strong Currency</v>
      </c>
      <c r="O290" s="11">
        <f>(Table1[[#This Row],[Living_Cost_Index]]/123.3)*1850</f>
        <v>987.26682887266816</v>
      </c>
      <c r="P290" s="11">
        <f>Table1[[#This Row],[Monthly_Estimated_Living_cost]]*12</f>
        <v>11847.201946472018</v>
      </c>
      <c r="Q290" s="13">
        <f>Table1[[#This Row],[Tuition_USD]]+Table1[[#This Row],[Rent_USD]]+Table1[[#This Row],[Insurance_USD]]+Table1[[#This Row],[Visa_Fee_USD]]+Table1[[#This Row],[Annual_Estimated_Living_cost]]</f>
        <v>55682.201946472022</v>
      </c>
    </row>
    <row r="291" spans="1:17" x14ac:dyDescent="0.25">
      <c r="A291" s="2" t="s">
        <v>21</v>
      </c>
      <c r="B291" s="1" t="s">
        <v>596</v>
      </c>
      <c r="C291" s="1" t="s">
        <v>597</v>
      </c>
      <c r="D291" s="1" t="s">
        <v>15</v>
      </c>
      <c r="E291" s="1" t="s">
        <v>16</v>
      </c>
      <c r="F291" s="1">
        <v>2</v>
      </c>
      <c r="G291" s="1" t="str">
        <f>CONCATENATE(Table1[[#This Row],[Duration_Years]]," ","years")</f>
        <v>2 years</v>
      </c>
      <c r="H291" s="11">
        <v>26800</v>
      </c>
      <c r="I291" s="1">
        <v>65.8</v>
      </c>
      <c r="J291" s="11">
        <v>1500</v>
      </c>
      <c r="K291" s="11">
        <v>235</v>
      </c>
      <c r="L291" s="11">
        <v>600</v>
      </c>
      <c r="M291" s="22">
        <v>1.35</v>
      </c>
      <c r="N291" s="3" t="str">
        <f>IF(Table1[[#This Row],[Exchange_Rate]]&lt;5,"Strong Currency", IF(Table1[[#This Row],[Exchange_Rate]]&lt;=1000, "Medium Currency","Weak Currency"))</f>
        <v>Strong Currency</v>
      </c>
      <c r="O291" s="11">
        <f>(Table1[[#This Row],[Living_Cost_Index]]/123.3)*1850</f>
        <v>987.26682887266816</v>
      </c>
      <c r="P291" s="11">
        <f>Table1[[#This Row],[Monthly_Estimated_Living_cost]]*12</f>
        <v>11847.201946472018</v>
      </c>
      <c r="Q291" s="13">
        <f>Table1[[#This Row],[Tuition_USD]]+Table1[[#This Row],[Rent_USD]]+Table1[[#This Row],[Insurance_USD]]+Table1[[#This Row],[Visa_Fee_USD]]+Table1[[#This Row],[Annual_Estimated_Living_cost]]</f>
        <v>40982.201946472022</v>
      </c>
    </row>
    <row r="292" spans="1:17" x14ac:dyDescent="0.25">
      <c r="A292" s="2" t="s">
        <v>21</v>
      </c>
      <c r="B292" s="1" t="s">
        <v>138</v>
      </c>
      <c r="C292" s="1" t="s">
        <v>139</v>
      </c>
      <c r="D292" s="1" t="s">
        <v>15</v>
      </c>
      <c r="E292" s="1" t="s">
        <v>75</v>
      </c>
      <c r="F292" s="1">
        <v>4</v>
      </c>
      <c r="G292" s="1" t="str">
        <f>CONCATENATE(Table1[[#This Row],[Duration_Years]]," ","years")</f>
        <v>4 years</v>
      </c>
      <c r="H292" s="11">
        <v>40900</v>
      </c>
      <c r="I292" s="1">
        <v>62.4</v>
      </c>
      <c r="J292" s="11">
        <v>1300</v>
      </c>
      <c r="K292" s="11">
        <v>235</v>
      </c>
      <c r="L292" s="11">
        <v>600</v>
      </c>
      <c r="M292" s="22">
        <v>1.35</v>
      </c>
      <c r="N292" s="3" t="str">
        <f>IF(Table1[[#This Row],[Exchange_Rate]]&lt;5,"Strong Currency", IF(Table1[[#This Row],[Exchange_Rate]]&lt;=1000, "Medium Currency","Weak Currency"))</f>
        <v>Strong Currency</v>
      </c>
      <c r="O292" s="11">
        <f>(Table1[[#This Row],[Living_Cost_Index]]/123.3)*1850</f>
        <v>936.25304136253055</v>
      </c>
      <c r="P292" s="11">
        <f>Table1[[#This Row],[Monthly_Estimated_Living_cost]]*12</f>
        <v>11235.036496350367</v>
      </c>
      <c r="Q292" s="13">
        <f>Table1[[#This Row],[Tuition_USD]]+Table1[[#This Row],[Rent_USD]]+Table1[[#This Row],[Insurance_USD]]+Table1[[#This Row],[Visa_Fee_USD]]+Table1[[#This Row],[Annual_Estimated_Living_cost]]</f>
        <v>54270.036496350367</v>
      </c>
    </row>
    <row r="293" spans="1:17" x14ac:dyDescent="0.25">
      <c r="A293" s="2" t="s">
        <v>21</v>
      </c>
      <c r="B293" s="1" t="s">
        <v>138</v>
      </c>
      <c r="C293" s="1" t="s">
        <v>139</v>
      </c>
      <c r="D293" s="1" t="s">
        <v>15</v>
      </c>
      <c r="E293" s="1" t="s">
        <v>16</v>
      </c>
      <c r="F293" s="1">
        <v>2</v>
      </c>
      <c r="G293" s="1" t="str">
        <f>CONCATENATE(Table1[[#This Row],[Duration_Years]]," ","years")</f>
        <v>2 years</v>
      </c>
      <c r="H293" s="11">
        <v>26200</v>
      </c>
      <c r="I293" s="1">
        <v>62.4</v>
      </c>
      <c r="J293" s="11">
        <v>1300</v>
      </c>
      <c r="K293" s="11">
        <v>235</v>
      </c>
      <c r="L293" s="11">
        <v>600</v>
      </c>
      <c r="M293" s="22">
        <v>1.35</v>
      </c>
      <c r="N293" s="3" t="str">
        <f>IF(Table1[[#This Row],[Exchange_Rate]]&lt;5,"Strong Currency", IF(Table1[[#This Row],[Exchange_Rate]]&lt;=1000, "Medium Currency","Weak Currency"))</f>
        <v>Strong Currency</v>
      </c>
      <c r="O293" s="11">
        <f>(Table1[[#This Row],[Living_Cost_Index]]/123.3)*1850</f>
        <v>936.25304136253055</v>
      </c>
      <c r="P293" s="11">
        <f>Table1[[#This Row],[Monthly_Estimated_Living_cost]]*12</f>
        <v>11235.036496350367</v>
      </c>
      <c r="Q293" s="13">
        <f>Table1[[#This Row],[Tuition_USD]]+Table1[[#This Row],[Rent_USD]]+Table1[[#This Row],[Insurance_USD]]+Table1[[#This Row],[Visa_Fee_USD]]+Table1[[#This Row],[Annual_Estimated_Living_cost]]</f>
        <v>39570.036496350367</v>
      </c>
    </row>
    <row r="294" spans="1:17" x14ac:dyDescent="0.25">
      <c r="A294" s="2" t="s">
        <v>21</v>
      </c>
      <c r="B294" s="1" t="s">
        <v>596</v>
      </c>
      <c r="C294" s="1" t="s">
        <v>598</v>
      </c>
      <c r="D294" s="1" t="s">
        <v>15</v>
      </c>
      <c r="E294" s="1" t="s">
        <v>75</v>
      </c>
      <c r="F294" s="1">
        <v>4</v>
      </c>
      <c r="G294" s="1" t="str">
        <f>CONCATENATE(Table1[[#This Row],[Duration_Years]]," ","years")</f>
        <v>4 years</v>
      </c>
      <c r="H294" s="11">
        <v>39500</v>
      </c>
      <c r="I294" s="1">
        <v>65.8</v>
      </c>
      <c r="J294" s="11">
        <v>1400</v>
      </c>
      <c r="K294" s="11">
        <v>235</v>
      </c>
      <c r="L294" s="11">
        <v>600</v>
      </c>
      <c r="M294" s="22">
        <v>1.35</v>
      </c>
      <c r="N294" s="3" t="str">
        <f>IF(Table1[[#This Row],[Exchange_Rate]]&lt;5,"Strong Currency", IF(Table1[[#This Row],[Exchange_Rate]]&lt;=1000, "Medium Currency","Weak Currency"))</f>
        <v>Strong Currency</v>
      </c>
      <c r="O294" s="11">
        <f>(Table1[[#This Row],[Living_Cost_Index]]/123.3)*1850</f>
        <v>987.26682887266816</v>
      </c>
      <c r="P294" s="11">
        <f>Table1[[#This Row],[Monthly_Estimated_Living_cost]]*12</f>
        <v>11847.201946472018</v>
      </c>
      <c r="Q294" s="13">
        <f>Table1[[#This Row],[Tuition_USD]]+Table1[[#This Row],[Rent_USD]]+Table1[[#This Row],[Insurance_USD]]+Table1[[#This Row],[Visa_Fee_USD]]+Table1[[#This Row],[Annual_Estimated_Living_cost]]</f>
        <v>53582.201946472022</v>
      </c>
    </row>
    <row r="295" spans="1:17" x14ac:dyDescent="0.25">
      <c r="A295" s="2" t="s">
        <v>21</v>
      </c>
      <c r="B295" s="1" t="s">
        <v>596</v>
      </c>
      <c r="C295" s="1" t="s">
        <v>598</v>
      </c>
      <c r="D295" s="1" t="s">
        <v>15</v>
      </c>
      <c r="E295" s="1" t="s">
        <v>16</v>
      </c>
      <c r="F295" s="1">
        <v>2</v>
      </c>
      <c r="G295" s="1" t="str">
        <f>CONCATENATE(Table1[[#This Row],[Duration_Years]]," ","years")</f>
        <v>2 years</v>
      </c>
      <c r="H295" s="11">
        <v>25800</v>
      </c>
      <c r="I295" s="1">
        <v>65.8</v>
      </c>
      <c r="J295" s="11">
        <v>1400</v>
      </c>
      <c r="K295" s="11">
        <v>235</v>
      </c>
      <c r="L295" s="11">
        <v>600</v>
      </c>
      <c r="M295" s="22">
        <v>1.35</v>
      </c>
      <c r="N295" s="3" t="str">
        <f>IF(Table1[[#This Row],[Exchange_Rate]]&lt;5,"Strong Currency", IF(Table1[[#This Row],[Exchange_Rate]]&lt;=1000, "Medium Currency","Weak Currency"))</f>
        <v>Strong Currency</v>
      </c>
      <c r="O295" s="11">
        <f>(Table1[[#This Row],[Living_Cost_Index]]/123.3)*1850</f>
        <v>987.26682887266816</v>
      </c>
      <c r="P295" s="11">
        <f>Table1[[#This Row],[Monthly_Estimated_Living_cost]]*12</f>
        <v>11847.201946472018</v>
      </c>
      <c r="Q295" s="13">
        <f>Table1[[#This Row],[Tuition_USD]]+Table1[[#This Row],[Rent_USD]]+Table1[[#This Row],[Insurance_USD]]+Table1[[#This Row],[Visa_Fee_USD]]+Table1[[#This Row],[Annual_Estimated_Living_cost]]</f>
        <v>39882.201946472022</v>
      </c>
    </row>
    <row r="296" spans="1:17" x14ac:dyDescent="0.25">
      <c r="A296" s="2" t="s">
        <v>21</v>
      </c>
      <c r="B296" s="1" t="s">
        <v>151</v>
      </c>
      <c r="C296" s="1" t="s">
        <v>152</v>
      </c>
      <c r="D296" s="1" t="s">
        <v>15</v>
      </c>
      <c r="E296" s="1" t="s">
        <v>75</v>
      </c>
      <c r="F296" s="1">
        <v>4</v>
      </c>
      <c r="G296" s="1" t="str">
        <f>CONCATENATE(Table1[[#This Row],[Duration_Years]]," ","years")</f>
        <v>4 years</v>
      </c>
      <c r="H296" s="11">
        <v>38200</v>
      </c>
      <c r="I296" s="1">
        <v>61.9</v>
      </c>
      <c r="J296" s="11">
        <v>1200</v>
      </c>
      <c r="K296" s="11">
        <v>235</v>
      </c>
      <c r="L296" s="11">
        <v>600</v>
      </c>
      <c r="M296" s="22">
        <v>1.35</v>
      </c>
      <c r="N296" s="3" t="str">
        <f>IF(Table1[[#This Row],[Exchange_Rate]]&lt;5,"Strong Currency", IF(Table1[[#This Row],[Exchange_Rate]]&lt;=1000, "Medium Currency","Weak Currency"))</f>
        <v>Strong Currency</v>
      </c>
      <c r="O296" s="11">
        <f>(Table1[[#This Row],[Living_Cost_Index]]/123.3)*1850</f>
        <v>928.75101378751015</v>
      </c>
      <c r="P296" s="11">
        <f>Table1[[#This Row],[Monthly_Estimated_Living_cost]]*12</f>
        <v>11145.012165450122</v>
      </c>
      <c r="Q296" s="13">
        <f>Table1[[#This Row],[Tuition_USD]]+Table1[[#This Row],[Rent_USD]]+Table1[[#This Row],[Insurance_USD]]+Table1[[#This Row],[Visa_Fee_USD]]+Table1[[#This Row],[Annual_Estimated_Living_cost]]</f>
        <v>51380.01216545012</v>
      </c>
    </row>
    <row r="297" spans="1:17" x14ac:dyDescent="0.25">
      <c r="A297" s="2" t="s">
        <v>21</v>
      </c>
      <c r="B297" s="1" t="s">
        <v>151</v>
      </c>
      <c r="C297" s="1" t="s">
        <v>152</v>
      </c>
      <c r="D297" s="1" t="s">
        <v>15</v>
      </c>
      <c r="E297" s="1" t="s">
        <v>16</v>
      </c>
      <c r="F297" s="1">
        <v>2</v>
      </c>
      <c r="G297" s="1" t="str">
        <f>CONCATENATE(Table1[[#This Row],[Duration_Years]]," ","years")</f>
        <v>2 years</v>
      </c>
      <c r="H297" s="11">
        <v>24900</v>
      </c>
      <c r="I297" s="1">
        <v>61.9</v>
      </c>
      <c r="J297" s="11">
        <v>1200</v>
      </c>
      <c r="K297" s="11">
        <v>235</v>
      </c>
      <c r="L297" s="11">
        <v>600</v>
      </c>
      <c r="M297" s="22">
        <v>1.35</v>
      </c>
      <c r="N297" s="3" t="str">
        <f>IF(Table1[[#This Row],[Exchange_Rate]]&lt;5,"Strong Currency", IF(Table1[[#This Row],[Exchange_Rate]]&lt;=1000, "Medium Currency","Weak Currency"))</f>
        <v>Strong Currency</v>
      </c>
      <c r="O297" s="11">
        <f>(Table1[[#This Row],[Living_Cost_Index]]/123.3)*1850</f>
        <v>928.75101378751015</v>
      </c>
      <c r="P297" s="11">
        <f>Table1[[#This Row],[Monthly_Estimated_Living_cost]]*12</f>
        <v>11145.012165450122</v>
      </c>
      <c r="Q297" s="13">
        <f>Table1[[#This Row],[Tuition_USD]]+Table1[[#This Row],[Rent_USD]]+Table1[[#This Row],[Insurance_USD]]+Table1[[#This Row],[Visa_Fee_USD]]+Table1[[#This Row],[Annual_Estimated_Living_cost]]</f>
        <v>38080.01216545012</v>
      </c>
    </row>
    <row r="298" spans="1:17" x14ac:dyDescent="0.25">
      <c r="A298" s="2" t="s">
        <v>21</v>
      </c>
      <c r="B298" s="1" t="s">
        <v>100</v>
      </c>
      <c r="C298" s="1" t="s">
        <v>101</v>
      </c>
      <c r="D298" s="1" t="s">
        <v>15</v>
      </c>
      <c r="E298" s="1" t="s">
        <v>75</v>
      </c>
      <c r="F298" s="1">
        <v>4</v>
      </c>
      <c r="G298" s="1" t="str">
        <f>CONCATENATE(Table1[[#This Row],[Duration_Years]]," ","years")</f>
        <v>4 years</v>
      </c>
      <c r="H298" s="11">
        <v>37800</v>
      </c>
      <c r="I298" s="1">
        <v>63.5</v>
      </c>
      <c r="J298" s="11">
        <v>1400</v>
      </c>
      <c r="K298" s="11">
        <v>235</v>
      </c>
      <c r="L298" s="11">
        <v>600</v>
      </c>
      <c r="M298" s="22">
        <v>1.35</v>
      </c>
      <c r="N298" s="3" t="str">
        <f>IF(Table1[[#This Row],[Exchange_Rate]]&lt;5,"Strong Currency", IF(Table1[[#This Row],[Exchange_Rate]]&lt;=1000, "Medium Currency","Weak Currency"))</f>
        <v>Strong Currency</v>
      </c>
      <c r="O298" s="11">
        <f>(Table1[[#This Row],[Living_Cost_Index]]/123.3)*1850</f>
        <v>952.75750202757501</v>
      </c>
      <c r="P298" s="11">
        <f>Table1[[#This Row],[Monthly_Estimated_Living_cost]]*12</f>
        <v>11433.090024330901</v>
      </c>
      <c r="Q298" s="13">
        <f>Table1[[#This Row],[Tuition_USD]]+Table1[[#This Row],[Rent_USD]]+Table1[[#This Row],[Insurance_USD]]+Table1[[#This Row],[Visa_Fee_USD]]+Table1[[#This Row],[Annual_Estimated_Living_cost]]</f>
        <v>51468.090024330901</v>
      </c>
    </row>
    <row r="299" spans="1:17" x14ac:dyDescent="0.25">
      <c r="A299" s="2" t="s">
        <v>21</v>
      </c>
      <c r="B299" s="1" t="s">
        <v>100</v>
      </c>
      <c r="C299" s="1" t="s">
        <v>101</v>
      </c>
      <c r="D299" s="1" t="s">
        <v>15</v>
      </c>
      <c r="E299" s="1" t="s">
        <v>16</v>
      </c>
      <c r="F299" s="1">
        <v>2</v>
      </c>
      <c r="G299" s="1" t="str">
        <f>CONCATENATE(Table1[[#This Row],[Duration_Years]]," ","years")</f>
        <v>2 years</v>
      </c>
      <c r="H299" s="11">
        <v>24500</v>
      </c>
      <c r="I299" s="1">
        <v>63.5</v>
      </c>
      <c r="J299" s="11">
        <v>1400</v>
      </c>
      <c r="K299" s="11">
        <v>235</v>
      </c>
      <c r="L299" s="11">
        <v>600</v>
      </c>
      <c r="M299" s="22">
        <v>1.35</v>
      </c>
      <c r="N299" s="3" t="str">
        <f>IF(Table1[[#This Row],[Exchange_Rate]]&lt;5,"Strong Currency", IF(Table1[[#This Row],[Exchange_Rate]]&lt;=1000, "Medium Currency","Weak Currency"))</f>
        <v>Strong Currency</v>
      </c>
      <c r="O299" s="11">
        <f>(Table1[[#This Row],[Living_Cost_Index]]/123.3)*1850</f>
        <v>952.75750202757501</v>
      </c>
      <c r="P299" s="11">
        <f>Table1[[#This Row],[Monthly_Estimated_Living_cost]]*12</f>
        <v>11433.090024330901</v>
      </c>
      <c r="Q299" s="13">
        <f>Table1[[#This Row],[Tuition_USD]]+Table1[[#This Row],[Rent_USD]]+Table1[[#This Row],[Insurance_USD]]+Table1[[#This Row],[Visa_Fee_USD]]+Table1[[#This Row],[Annual_Estimated_Living_cost]]</f>
        <v>38168.090024330901</v>
      </c>
    </row>
    <row r="300" spans="1:17" x14ac:dyDescent="0.25">
      <c r="A300" s="2" t="s">
        <v>21</v>
      </c>
      <c r="B300" s="1" t="s">
        <v>333</v>
      </c>
      <c r="C300" s="1" t="s">
        <v>334</v>
      </c>
      <c r="D300" s="1" t="s">
        <v>15</v>
      </c>
      <c r="E300" s="1" t="s">
        <v>75</v>
      </c>
      <c r="F300" s="1">
        <v>4</v>
      </c>
      <c r="G300" s="1" t="str">
        <f>CONCATENATE(Table1[[#This Row],[Duration_Years]]," ","years")</f>
        <v>4 years</v>
      </c>
      <c r="H300" s="11">
        <v>37200</v>
      </c>
      <c r="I300" s="1">
        <v>62.8</v>
      </c>
      <c r="J300" s="11">
        <v>1300</v>
      </c>
      <c r="K300" s="11">
        <v>235</v>
      </c>
      <c r="L300" s="11">
        <v>600</v>
      </c>
      <c r="M300" s="22">
        <v>1.35</v>
      </c>
      <c r="N300" s="3" t="str">
        <f>IF(Table1[[#This Row],[Exchange_Rate]]&lt;5,"Strong Currency", IF(Table1[[#This Row],[Exchange_Rate]]&lt;=1000, "Medium Currency","Weak Currency"))</f>
        <v>Strong Currency</v>
      </c>
      <c r="O300" s="11">
        <f>(Table1[[#This Row],[Living_Cost_Index]]/123.3)*1850</f>
        <v>942.25466342254663</v>
      </c>
      <c r="P300" s="11">
        <f>Table1[[#This Row],[Monthly_Estimated_Living_cost]]*12</f>
        <v>11307.05596107056</v>
      </c>
      <c r="Q300" s="13">
        <f>Table1[[#This Row],[Tuition_USD]]+Table1[[#This Row],[Rent_USD]]+Table1[[#This Row],[Insurance_USD]]+Table1[[#This Row],[Visa_Fee_USD]]+Table1[[#This Row],[Annual_Estimated_Living_cost]]</f>
        <v>50642.05596107056</v>
      </c>
    </row>
    <row r="301" spans="1:17" x14ac:dyDescent="0.25">
      <c r="A301" s="2" t="s">
        <v>21</v>
      </c>
      <c r="B301" s="1" t="s">
        <v>333</v>
      </c>
      <c r="C301" s="1" t="s">
        <v>334</v>
      </c>
      <c r="D301" s="1" t="s">
        <v>15</v>
      </c>
      <c r="E301" s="1" t="s">
        <v>16</v>
      </c>
      <c r="F301" s="1">
        <v>2</v>
      </c>
      <c r="G301" s="1" t="str">
        <f>CONCATENATE(Table1[[#This Row],[Duration_Years]]," ","years")</f>
        <v>2 years</v>
      </c>
      <c r="H301" s="11">
        <v>24100</v>
      </c>
      <c r="I301" s="1">
        <v>62.8</v>
      </c>
      <c r="J301" s="11">
        <v>1300</v>
      </c>
      <c r="K301" s="11">
        <v>235</v>
      </c>
      <c r="L301" s="11">
        <v>600</v>
      </c>
      <c r="M301" s="22">
        <v>1.35</v>
      </c>
      <c r="N301" s="3" t="str">
        <f>IF(Table1[[#This Row],[Exchange_Rate]]&lt;5,"Strong Currency", IF(Table1[[#This Row],[Exchange_Rate]]&lt;=1000, "Medium Currency","Weak Currency"))</f>
        <v>Strong Currency</v>
      </c>
      <c r="O301" s="11">
        <f>(Table1[[#This Row],[Living_Cost_Index]]/123.3)*1850</f>
        <v>942.25466342254663</v>
      </c>
      <c r="P301" s="11">
        <f>Table1[[#This Row],[Monthly_Estimated_Living_cost]]*12</f>
        <v>11307.05596107056</v>
      </c>
      <c r="Q301" s="13">
        <f>Table1[[#This Row],[Tuition_USD]]+Table1[[#This Row],[Rent_USD]]+Table1[[#This Row],[Insurance_USD]]+Table1[[#This Row],[Visa_Fee_USD]]+Table1[[#This Row],[Annual_Estimated_Living_cost]]</f>
        <v>37542.05596107056</v>
      </c>
    </row>
    <row r="302" spans="1:17" x14ac:dyDescent="0.25">
      <c r="A302" s="2" t="s">
        <v>21</v>
      </c>
      <c r="B302" s="1" t="s">
        <v>309</v>
      </c>
      <c r="C302" s="1" t="s">
        <v>310</v>
      </c>
      <c r="D302" s="1" t="s">
        <v>15</v>
      </c>
      <c r="E302" s="1" t="s">
        <v>75</v>
      </c>
      <c r="F302" s="1">
        <v>4</v>
      </c>
      <c r="G302" s="1" t="str">
        <f>CONCATENATE(Table1[[#This Row],[Duration_Years]]," ","years")</f>
        <v>4 years</v>
      </c>
      <c r="H302" s="11">
        <v>36500</v>
      </c>
      <c r="I302" s="1">
        <v>64.2</v>
      </c>
      <c r="J302" s="11">
        <v>1250</v>
      </c>
      <c r="K302" s="11">
        <v>235</v>
      </c>
      <c r="L302" s="11">
        <v>600</v>
      </c>
      <c r="M302" s="22">
        <v>1.35</v>
      </c>
      <c r="N302" s="3" t="str">
        <f>IF(Table1[[#This Row],[Exchange_Rate]]&lt;5,"Strong Currency", IF(Table1[[#This Row],[Exchange_Rate]]&lt;=1000, "Medium Currency","Weak Currency"))</f>
        <v>Strong Currency</v>
      </c>
      <c r="O302" s="11">
        <f>(Table1[[#This Row],[Living_Cost_Index]]/123.3)*1850</f>
        <v>963.26034063260352</v>
      </c>
      <c r="P302" s="11">
        <f>Table1[[#This Row],[Monthly_Estimated_Living_cost]]*12</f>
        <v>11559.124087591243</v>
      </c>
      <c r="Q302" s="13">
        <f>Table1[[#This Row],[Tuition_USD]]+Table1[[#This Row],[Rent_USD]]+Table1[[#This Row],[Insurance_USD]]+Table1[[#This Row],[Visa_Fee_USD]]+Table1[[#This Row],[Annual_Estimated_Living_cost]]</f>
        <v>50144.124087591241</v>
      </c>
    </row>
    <row r="303" spans="1:17" x14ac:dyDescent="0.25">
      <c r="A303" s="2" t="s">
        <v>21</v>
      </c>
      <c r="B303" s="1" t="s">
        <v>309</v>
      </c>
      <c r="C303" s="1" t="s">
        <v>310</v>
      </c>
      <c r="D303" s="1" t="s">
        <v>15</v>
      </c>
      <c r="E303" s="1" t="s">
        <v>16</v>
      </c>
      <c r="F303" s="1">
        <v>2</v>
      </c>
      <c r="G303" s="1" t="str">
        <f>CONCATENATE(Table1[[#This Row],[Duration_Years]]," ","years")</f>
        <v>2 years</v>
      </c>
      <c r="H303" s="11">
        <v>23800</v>
      </c>
      <c r="I303" s="1">
        <v>64.2</v>
      </c>
      <c r="J303" s="11">
        <v>1250</v>
      </c>
      <c r="K303" s="11">
        <v>235</v>
      </c>
      <c r="L303" s="11">
        <v>600</v>
      </c>
      <c r="M303" s="22">
        <v>1.35</v>
      </c>
      <c r="N303" s="3" t="str">
        <f>IF(Table1[[#This Row],[Exchange_Rate]]&lt;5,"Strong Currency", IF(Table1[[#This Row],[Exchange_Rate]]&lt;=1000, "Medium Currency","Weak Currency"))</f>
        <v>Strong Currency</v>
      </c>
      <c r="O303" s="11">
        <f>(Table1[[#This Row],[Living_Cost_Index]]/123.3)*1850</f>
        <v>963.26034063260352</v>
      </c>
      <c r="P303" s="11">
        <f>Table1[[#This Row],[Monthly_Estimated_Living_cost]]*12</f>
        <v>11559.124087591243</v>
      </c>
      <c r="Q303" s="13">
        <f>Table1[[#This Row],[Tuition_USD]]+Table1[[#This Row],[Rent_USD]]+Table1[[#This Row],[Insurance_USD]]+Table1[[#This Row],[Visa_Fee_USD]]+Table1[[#This Row],[Annual_Estimated_Living_cost]]</f>
        <v>37444.124087591241</v>
      </c>
    </row>
    <row r="304" spans="1:17" x14ac:dyDescent="0.25">
      <c r="A304" s="2" t="s">
        <v>21</v>
      </c>
      <c r="B304" s="1" t="s">
        <v>18</v>
      </c>
      <c r="C304" s="1" t="s">
        <v>312</v>
      </c>
      <c r="D304" s="1" t="s">
        <v>15</v>
      </c>
      <c r="E304" s="1" t="s">
        <v>75</v>
      </c>
      <c r="F304" s="1">
        <v>4</v>
      </c>
      <c r="G304" s="1" t="str">
        <f>CONCATENATE(Table1[[#This Row],[Duration_Years]]," ","years")</f>
        <v>4 years</v>
      </c>
      <c r="H304" s="11">
        <v>35900</v>
      </c>
      <c r="I304" s="1">
        <v>61.5</v>
      </c>
      <c r="J304" s="11">
        <v>1200</v>
      </c>
      <c r="K304" s="11">
        <v>235</v>
      </c>
      <c r="L304" s="11">
        <v>600</v>
      </c>
      <c r="M304" s="22">
        <v>1.35</v>
      </c>
      <c r="N304" s="3" t="str">
        <f>IF(Table1[[#This Row],[Exchange_Rate]]&lt;5,"Strong Currency", IF(Table1[[#This Row],[Exchange_Rate]]&lt;=1000, "Medium Currency","Weak Currency"))</f>
        <v>Strong Currency</v>
      </c>
      <c r="O304" s="11">
        <f>(Table1[[#This Row],[Living_Cost_Index]]/123.3)*1850</f>
        <v>922.74939172749396</v>
      </c>
      <c r="P304" s="11">
        <f>Table1[[#This Row],[Monthly_Estimated_Living_cost]]*12</f>
        <v>11072.992700729927</v>
      </c>
      <c r="Q304" s="13">
        <f>Table1[[#This Row],[Tuition_USD]]+Table1[[#This Row],[Rent_USD]]+Table1[[#This Row],[Insurance_USD]]+Table1[[#This Row],[Visa_Fee_USD]]+Table1[[#This Row],[Annual_Estimated_Living_cost]]</f>
        <v>49007.992700729927</v>
      </c>
    </row>
    <row r="305" spans="1:17" x14ac:dyDescent="0.25">
      <c r="A305" s="2" t="s">
        <v>21</v>
      </c>
      <c r="B305" s="1" t="s">
        <v>18</v>
      </c>
      <c r="C305" s="1" t="s">
        <v>312</v>
      </c>
      <c r="D305" s="1" t="s">
        <v>15</v>
      </c>
      <c r="E305" s="1" t="s">
        <v>16</v>
      </c>
      <c r="F305" s="1">
        <v>2</v>
      </c>
      <c r="G305" s="1" t="str">
        <f>CONCATENATE(Table1[[#This Row],[Duration_Years]]," ","years")</f>
        <v>2 years</v>
      </c>
      <c r="H305" s="11">
        <v>23500</v>
      </c>
      <c r="I305" s="1">
        <v>61.5</v>
      </c>
      <c r="J305" s="11">
        <v>1200</v>
      </c>
      <c r="K305" s="11">
        <v>235</v>
      </c>
      <c r="L305" s="11">
        <v>600</v>
      </c>
      <c r="M305" s="22">
        <v>1.35</v>
      </c>
      <c r="N305" s="3" t="str">
        <f>IF(Table1[[#This Row],[Exchange_Rate]]&lt;5,"Strong Currency", IF(Table1[[#This Row],[Exchange_Rate]]&lt;=1000, "Medium Currency","Weak Currency"))</f>
        <v>Strong Currency</v>
      </c>
      <c r="O305" s="11">
        <f>(Table1[[#This Row],[Living_Cost_Index]]/123.3)*1850</f>
        <v>922.74939172749396</v>
      </c>
      <c r="P305" s="11">
        <f>Table1[[#This Row],[Monthly_Estimated_Living_cost]]*12</f>
        <v>11072.992700729927</v>
      </c>
      <c r="Q305" s="13">
        <f>Table1[[#This Row],[Tuition_USD]]+Table1[[#This Row],[Rent_USD]]+Table1[[#This Row],[Insurance_USD]]+Table1[[#This Row],[Visa_Fee_USD]]+Table1[[#This Row],[Annual_Estimated_Living_cost]]</f>
        <v>36607.992700729927</v>
      </c>
    </row>
    <row r="306" spans="1:17" x14ac:dyDescent="0.25">
      <c r="A306" s="2" t="s">
        <v>21</v>
      </c>
      <c r="B306" s="1" t="s">
        <v>594</v>
      </c>
      <c r="C306" s="1" t="s">
        <v>599</v>
      </c>
      <c r="D306" s="1" t="s">
        <v>15</v>
      </c>
      <c r="E306" s="1" t="s">
        <v>75</v>
      </c>
      <c r="F306" s="1">
        <v>4</v>
      </c>
      <c r="G306" s="1" t="str">
        <f>CONCATENATE(Table1[[#This Row],[Duration_Years]]," ","years")</f>
        <v>4 years</v>
      </c>
      <c r="H306" s="11">
        <v>35400</v>
      </c>
      <c r="I306" s="1">
        <v>62.1</v>
      </c>
      <c r="J306" s="11">
        <v>1300</v>
      </c>
      <c r="K306" s="11">
        <v>235</v>
      </c>
      <c r="L306" s="11">
        <v>600</v>
      </c>
      <c r="M306" s="22">
        <v>1.35</v>
      </c>
      <c r="N306" s="3" t="str">
        <f>IF(Table1[[#This Row],[Exchange_Rate]]&lt;5,"Strong Currency", IF(Table1[[#This Row],[Exchange_Rate]]&lt;=1000, "Medium Currency","Weak Currency"))</f>
        <v>Strong Currency</v>
      </c>
      <c r="O306" s="11">
        <f>(Table1[[#This Row],[Living_Cost_Index]]/123.3)*1850</f>
        <v>931.75182481751835</v>
      </c>
      <c r="P306" s="11">
        <f>Table1[[#This Row],[Monthly_Estimated_Living_cost]]*12</f>
        <v>11181.02189781022</v>
      </c>
      <c r="Q306" s="13">
        <f>Table1[[#This Row],[Tuition_USD]]+Table1[[#This Row],[Rent_USD]]+Table1[[#This Row],[Insurance_USD]]+Table1[[#This Row],[Visa_Fee_USD]]+Table1[[#This Row],[Annual_Estimated_Living_cost]]</f>
        <v>48716.02189781022</v>
      </c>
    </row>
    <row r="307" spans="1:17" x14ac:dyDescent="0.25">
      <c r="A307" s="2" t="s">
        <v>21</v>
      </c>
      <c r="B307" s="1" t="s">
        <v>594</v>
      </c>
      <c r="C307" s="1" t="s">
        <v>599</v>
      </c>
      <c r="D307" s="1" t="s">
        <v>15</v>
      </c>
      <c r="E307" s="1" t="s">
        <v>16</v>
      </c>
      <c r="F307" s="1">
        <v>2</v>
      </c>
      <c r="G307" s="1" t="str">
        <f>CONCATENATE(Table1[[#This Row],[Duration_Years]]," ","years")</f>
        <v>2 years</v>
      </c>
      <c r="H307" s="11">
        <v>23200</v>
      </c>
      <c r="I307" s="1">
        <v>62.1</v>
      </c>
      <c r="J307" s="11">
        <v>1300</v>
      </c>
      <c r="K307" s="11">
        <v>235</v>
      </c>
      <c r="L307" s="11">
        <v>600</v>
      </c>
      <c r="M307" s="22">
        <v>1.35</v>
      </c>
      <c r="N307" s="3" t="str">
        <f>IF(Table1[[#This Row],[Exchange_Rate]]&lt;5,"Strong Currency", IF(Table1[[#This Row],[Exchange_Rate]]&lt;=1000, "Medium Currency","Weak Currency"))</f>
        <v>Strong Currency</v>
      </c>
      <c r="O307" s="11">
        <f>(Table1[[#This Row],[Living_Cost_Index]]/123.3)*1850</f>
        <v>931.75182481751835</v>
      </c>
      <c r="P307" s="11">
        <f>Table1[[#This Row],[Monthly_Estimated_Living_cost]]*12</f>
        <v>11181.02189781022</v>
      </c>
      <c r="Q307" s="13">
        <f>Table1[[#This Row],[Tuition_USD]]+Table1[[#This Row],[Rent_USD]]+Table1[[#This Row],[Insurance_USD]]+Table1[[#This Row],[Visa_Fee_USD]]+Table1[[#This Row],[Annual_Estimated_Living_cost]]</f>
        <v>36516.02189781022</v>
      </c>
    </row>
    <row r="308" spans="1:17" x14ac:dyDescent="0.25">
      <c r="A308" s="2" t="s">
        <v>21</v>
      </c>
      <c r="B308" s="1" t="s">
        <v>315</v>
      </c>
      <c r="C308" s="1" t="s">
        <v>316</v>
      </c>
      <c r="D308" s="1" t="s">
        <v>15</v>
      </c>
      <c r="E308" s="1" t="s">
        <v>75</v>
      </c>
      <c r="F308" s="1">
        <v>4</v>
      </c>
      <c r="G308" s="1" t="str">
        <f>CONCATENATE(Table1[[#This Row],[Duration_Years]]," ","years")</f>
        <v>4 years</v>
      </c>
      <c r="H308" s="11">
        <v>34800</v>
      </c>
      <c r="I308" s="1">
        <v>64.8</v>
      </c>
      <c r="J308" s="11">
        <v>1400</v>
      </c>
      <c r="K308" s="11">
        <v>235</v>
      </c>
      <c r="L308" s="11">
        <v>600</v>
      </c>
      <c r="M308" s="22">
        <v>1.35</v>
      </c>
      <c r="N308" s="3" t="str">
        <f>IF(Table1[[#This Row],[Exchange_Rate]]&lt;5,"Strong Currency", IF(Table1[[#This Row],[Exchange_Rate]]&lt;=1000, "Medium Currency","Weak Currency"))</f>
        <v>Strong Currency</v>
      </c>
      <c r="O308" s="11">
        <f>(Table1[[#This Row],[Living_Cost_Index]]/123.3)*1850</f>
        <v>972.2627737226278</v>
      </c>
      <c r="P308" s="11">
        <f>Table1[[#This Row],[Monthly_Estimated_Living_cost]]*12</f>
        <v>11667.153284671534</v>
      </c>
      <c r="Q308" s="13">
        <f>Table1[[#This Row],[Tuition_USD]]+Table1[[#This Row],[Rent_USD]]+Table1[[#This Row],[Insurance_USD]]+Table1[[#This Row],[Visa_Fee_USD]]+Table1[[#This Row],[Annual_Estimated_Living_cost]]</f>
        <v>48702.153284671534</v>
      </c>
    </row>
    <row r="309" spans="1:17" x14ac:dyDescent="0.25">
      <c r="A309" s="2" t="s">
        <v>21</v>
      </c>
      <c r="B309" s="1" t="s">
        <v>315</v>
      </c>
      <c r="C309" s="1" t="s">
        <v>316</v>
      </c>
      <c r="D309" s="1" t="s">
        <v>15</v>
      </c>
      <c r="E309" s="1" t="s">
        <v>16</v>
      </c>
      <c r="F309" s="1">
        <v>2</v>
      </c>
      <c r="G309" s="1" t="str">
        <f>CONCATENATE(Table1[[#This Row],[Duration_Years]]," ","years")</f>
        <v>2 years</v>
      </c>
      <c r="H309" s="11">
        <v>22900</v>
      </c>
      <c r="I309" s="1">
        <v>64.8</v>
      </c>
      <c r="J309" s="11">
        <v>1400</v>
      </c>
      <c r="K309" s="11">
        <v>235</v>
      </c>
      <c r="L309" s="11">
        <v>600</v>
      </c>
      <c r="M309" s="22">
        <v>1.35</v>
      </c>
      <c r="N309" s="3" t="str">
        <f>IF(Table1[[#This Row],[Exchange_Rate]]&lt;5,"Strong Currency", IF(Table1[[#This Row],[Exchange_Rate]]&lt;=1000, "Medium Currency","Weak Currency"))</f>
        <v>Strong Currency</v>
      </c>
      <c r="O309" s="11">
        <f>(Table1[[#This Row],[Living_Cost_Index]]/123.3)*1850</f>
        <v>972.2627737226278</v>
      </c>
      <c r="P309" s="11">
        <f>Table1[[#This Row],[Monthly_Estimated_Living_cost]]*12</f>
        <v>11667.153284671534</v>
      </c>
      <c r="Q309" s="13">
        <f>Table1[[#This Row],[Tuition_USD]]+Table1[[#This Row],[Rent_USD]]+Table1[[#This Row],[Insurance_USD]]+Table1[[#This Row],[Visa_Fee_USD]]+Table1[[#This Row],[Annual_Estimated_Living_cost]]</f>
        <v>36802.153284671534</v>
      </c>
    </row>
    <row r="310" spans="1:17" x14ac:dyDescent="0.25">
      <c r="A310" s="2" t="s">
        <v>21</v>
      </c>
      <c r="B310" s="1" t="s">
        <v>313</v>
      </c>
      <c r="C310" s="1" t="s">
        <v>314</v>
      </c>
      <c r="D310" s="1" t="s">
        <v>15</v>
      </c>
      <c r="E310" s="1" t="s">
        <v>75</v>
      </c>
      <c r="F310" s="1">
        <v>4</v>
      </c>
      <c r="G310" s="1" t="str">
        <f>CONCATENATE(Table1[[#This Row],[Duration_Years]]," ","years")</f>
        <v>4 years</v>
      </c>
      <c r="H310" s="11">
        <v>34200</v>
      </c>
      <c r="I310" s="1">
        <v>61.2</v>
      </c>
      <c r="J310" s="11">
        <v>1200</v>
      </c>
      <c r="K310" s="11">
        <v>235</v>
      </c>
      <c r="L310" s="11">
        <v>600</v>
      </c>
      <c r="M310" s="22">
        <v>1.35</v>
      </c>
      <c r="N310" s="3" t="str">
        <f>IF(Table1[[#This Row],[Exchange_Rate]]&lt;5,"Strong Currency", IF(Table1[[#This Row],[Exchange_Rate]]&lt;=1000, "Medium Currency","Weak Currency"))</f>
        <v>Strong Currency</v>
      </c>
      <c r="O310" s="11">
        <f>(Table1[[#This Row],[Living_Cost_Index]]/123.3)*1850</f>
        <v>918.24817518248187</v>
      </c>
      <c r="P310" s="11">
        <f>Table1[[#This Row],[Monthly_Estimated_Living_cost]]*12</f>
        <v>11018.978102189783</v>
      </c>
      <c r="Q310" s="13">
        <f>Table1[[#This Row],[Tuition_USD]]+Table1[[#This Row],[Rent_USD]]+Table1[[#This Row],[Insurance_USD]]+Table1[[#This Row],[Visa_Fee_USD]]+Table1[[#This Row],[Annual_Estimated_Living_cost]]</f>
        <v>47253.97810218978</v>
      </c>
    </row>
    <row r="311" spans="1:17" x14ac:dyDescent="0.25">
      <c r="A311" s="2" t="s">
        <v>21</v>
      </c>
      <c r="B311" s="1" t="s">
        <v>313</v>
      </c>
      <c r="C311" s="1" t="s">
        <v>314</v>
      </c>
      <c r="D311" s="1" t="s">
        <v>15</v>
      </c>
      <c r="E311" s="1" t="s">
        <v>16</v>
      </c>
      <c r="F311" s="1">
        <v>2</v>
      </c>
      <c r="G311" s="1" t="str">
        <f>CONCATENATE(Table1[[#This Row],[Duration_Years]]," ","years")</f>
        <v>2 years</v>
      </c>
      <c r="H311" s="11">
        <v>22600</v>
      </c>
      <c r="I311" s="1">
        <v>61.2</v>
      </c>
      <c r="J311" s="11">
        <v>1200</v>
      </c>
      <c r="K311" s="11">
        <v>235</v>
      </c>
      <c r="L311" s="11">
        <v>600</v>
      </c>
      <c r="M311" s="22">
        <v>1.35</v>
      </c>
      <c r="N311" s="3" t="str">
        <f>IF(Table1[[#This Row],[Exchange_Rate]]&lt;5,"Strong Currency", IF(Table1[[#This Row],[Exchange_Rate]]&lt;=1000, "Medium Currency","Weak Currency"))</f>
        <v>Strong Currency</v>
      </c>
      <c r="O311" s="11">
        <f>(Table1[[#This Row],[Living_Cost_Index]]/123.3)*1850</f>
        <v>918.24817518248187</v>
      </c>
      <c r="P311" s="11">
        <f>Table1[[#This Row],[Monthly_Estimated_Living_cost]]*12</f>
        <v>11018.978102189783</v>
      </c>
      <c r="Q311" s="13">
        <f>Table1[[#This Row],[Tuition_USD]]+Table1[[#This Row],[Rent_USD]]+Table1[[#This Row],[Insurance_USD]]+Table1[[#This Row],[Visa_Fee_USD]]+Table1[[#This Row],[Annual_Estimated_Living_cost]]</f>
        <v>35653.97810218978</v>
      </c>
    </row>
    <row r="312" spans="1:17" x14ac:dyDescent="0.25">
      <c r="A312" s="2" t="s">
        <v>21</v>
      </c>
      <c r="B312" s="1" t="s">
        <v>319</v>
      </c>
      <c r="C312" s="1" t="s">
        <v>320</v>
      </c>
      <c r="D312" s="1" t="s">
        <v>15</v>
      </c>
      <c r="E312" s="1" t="s">
        <v>75</v>
      </c>
      <c r="F312" s="1">
        <v>4</v>
      </c>
      <c r="G312" s="1" t="str">
        <f>CONCATENATE(Table1[[#This Row],[Duration_Years]]," ","years")</f>
        <v>4 years</v>
      </c>
      <c r="H312" s="11">
        <v>33600</v>
      </c>
      <c r="I312" s="1">
        <v>59.8</v>
      </c>
      <c r="J312" s="11">
        <v>1100</v>
      </c>
      <c r="K312" s="11">
        <v>235</v>
      </c>
      <c r="L312" s="11">
        <v>600</v>
      </c>
      <c r="M312" s="22">
        <v>1.35</v>
      </c>
      <c r="N312" s="3" t="str">
        <f>IF(Table1[[#This Row],[Exchange_Rate]]&lt;5,"Strong Currency", IF(Table1[[#This Row],[Exchange_Rate]]&lt;=1000, "Medium Currency","Weak Currency"))</f>
        <v>Strong Currency</v>
      </c>
      <c r="O312" s="11">
        <f>(Table1[[#This Row],[Living_Cost_Index]]/123.3)*1850</f>
        <v>897.24249797242499</v>
      </c>
      <c r="P312" s="11">
        <f>Table1[[#This Row],[Monthly_Estimated_Living_cost]]*12</f>
        <v>10766.909975669099</v>
      </c>
      <c r="Q312" s="13">
        <f>Table1[[#This Row],[Tuition_USD]]+Table1[[#This Row],[Rent_USD]]+Table1[[#This Row],[Insurance_USD]]+Table1[[#This Row],[Visa_Fee_USD]]+Table1[[#This Row],[Annual_Estimated_Living_cost]]</f>
        <v>46301.909975669099</v>
      </c>
    </row>
    <row r="313" spans="1:17" x14ac:dyDescent="0.25">
      <c r="A313" s="2" t="s">
        <v>21</v>
      </c>
      <c r="B313" s="1" t="s">
        <v>319</v>
      </c>
      <c r="C313" s="1" t="s">
        <v>320</v>
      </c>
      <c r="D313" s="1" t="s">
        <v>15</v>
      </c>
      <c r="E313" s="1" t="s">
        <v>16</v>
      </c>
      <c r="F313" s="1">
        <v>2</v>
      </c>
      <c r="G313" s="1" t="str">
        <f>CONCATENATE(Table1[[#This Row],[Duration_Years]]," ","years")</f>
        <v>2 years</v>
      </c>
      <c r="H313" s="11">
        <v>22300</v>
      </c>
      <c r="I313" s="1">
        <v>59.8</v>
      </c>
      <c r="J313" s="11">
        <v>1100</v>
      </c>
      <c r="K313" s="11">
        <v>235</v>
      </c>
      <c r="L313" s="11">
        <v>600</v>
      </c>
      <c r="M313" s="22">
        <v>1.35</v>
      </c>
      <c r="N313" s="3" t="str">
        <f>IF(Table1[[#This Row],[Exchange_Rate]]&lt;5,"Strong Currency", IF(Table1[[#This Row],[Exchange_Rate]]&lt;=1000, "Medium Currency","Weak Currency"))</f>
        <v>Strong Currency</v>
      </c>
      <c r="O313" s="11">
        <f>(Table1[[#This Row],[Living_Cost_Index]]/123.3)*1850</f>
        <v>897.24249797242499</v>
      </c>
      <c r="P313" s="11">
        <f>Table1[[#This Row],[Monthly_Estimated_Living_cost]]*12</f>
        <v>10766.909975669099</v>
      </c>
      <c r="Q313" s="13">
        <f>Table1[[#This Row],[Tuition_USD]]+Table1[[#This Row],[Rent_USD]]+Table1[[#This Row],[Insurance_USD]]+Table1[[#This Row],[Visa_Fee_USD]]+Table1[[#This Row],[Annual_Estimated_Living_cost]]</f>
        <v>35001.909975669099</v>
      </c>
    </row>
    <row r="314" spans="1:17" x14ac:dyDescent="0.25">
      <c r="A314" s="2" t="s">
        <v>21</v>
      </c>
      <c r="B314" s="1" t="s">
        <v>317</v>
      </c>
      <c r="C314" s="1" t="s">
        <v>318</v>
      </c>
      <c r="D314" s="1" t="s">
        <v>15</v>
      </c>
      <c r="E314" s="1" t="s">
        <v>75</v>
      </c>
      <c r="F314" s="1">
        <v>4</v>
      </c>
      <c r="G314" s="1" t="str">
        <f>CONCATENATE(Table1[[#This Row],[Duration_Years]]," ","years")</f>
        <v>4 years</v>
      </c>
      <c r="H314" s="11">
        <v>33000</v>
      </c>
      <c r="I314" s="1">
        <v>58.5</v>
      </c>
      <c r="J314" s="11">
        <v>1000</v>
      </c>
      <c r="K314" s="11">
        <v>235</v>
      </c>
      <c r="L314" s="11">
        <v>600</v>
      </c>
      <c r="M314" s="22">
        <v>1.35</v>
      </c>
      <c r="N314" s="3" t="str">
        <f>IF(Table1[[#This Row],[Exchange_Rate]]&lt;5,"Strong Currency", IF(Table1[[#This Row],[Exchange_Rate]]&lt;=1000, "Medium Currency","Weak Currency"))</f>
        <v>Strong Currency</v>
      </c>
      <c r="O314" s="11">
        <f>(Table1[[#This Row],[Living_Cost_Index]]/123.3)*1850</f>
        <v>877.73722627737232</v>
      </c>
      <c r="P314" s="11">
        <f>Table1[[#This Row],[Monthly_Estimated_Living_cost]]*12</f>
        <v>10532.846715328467</v>
      </c>
      <c r="Q314" s="13">
        <f>Table1[[#This Row],[Tuition_USD]]+Table1[[#This Row],[Rent_USD]]+Table1[[#This Row],[Insurance_USD]]+Table1[[#This Row],[Visa_Fee_USD]]+Table1[[#This Row],[Annual_Estimated_Living_cost]]</f>
        <v>45367.846715328466</v>
      </c>
    </row>
    <row r="315" spans="1:17" x14ac:dyDescent="0.25">
      <c r="A315" s="2" t="s">
        <v>21</v>
      </c>
      <c r="B315" s="1" t="s">
        <v>317</v>
      </c>
      <c r="C315" s="1" t="s">
        <v>318</v>
      </c>
      <c r="D315" s="1" t="s">
        <v>15</v>
      </c>
      <c r="E315" s="1" t="s">
        <v>16</v>
      </c>
      <c r="F315" s="1">
        <v>2</v>
      </c>
      <c r="G315" s="1" t="str">
        <f>CONCATENATE(Table1[[#This Row],[Duration_Years]]," ","years")</f>
        <v>2 years</v>
      </c>
      <c r="H315" s="11">
        <v>22000</v>
      </c>
      <c r="I315" s="1">
        <v>58.5</v>
      </c>
      <c r="J315" s="11">
        <v>1000</v>
      </c>
      <c r="K315" s="11">
        <v>235</v>
      </c>
      <c r="L315" s="11">
        <v>600</v>
      </c>
      <c r="M315" s="22">
        <v>1.35</v>
      </c>
      <c r="N315" s="3" t="str">
        <f>IF(Table1[[#This Row],[Exchange_Rate]]&lt;5,"Strong Currency", IF(Table1[[#This Row],[Exchange_Rate]]&lt;=1000, "Medium Currency","Weak Currency"))</f>
        <v>Strong Currency</v>
      </c>
      <c r="O315" s="11">
        <f>(Table1[[#This Row],[Living_Cost_Index]]/123.3)*1850</f>
        <v>877.73722627737232</v>
      </c>
      <c r="P315" s="11">
        <f>Table1[[#This Row],[Monthly_Estimated_Living_cost]]*12</f>
        <v>10532.846715328467</v>
      </c>
      <c r="Q315" s="13">
        <f>Table1[[#This Row],[Tuition_USD]]+Table1[[#This Row],[Rent_USD]]+Table1[[#This Row],[Insurance_USD]]+Table1[[#This Row],[Visa_Fee_USD]]+Table1[[#This Row],[Annual_Estimated_Living_cost]]</f>
        <v>34367.846715328466</v>
      </c>
    </row>
    <row r="316" spans="1:17" x14ac:dyDescent="0.25">
      <c r="A316" s="2" t="s">
        <v>21</v>
      </c>
      <c r="B316" s="1" t="s">
        <v>325</v>
      </c>
      <c r="C316" s="1" t="s">
        <v>326</v>
      </c>
      <c r="D316" s="1" t="s">
        <v>15</v>
      </c>
      <c r="E316" s="1" t="s">
        <v>75</v>
      </c>
      <c r="F316" s="1">
        <v>4</v>
      </c>
      <c r="G316" s="1" t="str">
        <f>CONCATENATE(Table1[[#This Row],[Duration_Years]]," ","years")</f>
        <v>4 years</v>
      </c>
      <c r="H316" s="11">
        <v>32400</v>
      </c>
      <c r="I316" s="1">
        <v>58.2</v>
      </c>
      <c r="J316" s="11">
        <v>950</v>
      </c>
      <c r="K316" s="11">
        <v>235</v>
      </c>
      <c r="L316" s="11">
        <v>600</v>
      </c>
      <c r="M316" s="22">
        <v>1.35</v>
      </c>
      <c r="N316" s="3" t="str">
        <f>IF(Table1[[#This Row],[Exchange_Rate]]&lt;5,"Strong Currency", IF(Table1[[#This Row],[Exchange_Rate]]&lt;=1000, "Medium Currency","Weak Currency"))</f>
        <v>Strong Currency</v>
      </c>
      <c r="O316" s="11">
        <f>(Table1[[#This Row],[Living_Cost_Index]]/123.3)*1850</f>
        <v>873.23600973236012</v>
      </c>
      <c r="P316" s="11">
        <f>Table1[[#This Row],[Monthly_Estimated_Living_cost]]*12</f>
        <v>10478.832116788322</v>
      </c>
      <c r="Q316" s="13">
        <f>Table1[[#This Row],[Tuition_USD]]+Table1[[#This Row],[Rent_USD]]+Table1[[#This Row],[Insurance_USD]]+Table1[[#This Row],[Visa_Fee_USD]]+Table1[[#This Row],[Annual_Estimated_Living_cost]]</f>
        <v>44663.832116788326</v>
      </c>
    </row>
    <row r="317" spans="1:17" x14ac:dyDescent="0.25">
      <c r="A317" s="2" t="s">
        <v>21</v>
      </c>
      <c r="B317" s="1" t="s">
        <v>325</v>
      </c>
      <c r="C317" s="1" t="s">
        <v>326</v>
      </c>
      <c r="D317" s="1" t="s">
        <v>15</v>
      </c>
      <c r="E317" s="1" t="s">
        <v>16</v>
      </c>
      <c r="F317" s="1">
        <v>2</v>
      </c>
      <c r="G317" s="1" t="str">
        <f>CONCATENATE(Table1[[#This Row],[Duration_Years]]," ","years")</f>
        <v>2 years</v>
      </c>
      <c r="H317" s="11">
        <v>21700</v>
      </c>
      <c r="I317" s="1">
        <v>58.2</v>
      </c>
      <c r="J317" s="11">
        <v>950</v>
      </c>
      <c r="K317" s="11">
        <v>235</v>
      </c>
      <c r="L317" s="11">
        <v>600</v>
      </c>
      <c r="M317" s="22">
        <v>1.35</v>
      </c>
      <c r="N317" s="3" t="str">
        <f>IF(Table1[[#This Row],[Exchange_Rate]]&lt;5,"Strong Currency", IF(Table1[[#This Row],[Exchange_Rate]]&lt;=1000, "Medium Currency","Weak Currency"))</f>
        <v>Strong Currency</v>
      </c>
      <c r="O317" s="11">
        <f>(Table1[[#This Row],[Living_Cost_Index]]/123.3)*1850</f>
        <v>873.23600973236012</v>
      </c>
      <c r="P317" s="11">
        <f>Table1[[#This Row],[Monthly_Estimated_Living_cost]]*12</f>
        <v>10478.832116788322</v>
      </c>
      <c r="Q317" s="13">
        <f>Table1[[#This Row],[Tuition_USD]]+Table1[[#This Row],[Rent_USD]]+Table1[[#This Row],[Insurance_USD]]+Table1[[#This Row],[Visa_Fee_USD]]+Table1[[#This Row],[Annual_Estimated_Living_cost]]</f>
        <v>33963.832116788326</v>
      </c>
    </row>
    <row r="318" spans="1:17" x14ac:dyDescent="0.25">
      <c r="A318" s="2" t="s">
        <v>21</v>
      </c>
      <c r="B318" s="1" t="s">
        <v>323</v>
      </c>
      <c r="C318" s="1" t="s">
        <v>324</v>
      </c>
      <c r="D318" s="1" t="s">
        <v>15</v>
      </c>
      <c r="E318" s="1" t="s">
        <v>75</v>
      </c>
      <c r="F318" s="1">
        <v>4</v>
      </c>
      <c r="G318" s="1" t="str">
        <f>CONCATENATE(Table1[[#This Row],[Duration_Years]]," ","years")</f>
        <v>4 years</v>
      </c>
      <c r="H318" s="11">
        <v>31800</v>
      </c>
      <c r="I318" s="1">
        <v>57.9</v>
      </c>
      <c r="J318" s="11">
        <v>900</v>
      </c>
      <c r="K318" s="11">
        <v>235</v>
      </c>
      <c r="L318" s="11">
        <v>600</v>
      </c>
      <c r="M318" s="22">
        <v>1.35</v>
      </c>
      <c r="N318" s="3" t="str">
        <f>IF(Table1[[#This Row],[Exchange_Rate]]&lt;5,"Strong Currency", IF(Table1[[#This Row],[Exchange_Rate]]&lt;=1000, "Medium Currency","Weak Currency"))</f>
        <v>Strong Currency</v>
      </c>
      <c r="O318" s="11">
        <f>(Table1[[#This Row],[Living_Cost_Index]]/123.3)*1850</f>
        <v>868.73479318734792</v>
      </c>
      <c r="P318" s="11">
        <f>Table1[[#This Row],[Monthly_Estimated_Living_cost]]*12</f>
        <v>10424.817518248175</v>
      </c>
      <c r="Q318" s="13">
        <f>Table1[[#This Row],[Tuition_USD]]+Table1[[#This Row],[Rent_USD]]+Table1[[#This Row],[Insurance_USD]]+Table1[[#This Row],[Visa_Fee_USD]]+Table1[[#This Row],[Annual_Estimated_Living_cost]]</f>
        <v>43959.817518248179</v>
      </c>
    </row>
    <row r="319" spans="1:17" x14ac:dyDescent="0.25">
      <c r="A319" s="2" t="s">
        <v>21</v>
      </c>
      <c r="B319" s="1" t="s">
        <v>323</v>
      </c>
      <c r="C319" s="1" t="s">
        <v>324</v>
      </c>
      <c r="D319" s="1" t="s">
        <v>15</v>
      </c>
      <c r="E319" s="1" t="s">
        <v>16</v>
      </c>
      <c r="F319" s="1">
        <v>2</v>
      </c>
      <c r="G319" s="1" t="str">
        <f>CONCATENATE(Table1[[#This Row],[Duration_Years]]," ","years")</f>
        <v>2 years</v>
      </c>
      <c r="H319" s="11">
        <v>21400</v>
      </c>
      <c r="I319" s="1">
        <v>57.9</v>
      </c>
      <c r="J319" s="11">
        <v>900</v>
      </c>
      <c r="K319" s="11">
        <v>235</v>
      </c>
      <c r="L319" s="11">
        <v>600</v>
      </c>
      <c r="M319" s="22">
        <v>1.35</v>
      </c>
      <c r="N319" s="3" t="str">
        <f>IF(Table1[[#This Row],[Exchange_Rate]]&lt;5,"Strong Currency", IF(Table1[[#This Row],[Exchange_Rate]]&lt;=1000, "Medium Currency","Weak Currency"))</f>
        <v>Strong Currency</v>
      </c>
      <c r="O319" s="11">
        <f>(Table1[[#This Row],[Living_Cost_Index]]/123.3)*1850</f>
        <v>868.73479318734792</v>
      </c>
      <c r="P319" s="11">
        <f>Table1[[#This Row],[Monthly_Estimated_Living_cost]]*12</f>
        <v>10424.817518248175</v>
      </c>
      <c r="Q319" s="13">
        <f>Table1[[#This Row],[Tuition_USD]]+Table1[[#This Row],[Rent_USD]]+Table1[[#This Row],[Insurance_USD]]+Table1[[#This Row],[Visa_Fee_USD]]+Table1[[#This Row],[Annual_Estimated_Living_cost]]</f>
        <v>33559.817518248179</v>
      </c>
    </row>
    <row r="320" spans="1:17" x14ac:dyDescent="0.25">
      <c r="A320" s="2" t="s">
        <v>21</v>
      </c>
      <c r="B320" s="1" t="s">
        <v>321</v>
      </c>
      <c r="C320" s="1" t="s">
        <v>322</v>
      </c>
      <c r="D320" s="1" t="s">
        <v>15</v>
      </c>
      <c r="E320" s="1" t="s">
        <v>75</v>
      </c>
      <c r="F320" s="1">
        <v>4</v>
      </c>
      <c r="G320" s="1" t="str">
        <f>CONCATENATE(Table1[[#This Row],[Duration_Years]]," ","years")</f>
        <v>4 years</v>
      </c>
      <c r="H320" s="11">
        <v>31200</v>
      </c>
      <c r="I320" s="1">
        <v>57.5</v>
      </c>
      <c r="J320" s="11">
        <v>900</v>
      </c>
      <c r="K320" s="11">
        <v>235</v>
      </c>
      <c r="L320" s="11">
        <v>600</v>
      </c>
      <c r="M320" s="22">
        <v>1.35</v>
      </c>
      <c r="N320" s="3" t="str">
        <f>IF(Table1[[#This Row],[Exchange_Rate]]&lt;5,"Strong Currency", IF(Table1[[#This Row],[Exchange_Rate]]&lt;=1000, "Medium Currency","Weak Currency"))</f>
        <v>Strong Currency</v>
      </c>
      <c r="O320" s="11">
        <f>(Table1[[#This Row],[Living_Cost_Index]]/123.3)*1850</f>
        <v>862.73317112733173</v>
      </c>
      <c r="P320" s="11">
        <f>Table1[[#This Row],[Monthly_Estimated_Living_cost]]*12</f>
        <v>10352.79805352798</v>
      </c>
      <c r="Q320" s="13">
        <f>Table1[[#This Row],[Tuition_USD]]+Table1[[#This Row],[Rent_USD]]+Table1[[#This Row],[Insurance_USD]]+Table1[[#This Row],[Visa_Fee_USD]]+Table1[[#This Row],[Annual_Estimated_Living_cost]]</f>
        <v>43287.798053527978</v>
      </c>
    </row>
    <row r="321" spans="1:17" x14ac:dyDescent="0.25">
      <c r="A321" s="2" t="s">
        <v>21</v>
      </c>
      <c r="B321" s="1" t="s">
        <v>321</v>
      </c>
      <c r="C321" s="1" t="s">
        <v>322</v>
      </c>
      <c r="D321" s="1" t="s">
        <v>15</v>
      </c>
      <c r="E321" s="1" t="s">
        <v>16</v>
      </c>
      <c r="F321" s="1">
        <v>2</v>
      </c>
      <c r="G321" s="1" t="str">
        <f>CONCATENATE(Table1[[#This Row],[Duration_Years]]," ","years")</f>
        <v>2 years</v>
      </c>
      <c r="H321" s="11">
        <v>21100</v>
      </c>
      <c r="I321" s="1">
        <v>57.5</v>
      </c>
      <c r="J321" s="11">
        <v>900</v>
      </c>
      <c r="K321" s="11">
        <v>235</v>
      </c>
      <c r="L321" s="11">
        <v>600</v>
      </c>
      <c r="M321" s="22">
        <v>1.35</v>
      </c>
      <c r="N321" s="3" t="str">
        <f>IF(Table1[[#This Row],[Exchange_Rate]]&lt;5,"Strong Currency", IF(Table1[[#This Row],[Exchange_Rate]]&lt;=1000, "Medium Currency","Weak Currency"))</f>
        <v>Strong Currency</v>
      </c>
      <c r="O321" s="11">
        <f>(Table1[[#This Row],[Living_Cost_Index]]/123.3)*1850</f>
        <v>862.73317112733173</v>
      </c>
      <c r="P321" s="11">
        <f>Table1[[#This Row],[Monthly_Estimated_Living_cost]]*12</f>
        <v>10352.79805352798</v>
      </c>
      <c r="Q321" s="13">
        <f>Table1[[#This Row],[Tuition_USD]]+Table1[[#This Row],[Rent_USD]]+Table1[[#This Row],[Insurance_USD]]+Table1[[#This Row],[Visa_Fee_USD]]+Table1[[#This Row],[Annual_Estimated_Living_cost]]</f>
        <v>33187.798053527978</v>
      </c>
    </row>
    <row r="322" spans="1:17" x14ac:dyDescent="0.25">
      <c r="A322" s="2" t="s">
        <v>21</v>
      </c>
      <c r="B322" s="1" t="s">
        <v>327</v>
      </c>
      <c r="C322" s="1" t="s">
        <v>600</v>
      </c>
      <c r="D322" s="1" t="s">
        <v>15</v>
      </c>
      <c r="E322" s="1" t="s">
        <v>75</v>
      </c>
      <c r="F322" s="1">
        <v>4</v>
      </c>
      <c r="G322" s="1" t="str">
        <f>CONCATENATE(Table1[[#This Row],[Duration_Years]]," ","years")</f>
        <v>4 years</v>
      </c>
      <c r="H322" s="11">
        <v>30600</v>
      </c>
      <c r="I322" s="1">
        <v>56.8</v>
      </c>
      <c r="J322" s="11">
        <v>850</v>
      </c>
      <c r="K322" s="11">
        <v>235</v>
      </c>
      <c r="L322" s="11">
        <v>600</v>
      </c>
      <c r="M322" s="22">
        <v>1.35</v>
      </c>
      <c r="N322" s="3" t="str">
        <f>IF(Table1[[#This Row],[Exchange_Rate]]&lt;5,"Strong Currency", IF(Table1[[#This Row],[Exchange_Rate]]&lt;=1000, "Medium Currency","Weak Currency"))</f>
        <v>Strong Currency</v>
      </c>
      <c r="O322" s="11">
        <f>(Table1[[#This Row],[Living_Cost_Index]]/123.3)*1850</f>
        <v>852.23033252230323</v>
      </c>
      <c r="P322" s="11">
        <f>Table1[[#This Row],[Monthly_Estimated_Living_cost]]*12</f>
        <v>10226.763990267638</v>
      </c>
      <c r="Q322" s="13">
        <f>Table1[[#This Row],[Tuition_USD]]+Table1[[#This Row],[Rent_USD]]+Table1[[#This Row],[Insurance_USD]]+Table1[[#This Row],[Visa_Fee_USD]]+Table1[[#This Row],[Annual_Estimated_Living_cost]]</f>
        <v>42511.763990267638</v>
      </c>
    </row>
    <row r="323" spans="1:17" x14ac:dyDescent="0.25">
      <c r="A323" s="2" t="s">
        <v>21</v>
      </c>
      <c r="B323" s="1" t="s">
        <v>327</v>
      </c>
      <c r="C323" s="1" t="s">
        <v>600</v>
      </c>
      <c r="D323" s="1" t="s">
        <v>15</v>
      </c>
      <c r="E323" s="1" t="s">
        <v>16</v>
      </c>
      <c r="F323" s="1">
        <v>2</v>
      </c>
      <c r="G323" s="1" t="str">
        <f>CONCATENATE(Table1[[#This Row],[Duration_Years]]," ","years")</f>
        <v>2 years</v>
      </c>
      <c r="H323" s="11">
        <v>20800</v>
      </c>
      <c r="I323" s="1">
        <v>56.8</v>
      </c>
      <c r="J323" s="11">
        <v>850</v>
      </c>
      <c r="K323" s="11">
        <v>235</v>
      </c>
      <c r="L323" s="11">
        <v>600</v>
      </c>
      <c r="M323" s="22">
        <v>1.35</v>
      </c>
      <c r="N323" s="3" t="str">
        <f>IF(Table1[[#This Row],[Exchange_Rate]]&lt;5,"Strong Currency", IF(Table1[[#This Row],[Exchange_Rate]]&lt;=1000, "Medium Currency","Weak Currency"))</f>
        <v>Strong Currency</v>
      </c>
      <c r="O323" s="11">
        <f>(Table1[[#This Row],[Living_Cost_Index]]/123.3)*1850</f>
        <v>852.23033252230323</v>
      </c>
      <c r="P323" s="11">
        <f>Table1[[#This Row],[Monthly_Estimated_Living_cost]]*12</f>
        <v>10226.763990267638</v>
      </c>
      <c r="Q323" s="13">
        <f>Table1[[#This Row],[Tuition_USD]]+Table1[[#This Row],[Rent_USD]]+Table1[[#This Row],[Insurance_USD]]+Table1[[#This Row],[Visa_Fee_USD]]+Table1[[#This Row],[Annual_Estimated_Living_cost]]</f>
        <v>32711.763990267638</v>
      </c>
    </row>
    <row r="324" spans="1:17" x14ac:dyDescent="0.25">
      <c r="A324" s="2" t="s">
        <v>21</v>
      </c>
      <c r="B324" s="1" t="s">
        <v>601</v>
      </c>
      <c r="C324" s="1" t="s">
        <v>602</v>
      </c>
      <c r="D324" s="1" t="s">
        <v>15</v>
      </c>
      <c r="E324" s="1" t="s">
        <v>75</v>
      </c>
      <c r="F324" s="1">
        <v>4</v>
      </c>
      <c r="G324" s="1" t="str">
        <f>CONCATENATE(Table1[[#This Row],[Duration_Years]]," ","years")</f>
        <v>4 years</v>
      </c>
      <c r="H324" s="11">
        <v>30000</v>
      </c>
      <c r="I324" s="1">
        <v>58.9</v>
      </c>
      <c r="J324" s="11">
        <v>950</v>
      </c>
      <c r="K324" s="11">
        <v>235</v>
      </c>
      <c r="L324" s="11">
        <v>600</v>
      </c>
      <c r="M324" s="22">
        <v>1.35</v>
      </c>
      <c r="N324" s="3" t="str">
        <f>IF(Table1[[#This Row],[Exchange_Rate]]&lt;5,"Strong Currency", IF(Table1[[#This Row],[Exchange_Rate]]&lt;=1000, "Medium Currency","Weak Currency"))</f>
        <v>Strong Currency</v>
      </c>
      <c r="O324" s="11">
        <f>(Table1[[#This Row],[Living_Cost_Index]]/123.3)*1850</f>
        <v>883.7388483373885</v>
      </c>
      <c r="P324" s="11">
        <f>Table1[[#This Row],[Monthly_Estimated_Living_cost]]*12</f>
        <v>10604.866180048662</v>
      </c>
      <c r="Q324" s="13">
        <f>Table1[[#This Row],[Tuition_USD]]+Table1[[#This Row],[Rent_USD]]+Table1[[#This Row],[Insurance_USD]]+Table1[[#This Row],[Visa_Fee_USD]]+Table1[[#This Row],[Annual_Estimated_Living_cost]]</f>
        <v>42389.866180048659</v>
      </c>
    </row>
    <row r="325" spans="1:17" x14ac:dyDescent="0.25">
      <c r="A325" s="2" t="s">
        <v>21</v>
      </c>
      <c r="B325" s="1" t="s">
        <v>601</v>
      </c>
      <c r="C325" s="1" t="s">
        <v>602</v>
      </c>
      <c r="D325" s="1" t="s">
        <v>15</v>
      </c>
      <c r="E325" s="1" t="s">
        <v>16</v>
      </c>
      <c r="F325" s="1">
        <v>2</v>
      </c>
      <c r="G325" s="1" t="str">
        <f>CONCATENATE(Table1[[#This Row],[Duration_Years]]," ","years")</f>
        <v>2 years</v>
      </c>
      <c r="H325" s="11">
        <v>20500</v>
      </c>
      <c r="I325" s="1">
        <v>58.9</v>
      </c>
      <c r="J325" s="11">
        <v>950</v>
      </c>
      <c r="K325" s="11">
        <v>235</v>
      </c>
      <c r="L325" s="11">
        <v>600</v>
      </c>
      <c r="M325" s="22">
        <v>1.35</v>
      </c>
      <c r="N325" s="3" t="str">
        <f>IF(Table1[[#This Row],[Exchange_Rate]]&lt;5,"Strong Currency", IF(Table1[[#This Row],[Exchange_Rate]]&lt;=1000, "Medium Currency","Weak Currency"))</f>
        <v>Strong Currency</v>
      </c>
      <c r="O325" s="11">
        <f>(Table1[[#This Row],[Living_Cost_Index]]/123.3)*1850</f>
        <v>883.7388483373885</v>
      </c>
      <c r="P325" s="11">
        <f>Table1[[#This Row],[Monthly_Estimated_Living_cost]]*12</f>
        <v>10604.866180048662</v>
      </c>
      <c r="Q325" s="13">
        <f>Table1[[#This Row],[Tuition_USD]]+Table1[[#This Row],[Rent_USD]]+Table1[[#This Row],[Insurance_USD]]+Table1[[#This Row],[Visa_Fee_USD]]+Table1[[#This Row],[Annual_Estimated_Living_cost]]</f>
        <v>32889.866180048659</v>
      </c>
    </row>
    <row r="326" spans="1:17" x14ac:dyDescent="0.25">
      <c r="A326" s="2" t="s">
        <v>21</v>
      </c>
      <c r="B326" s="1" t="s">
        <v>603</v>
      </c>
      <c r="C326" s="1" t="s">
        <v>604</v>
      </c>
      <c r="D326" s="1" t="s">
        <v>15</v>
      </c>
      <c r="E326" s="1" t="s">
        <v>75</v>
      </c>
      <c r="F326" s="1">
        <v>4</v>
      </c>
      <c r="G326" s="1" t="str">
        <f>CONCATENATE(Table1[[#This Row],[Duration_Years]]," ","years")</f>
        <v>4 years</v>
      </c>
      <c r="H326" s="11">
        <v>29400</v>
      </c>
      <c r="I326" s="1">
        <v>57.2</v>
      </c>
      <c r="J326" s="11">
        <v>900</v>
      </c>
      <c r="K326" s="11">
        <v>235</v>
      </c>
      <c r="L326" s="11">
        <v>600</v>
      </c>
      <c r="M326" s="22">
        <v>1.35</v>
      </c>
      <c r="N326" s="3" t="str">
        <f>IF(Table1[[#This Row],[Exchange_Rate]]&lt;5,"Strong Currency", IF(Table1[[#This Row],[Exchange_Rate]]&lt;=1000, "Medium Currency","Weak Currency"))</f>
        <v>Strong Currency</v>
      </c>
      <c r="O326" s="11">
        <f>(Table1[[#This Row],[Living_Cost_Index]]/123.3)*1850</f>
        <v>858.23195458231953</v>
      </c>
      <c r="P326" s="11">
        <f>Table1[[#This Row],[Monthly_Estimated_Living_cost]]*12</f>
        <v>10298.783454987835</v>
      </c>
      <c r="Q326" s="13">
        <f>Table1[[#This Row],[Tuition_USD]]+Table1[[#This Row],[Rent_USD]]+Table1[[#This Row],[Insurance_USD]]+Table1[[#This Row],[Visa_Fee_USD]]+Table1[[#This Row],[Annual_Estimated_Living_cost]]</f>
        <v>41433.783454987832</v>
      </c>
    </row>
    <row r="327" spans="1:17" x14ac:dyDescent="0.25">
      <c r="A327" s="2" t="s">
        <v>21</v>
      </c>
      <c r="B327" s="1" t="s">
        <v>603</v>
      </c>
      <c r="C327" s="1" t="s">
        <v>604</v>
      </c>
      <c r="D327" s="1" t="s">
        <v>15</v>
      </c>
      <c r="E327" s="1" t="s">
        <v>16</v>
      </c>
      <c r="F327" s="1">
        <v>2</v>
      </c>
      <c r="G327" s="1" t="str">
        <f>CONCATENATE(Table1[[#This Row],[Duration_Years]]," ","years")</f>
        <v>2 years</v>
      </c>
      <c r="H327" s="11">
        <v>20200</v>
      </c>
      <c r="I327" s="1">
        <v>57.2</v>
      </c>
      <c r="J327" s="11">
        <v>900</v>
      </c>
      <c r="K327" s="11">
        <v>235</v>
      </c>
      <c r="L327" s="11">
        <v>600</v>
      </c>
      <c r="M327" s="22">
        <v>1.35</v>
      </c>
      <c r="N327" s="3" t="str">
        <f>IF(Table1[[#This Row],[Exchange_Rate]]&lt;5,"Strong Currency", IF(Table1[[#This Row],[Exchange_Rate]]&lt;=1000, "Medium Currency","Weak Currency"))</f>
        <v>Strong Currency</v>
      </c>
      <c r="O327" s="11">
        <f>(Table1[[#This Row],[Living_Cost_Index]]/123.3)*1850</f>
        <v>858.23195458231953</v>
      </c>
      <c r="P327" s="11">
        <f>Table1[[#This Row],[Monthly_Estimated_Living_cost]]*12</f>
        <v>10298.783454987835</v>
      </c>
      <c r="Q327" s="13">
        <f>Table1[[#This Row],[Tuition_USD]]+Table1[[#This Row],[Rent_USD]]+Table1[[#This Row],[Insurance_USD]]+Table1[[#This Row],[Visa_Fee_USD]]+Table1[[#This Row],[Annual_Estimated_Living_cost]]</f>
        <v>32233.783454987835</v>
      </c>
    </row>
    <row r="328" spans="1:17" x14ac:dyDescent="0.25">
      <c r="A328" s="2" t="s">
        <v>21</v>
      </c>
      <c r="B328" s="1" t="s">
        <v>605</v>
      </c>
      <c r="C328" s="1" t="s">
        <v>606</v>
      </c>
      <c r="D328" s="1" t="s">
        <v>15</v>
      </c>
      <c r="E328" s="1" t="s">
        <v>75</v>
      </c>
      <c r="F328" s="1">
        <v>4</v>
      </c>
      <c r="G328" s="1" t="str">
        <f>CONCATENATE(Table1[[#This Row],[Duration_Years]]," ","years")</f>
        <v>4 years</v>
      </c>
      <c r="H328" s="11">
        <v>28800</v>
      </c>
      <c r="I328" s="1">
        <v>56.5</v>
      </c>
      <c r="J328" s="11">
        <v>850</v>
      </c>
      <c r="K328" s="11">
        <v>235</v>
      </c>
      <c r="L328" s="11">
        <v>600</v>
      </c>
      <c r="M328" s="22">
        <v>1.35</v>
      </c>
      <c r="N328" s="3" t="str">
        <f>IF(Table1[[#This Row],[Exchange_Rate]]&lt;5,"Strong Currency", IF(Table1[[#This Row],[Exchange_Rate]]&lt;=1000, "Medium Currency","Weak Currency"))</f>
        <v>Strong Currency</v>
      </c>
      <c r="O328" s="11">
        <f>(Table1[[#This Row],[Living_Cost_Index]]/123.3)*1850</f>
        <v>847.72911597729126</v>
      </c>
      <c r="P328" s="11">
        <f>Table1[[#This Row],[Monthly_Estimated_Living_cost]]*12</f>
        <v>10172.749391727495</v>
      </c>
      <c r="Q328" s="13">
        <f>Table1[[#This Row],[Tuition_USD]]+Table1[[#This Row],[Rent_USD]]+Table1[[#This Row],[Insurance_USD]]+Table1[[#This Row],[Visa_Fee_USD]]+Table1[[#This Row],[Annual_Estimated_Living_cost]]</f>
        <v>40657.749391727499</v>
      </c>
    </row>
    <row r="329" spans="1:17" x14ac:dyDescent="0.25">
      <c r="A329" s="2" t="s">
        <v>21</v>
      </c>
      <c r="B329" s="1" t="s">
        <v>605</v>
      </c>
      <c r="C329" s="1" t="s">
        <v>606</v>
      </c>
      <c r="D329" s="1" t="s">
        <v>15</v>
      </c>
      <c r="E329" s="1" t="s">
        <v>16</v>
      </c>
      <c r="F329" s="1">
        <v>2</v>
      </c>
      <c r="G329" s="1" t="str">
        <f>CONCATENATE(Table1[[#This Row],[Duration_Years]]," ","years")</f>
        <v>2 years</v>
      </c>
      <c r="H329" s="11">
        <v>19900</v>
      </c>
      <c r="I329" s="1">
        <v>56.5</v>
      </c>
      <c r="J329" s="11">
        <v>850</v>
      </c>
      <c r="K329" s="11">
        <v>235</v>
      </c>
      <c r="L329" s="11">
        <v>600</v>
      </c>
      <c r="M329" s="22">
        <v>1.35</v>
      </c>
      <c r="N329" s="3" t="str">
        <f>IF(Table1[[#This Row],[Exchange_Rate]]&lt;5,"Strong Currency", IF(Table1[[#This Row],[Exchange_Rate]]&lt;=1000, "Medium Currency","Weak Currency"))</f>
        <v>Strong Currency</v>
      </c>
      <c r="O329" s="11">
        <f>(Table1[[#This Row],[Living_Cost_Index]]/123.3)*1850</f>
        <v>847.72911597729126</v>
      </c>
      <c r="P329" s="11">
        <f>Table1[[#This Row],[Monthly_Estimated_Living_cost]]*12</f>
        <v>10172.749391727495</v>
      </c>
      <c r="Q329" s="13">
        <f>Table1[[#This Row],[Tuition_USD]]+Table1[[#This Row],[Rent_USD]]+Table1[[#This Row],[Insurance_USD]]+Table1[[#This Row],[Visa_Fee_USD]]+Table1[[#This Row],[Annual_Estimated_Living_cost]]</f>
        <v>31757.749391727495</v>
      </c>
    </row>
    <row r="330" spans="1:17" x14ac:dyDescent="0.25">
      <c r="A330" s="2" t="s">
        <v>21</v>
      </c>
      <c r="B330" s="1" t="s">
        <v>607</v>
      </c>
      <c r="C330" s="1" t="s">
        <v>608</v>
      </c>
      <c r="D330" s="1" t="s">
        <v>15</v>
      </c>
      <c r="E330" s="1" t="s">
        <v>75</v>
      </c>
      <c r="F330" s="1">
        <v>4</v>
      </c>
      <c r="G330" s="1" t="str">
        <f>CONCATENATE(Table1[[#This Row],[Duration_Years]]," ","years")</f>
        <v>4 years</v>
      </c>
      <c r="H330" s="11">
        <v>28200</v>
      </c>
      <c r="I330" s="1">
        <v>56.2</v>
      </c>
      <c r="J330" s="11">
        <v>800</v>
      </c>
      <c r="K330" s="11">
        <v>235</v>
      </c>
      <c r="L330" s="11">
        <v>600</v>
      </c>
      <c r="M330" s="22">
        <v>1.35</v>
      </c>
      <c r="N330" s="3" t="str">
        <f>IF(Table1[[#This Row],[Exchange_Rate]]&lt;5,"Strong Currency", IF(Table1[[#This Row],[Exchange_Rate]]&lt;=1000, "Medium Currency","Weak Currency"))</f>
        <v>Strong Currency</v>
      </c>
      <c r="O330" s="11">
        <f>(Table1[[#This Row],[Living_Cost_Index]]/123.3)*1850</f>
        <v>843.22789943227906</v>
      </c>
      <c r="P330" s="11">
        <f>Table1[[#This Row],[Monthly_Estimated_Living_cost]]*12</f>
        <v>10118.734793187348</v>
      </c>
      <c r="Q330" s="13">
        <f>Table1[[#This Row],[Tuition_USD]]+Table1[[#This Row],[Rent_USD]]+Table1[[#This Row],[Insurance_USD]]+Table1[[#This Row],[Visa_Fee_USD]]+Table1[[#This Row],[Annual_Estimated_Living_cost]]</f>
        <v>39953.734793187352</v>
      </c>
    </row>
    <row r="331" spans="1:17" x14ac:dyDescent="0.25">
      <c r="A331" s="2" t="s">
        <v>21</v>
      </c>
      <c r="B331" s="1" t="s">
        <v>607</v>
      </c>
      <c r="C331" s="1" t="s">
        <v>608</v>
      </c>
      <c r="D331" s="1" t="s">
        <v>15</v>
      </c>
      <c r="E331" s="1" t="s">
        <v>16</v>
      </c>
      <c r="F331" s="1">
        <v>2</v>
      </c>
      <c r="G331" s="1" t="str">
        <f>CONCATENATE(Table1[[#This Row],[Duration_Years]]," ","years")</f>
        <v>2 years</v>
      </c>
      <c r="H331" s="11">
        <v>19600</v>
      </c>
      <c r="I331" s="1">
        <v>56.2</v>
      </c>
      <c r="J331" s="11">
        <v>800</v>
      </c>
      <c r="K331" s="11">
        <v>235</v>
      </c>
      <c r="L331" s="11">
        <v>600</v>
      </c>
      <c r="M331" s="22">
        <v>1.35</v>
      </c>
      <c r="N331" s="3" t="str">
        <f>IF(Table1[[#This Row],[Exchange_Rate]]&lt;5,"Strong Currency", IF(Table1[[#This Row],[Exchange_Rate]]&lt;=1000, "Medium Currency","Weak Currency"))</f>
        <v>Strong Currency</v>
      </c>
      <c r="O331" s="11">
        <f>(Table1[[#This Row],[Living_Cost_Index]]/123.3)*1850</f>
        <v>843.22789943227906</v>
      </c>
      <c r="P331" s="11">
        <f>Table1[[#This Row],[Monthly_Estimated_Living_cost]]*12</f>
        <v>10118.734793187348</v>
      </c>
      <c r="Q331" s="13">
        <f>Table1[[#This Row],[Tuition_USD]]+Table1[[#This Row],[Rent_USD]]+Table1[[#This Row],[Insurance_USD]]+Table1[[#This Row],[Visa_Fee_USD]]+Table1[[#This Row],[Annual_Estimated_Living_cost]]</f>
        <v>31353.734793187348</v>
      </c>
    </row>
    <row r="332" spans="1:17" x14ac:dyDescent="0.25">
      <c r="A332" s="2" t="s">
        <v>21</v>
      </c>
      <c r="B332" s="1" t="s">
        <v>609</v>
      </c>
      <c r="C332" s="1" t="s">
        <v>610</v>
      </c>
      <c r="D332" s="1" t="s">
        <v>15</v>
      </c>
      <c r="E332" s="1" t="s">
        <v>75</v>
      </c>
      <c r="F332" s="1">
        <v>4</v>
      </c>
      <c r="G332" s="1" t="str">
        <f>CONCATENATE(Table1[[#This Row],[Duration_Years]]," ","years")</f>
        <v>4 years</v>
      </c>
      <c r="H332" s="11">
        <v>27600</v>
      </c>
      <c r="I332" s="1">
        <v>55.8</v>
      </c>
      <c r="J332" s="11">
        <v>800</v>
      </c>
      <c r="K332" s="11">
        <v>235</v>
      </c>
      <c r="L332" s="11">
        <v>600</v>
      </c>
      <c r="M332" s="22">
        <v>1.35</v>
      </c>
      <c r="N332" s="3" t="str">
        <f>IF(Table1[[#This Row],[Exchange_Rate]]&lt;5,"Strong Currency", IF(Table1[[#This Row],[Exchange_Rate]]&lt;=1000, "Medium Currency","Weak Currency"))</f>
        <v>Strong Currency</v>
      </c>
      <c r="O332" s="11">
        <f>(Table1[[#This Row],[Living_Cost_Index]]/123.3)*1850</f>
        <v>837.22627737226276</v>
      </c>
      <c r="P332" s="11">
        <f>Table1[[#This Row],[Monthly_Estimated_Living_cost]]*12</f>
        <v>10046.715328467153</v>
      </c>
      <c r="Q332" s="13">
        <f>Table1[[#This Row],[Tuition_USD]]+Table1[[#This Row],[Rent_USD]]+Table1[[#This Row],[Insurance_USD]]+Table1[[#This Row],[Visa_Fee_USD]]+Table1[[#This Row],[Annual_Estimated_Living_cost]]</f>
        <v>39281.715328467151</v>
      </c>
    </row>
    <row r="333" spans="1:17" x14ac:dyDescent="0.25">
      <c r="A333" s="2" t="s">
        <v>21</v>
      </c>
      <c r="B333" s="1" t="s">
        <v>609</v>
      </c>
      <c r="C333" s="1" t="s">
        <v>610</v>
      </c>
      <c r="D333" s="1" t="s">
        <v>15</v>
      </c>
      <c r="E333" s="1" t="s">
        <v>16</v>
      </c>
      <c r="F333" s="1">
        <v>2</v>
      </c>
      <c r="G333" s="1" t="str">
        <f>CONCATENATE(Table1[[#This Row],[Duration_Years]]," ","years")</f>
        <v>2 years</v>
      </c>
      <c r="H333" s="11">
        <v>19300</v>
      </c>
      <c r="I333" s="1">
        <v>55.8</v>
      </c>
      <c r="J333" s="11">
        <v>800</v>
      </c>
      <c r="K333" s="11">
        <v>235</v>
      </c>
      <c r="L333" s="11">
        <v>600</v>
      </c>
      <c r="M333" s="22">
        <v>1.35</v>
      </c>
      <c r="N333" s="3" t="str">
        <f>IF(Table1[[#This Row],[Exchange_Rate]]&lt;5,"Strong Currency", IF(Table1[[#This Row],[Exchange_Rate]]&lt;=1000, "Medium Currency","Weak Currency"))</f>
        <v>Strong Currency</v>
      </c>
      <c r="O333" s="11">
        <f>(Table1[[#This Row],[Living_Cost_Index]]/123.3)*1850</f>
        <v>837.22627737226276</v>
      </c>
      <c r="P333" s="11">
        <f>Table1[[#This Row],[Monthly_Estimated_Living_cost]]*12</f>
        <v>10046.715328467153</v>
      </c>
      <c r="Q333" s="13">
        <f>Table1[[#This Row],[Tuition_USD]]+Table1[[#This Row],[Rent_USD]]+Table1[[#This Row],[Insurance_USD]]+Table1[[#This Row],[Visa_Fee_USD]]+Table1[[#This Row],[Annual_Estimated_Living_cost]]</f>
        <v>30981.715328467151</v>
      </c>
    </row>
    <row r="334" spans="1:17" x14ac:dyDescent="0.25">
      <c r="A334" s="2" t="s">
        <v>21</v>
      </c>
      <c r="B334" s="1" t="s">
        <v>611</v>
      </c>
      <c r="C334" s="1" t="s">
        <v>612</v>
      </c>
      <c r="D334" s="1" t="s">
        <v>15</v>
      </c>
      <c r="E334" s="1" t="s">
        <v>75</v>
      </c>
      <c r="F334" s="1">
        <v>4</v>
      </c>
      <c r="G334" s="1" t="str">
        <f>CONCATENATE(Table1[[#This Row],[Duration_Years]]," ","years")</f>
        <v>4 years</v>
      </c>
      <c r="H334" s="11">
        <v>27000</v>
      </c>
      <c r="I334" s="1">
        <v>55.5</v>
      </c>
      <c r="J334" s="11">
        <v>750</v>
      </c>
      <c r="K334" s="11">
        <v>235</v>
      </c>
      <c r="L334" s="11">
        <v>600</v>
      </c>
      <c r="M334" s="22">
        <v>1.35</v>
      </c>
      <c r="N334" s="3" t="str">
        <f>IF(Table1[[#This Row],[Exchange_Rate]]&lt;5,"Strong Currency", IF(Table1[[#This Row],[Exchange_Rate]]&lt;=1000, "Medium Currency","Weak Currency"))</f>
        <v>Strong Currency</v>
      </c>
      <c r="O334" s="11">
        <f>(Table1[[#This Row],[Living_Cost_Index]]/123.3)*1850</f>
        <v>832.72506082725067</v>
      </c>
      <c r="P334" s="11">
        <f>Table1[[#This Row],[Monthly_Estimated_Living_cost]]*12</f>
        <v>9992.7007299270081</v>
      </c>
      <c r="Q334" s="13">
        <f>Table1[[#This Row],[Tuition_USD]]+Table1[[#This Row],[Rent_USD]]+Table1[[#This Row],[Insurance_USD]]+Table1[[#This Row],[Visa_Fee_USD]]+Table1[[#This Row],[Annual_Estimated_Living_cost]]</f>
        <v>38577.700729927004</v>
      </c>
    </row>
    <row r="335" spans="1:17" x14ac:dyDescent="0.25">
      <c r="A335" s="2" t="s">
        <v>21</v>
      </c>
      <c r="B335" s="1" t="s">
        <v>611</v>
      </c>
      <c r="C335" s="1" t="s">
        <v>612</v>
      </c>
      <c r="D335" s="1" t="s">
        <v>15</v>
      </c>
      <c r="E335" s="1" t="s">
        <v>16</v>
      </c>
      <c r="F335" s="1">
        <v>2</v>
      </c>
      <c r="G335" s="1" t="str">
        <f>CONCATENATE(Table1[[#This Row],[Duration_Years]]," ","years")</f>
        <v>2 years</v>
      </c>
      <c r="H335" s="11">
        <v>19000</v>
      </c>
      <c r="I335" s="1">
        <v>55.5</v>
      </c>
      <c r="J335" s="11">
        <v>750</v>
      </c>
      <c r="K335" s="11">
        <v>235</v>
      </c>
      <c r="L335" s="11">
        <v>600</v>
      </c>
      <c r="M335" s="22">
        <v>1.35</v>
      </c>
      <c r="N335" s="3" t="str">
        <f>IF(Table1[[#This Row],[Exchange_Rate]]&lt;5,"Strong Currency", IF(Table1[[#This Row],[Exchange_Rate]]&lt;=1000, "Medium Currency","Weak Currency"))</f>
        <v>Strong Currency</v>
      </c>
      <c r="O335" s="11">
        <f>(Table1[[#This Row],[Living_Cost_Index]]/123.3)*1850</f>
        <v>832.72506082725067</v>
      </c>
      <c r="P335" s="11">
        <f>Table1[[#This Row],[Monthly_Estimated_Living_cost]]*12</f>
        <v>9992.7007299270081</v>
      </c>
      <c r="Q335" s="13">
        <f>Table1[[#This Row],[Tuition_USD]]+Table1[[#This Row],[Rent_USD]]+Table1[[#This Row],[Insurance_USD]]+Table1[[#This Row],[Visa_Fee_USD]]+Table1[[#This Row],[Annual_Estimated_Living_cost]]</f>
        <v>30577.700729927008</v>
      </c>
    </row>
    <row r="336" spans="1:17" x14ac:dyDescent="0.25">
      <c r="A336" s="2" t="s">
        <v>25</v>
      </c>
      <c r="B336" s="1" t="s">
        <v>26</v>
      </c>
      <c r="C336" s="1" t="s">
        <v>27</v>
      </c>
      <c r="D336" s="1" t="s">
        <v>15</v>
      </c>
      <c r="E336" s="1" t="s">
        <v>75</v>
      </c>
      <c r="F336" s="1">
        <v>3</v>
      </c>
      <c r="G336" s="1" t="str">
        <f>CONCATENATE(Table1[[#This Row],[Duration_Years]]," ","years")</f>
        <v>3 years</v>
      </c>
      <c r="H336" s="11">
        <v>42500</v>
      </c>
      <c r="I336" s="1">
        <v>72.8</v>
      </c>
      <c r="J336" s="11">
        <v>1800</v>
      </c>
      <c r="K336" s="11">
        <v>450</v>
      </c>
      <c r="L336" s="11">
        <v>650</v>
      </c>
      <c r="M336" s="22">
        <v>1.52</v>
      </c>
      <c r="N336" s="3" t="str">
        <f>IF(Table1[[#This Row],[Exchange_Rate]]&lt;5,"Strong Currency", IF(Table1[[#This Row],[Exchange_Rate]]&lt;=1000, "Medium Currency","Weak Currency"))</f>
        <v>Strong Currency</v>
      </c>
      <c r="O336" s="11">
        <f>(Table1[[#This Row],[Living_Cost_Index]]/123.3)*1850</f>
        <v>1092.2952149229523</v>
      </c>
      <c r="P336" s="11">
        <f>Table1[[#This Row],[Monthly_Estimated_Living_cost]]*12</f>
        <v>13107.542579075427</v>
      </c>
      <c r="Q336" s="13">
        <f>Table1[[#This Row],[Tuition_USD]]+Table1[[#This Row],[Rent_USD]]+Table1[[#This Row],[Insurance_USD]]+Table1[[#This Row],[Visa_Fee_USD]]+Table1[[#This Row],[Annual_Estimated_Living_cost]]</f>
        <v>58507.542579075423</v>
      </c>
    </row>
    <row r="337" spans="1:17" x14ac:dyDescent="0.25">
      <c r="A337" s="2" t="s">
        <v>25</v>
      </c>
      <c r="B337" s="1" t="s">
        <v>26</v>
      </c>
      <c r="C337" s="1" t="s">
        <v>27</v>
      </c>
      <c r="D337" s="1" t="s">
        <v>15</v>
      </c>
      <c r="E337" s="1" t="s">
        <v>16</v>
      </c>
      <c r="F337" s="1">
        <v>2</v>
      </c>
      <c r="G337" s="1" t="str">
        <f>CONCATENATE(Table1[[#This Row],[Duration_Years]]," ","years")</f>
        <v>2 years</v>
      </c>
      <c r="H337" s="11">
        <v>45800</v>
      </c>
      <c r="I337" s="1">
        <v>72.8</v>
      </c>
      <c r="J337" s="11">
        <v>1800</v>
      </c>
      <c r="K337" s="11">
        <v>450</v>
      </c>
      <c r="L337" s="11">
        <v>650</v>
      </c>
      <c r="M337" s="22">
        <v>1.52</v>
      </c>
      <c r="N337" s="3" t="str">
        <f>IF(Table1[[#This Row],[Exchange_Rate]]&lt;5,"Strong Currency", IF(Table1[[#This Row],[Exchange_Rate]]&lt;=1000, "Medium Currency","Weak Currency"))</f>
        <v>Strong Currency</v>
      </c>
      <c r="O337" s="11">
        <f>(Table1[[#This Row],[Living_Cost_Index]]/123.3)*1850</f>
        <v>1092.2952149229523</v>
      </c>
      <c r="P337" s="11">
        <f>Table1[[#This Row],[Monthly_Estimated_Living_cost]]*12</f>
        <v>13107.542579075427</v>
      </c>
      <c r="Q337" s="13">
        <f>Table1[[#This Row],[Tuition_USD]]+Table1[[#This Row],[Rent_USD]]+Table1[[#This Row],[Insurance_USD]]+Table1[[#This Row],[Visa_Fee_USD]]+Table1[[#This Row],[Annual_Estimated_Living_cost]]</f>
        <v>61807.542579075423</v>
      </c>
    </row>
    <row r="338" spans="1:17" x14ac:dyDescent="0.25">
      <c r="A338" s="2" t="s">
        <v>25</v>
      </c>
      <c r="B338" s="1" t="s">
        <v>26</v>
      </c>
      <c r="C338" s="1" t="s">
        <v>27</v>
      </c>
      <c r="D338" s="1" t="s">
        <v>15</v>
      </c>
      <c r="E338" s="1" t="s">
        <v>1353</v>
      </c>
      <c r="F338" s="1">
        <v>4</v>
      </c>
      <c r="G338" s="1" t="str">
        <f>CONCATENATE(Table1[[#This Row],[Duration_Years]]," ","years")</f>
        <v>4 years</v>
      </c>
      <c r="H338" s="11">
        <v>35000</v>
      </c>
      <c r="I338" s="1">
        <v>72.8</v>
      </c>
      <c r="J338" s="11">
        <v>1800</v>
      </c>
      <c r="K338" s="11">
        <v>450</v>
      </c>
      <c r="L338" s="11">
        <v>650</v>
      </c>
      <c r="M338" s="22">
        <v>1.52</v>
      </c>
      <c r="N338" s="3" t="str">
        <f>IF(Table1[[#This Row],[Exchange_Rate]]&lt;5,"Strong Currency", IF(Table1[[#This Row],[Exchange_Rate]]&lt;=1000, "Medium Currency","Weak Currency"))</f>
        <v>Strong Currency</v>
      </c>
      <c r="O338" s="11">
        <f>(Table1[[#This Row],[Living_Cost_Index]]/123.3)*1850</f>
        <v>1092.2952149229523</v>
      </c>
      <c r="P338" s="11">
        <f>Table1[[#This Row],[Monthly_Estimated_Living_cost]]*12</f>
        <v>13107.542579075427</v>
      </c>
      <c r="Q338" s="13">
        <f>Table1[[#This Row],[Tuition_USD]]+Table1[[#This Row],[Rent_USD]]+Table1[[#This Row],[Insurance_USD]]+Table1[[#This Row],[Visa_Fee_USD]]+Table1[[#This Row],[Annual_Estimated_Living_cost]]</f>
        <v>51007.542579075423</v>
      </c>
    </row>
    <row r="339" spans="1:17" x14ac:dyDescent="0.25">
      <c r="A339" s="2" t="s">
        <v>25</v>
      </c>
      <c r="B339" s="1" t="s">
        <v>178</v>
      </c>
      <c r="C339" s="1" t="s">
        <v>179</v>
      </c>
      <c r="D339" s="1" t="s">
        <v>15</v>
      </c>
      <c r="E339" s="1" t="s">
        <v>75</v>
      </c>
      <c r="F339" s="1">
        <v>3</v>
      </c>
      <c r="G339" s="1" t="str">
        <f>CONCATENATE(Table1[[#This Row],[Duration_Years]]," ","years")</f>
        <v>3 years</v>
      </c>
      <c r="H339" s="11">
        <v>41800</v>
      </c>
      <c r="I339" s="1">
        <v>74.5</v>
      </c>
      <c r="J339" s="11">
        <v>2000</v>
      </c>
      <c r="K339" s="11">
        <v>450</v>
      </c>
      <c r="L339" s="11">
        <v>650</v>
      </c>
      <c r="M339" s="22">
        <v>1.52</v>
      </c>
      <c r="N339" s="3" t="str">
        <f>IF(Table1[[#This Row],[Exchange_Rate]]&lt;5,"Strong Currency", IF(Table1[[#This Row],[Exchange_Rate]]&lt;=1000, "Medium Currency","Weak Currency"))</f>
        <v>Strong Currency</v>
      </c>
      <c r="O339" s="11">
        <f>(Table1[[#This Row],[Living_Cost_Index]]/123.3)*1850</f>
        <v>1117.8021086780211</v>
      </c>
      <c r="P339" s="11">
        <f>Table1[[#This Row],[Monthly_Estimated_Living_cost]]*12</f>
        <v>13413.625304136254</v>
      </c>
      <c r="Q339" s="13">
        <f>Table1[[#This Row],[Tuition_USD]]+Table1[[#This Row],[Rent_USD]]+Table1[[#This Row],[Insurance_USD]]+Table1[[#This Row],[Visa_Fee_USD]]+Table1[[#This Row],[Annual_Estimated_Living_cost]]</f>
        <v>58313.625304136251</v>
      </c>
    </row>
    <row r="340" spans="1:17" x14ac:dyDescent="0.25">
      <c r="A340" s="2" t="s">
        <v>25</v>
      </c>
      <c r="B340" s="1" t="s">
        <v>178</v>
      </c>
      <c r="C340" s="1" t="s">
        <v>179</v>
      </c>
      <c r="D340" s="1" t="s">
        <v>15</v>
      </c>
      <c r="E340" s="1" t="s">
        <v>16</v>
      </c>
      <c r="F340" s="1">
        <v>2</v>
      </c>
      <c r="G340" s="1" t="str">
        <f>CONCATENATE(Table1[[#This Row],[Duration_Years]]," ","years")</f>
        <v>2 years</v>
      </c>
      <c r="H340" s="11">
        <v>44900</v>
      </c>
      <c r="I340" s="1">
        <v>74.5</v>
      </c>
      <c r="J340" s="11">
        <v>2000</v>
      </c>
      <c r="K340" s="11">
        <v>450</v>
      </c>
      <c r="L340" s="11">
        <v>650</v>
      </c>
      <c r="M340" s="22">
        <v>1.52</v>
      </c>
      <c r="N340" s="3" t="str">
        <f>IF(Table1[[#This Row],[Exchange_Rate]]&lt;5,"Strong Currency", IF(Table1[[#This Row],[Exchange_Rate]]&lt;=1000, "Medium Currency","Weak Currency"))</f>
        <v>Strong Currency</v>
      </c>
      <c r="O340" s="11">
        <f>(Table1[[#This Row],[Living_Cost_Index]]/123.3)*1850</f>
        <v>1117.8021086780211</v>
      </c>
      <c r="P340" s="11">
        <f>Table1[[#This Row],[Monthly_Estimated_Living_cost]]*12</f>
        <v>13413.625304136254</v>
      </c>
      <c r="Q340" s="13">
        <f>Table1[[#This Row],[Tuition_USD]]+Table1[[#This Row],[Rent_USD]]+Table1[[#This Row],[Insurance_USD]]+Table1[[#This Row],[Visa_Fee_USD]]+Table1[[#This Row],[Annual_Estimated_Living_cost]]</f>
        <v>61413.625304136251</v>
      </c>
    </row>
    <row r="341" spans="1:17" x14ac:dyDescent="0.25">
      <c r="A341" s="2" t="s">
        <v>25</v>
      </c>
      <c r="B341" s="1" t="s">
        <v>178</v>
      </c>
      <c r="C341" s="1" t="s">
        <v>179</v>
      </c>
      <c r="D341" s="1" t="s">
        <v>15</v>
      </c>
      <c r="E341" s="1" t="s">
        <v>1353</v>
      </c>
      <c r="F341" s="1">
        <v>4</v>
      </c>
      <c r="G341" s="1" t="str">
        <f>CONCATENATE(Table1[[#This Row],[Duration_Years]]," ","years")</f>
        <v>4 years</v>
      </c>
      <c r="H341" s="11">
        <v>34500</v>
      </c>
      <c r="I341" s="1">
        <v>74.5</v>
      </c>
      <c r="J341" s="11">
        <v>2000</v>
      </c>
      <c r="K341" s="11">
        <v>450</v>
      </c>
      <c r="L341" s="11">
        <v>650</v>
      </c>
      <c r="M341" s="22">
        <v>1.52</v>
      </c>
      <c r="N341" s="3" t="str">
        <f>IF(Table1[[#This Row],[Exchange_Rate]]&lt;5,"Strong Currency", IF(Table1[[#This Row],[Exchange_Rate]]&lt;=1000, "Medium Currency","Weak Currency"))</f>
        <v>Strong Currency</v>
      </c>
      <c r="O341" s="11">
        <f>(Table1[[#This Row],[Living_Cost_Index]]/123.3)*1850</f>
        <v>1117.8021086780211</v>
      </c>
      <c r="P341" s="11">
        <f>Table1[[#This Row],[Monthly_Estimated_Living_cost]]*12</f>
        <v>13413.625304136254</v>
      </c>
      <c r="Q341" s="13">
        <f>Table1[[#This Row],[Tuition_USD]]+Table1[[#This Row],[Rent_USD]]+Table1[[#This Row],[Insurance_USD]]+Table1[[#This Row],[Visa_Fee_USD]]+Table1[[#This Row],[Annual_Estimated_Living_cost]]</f>
        <v>51013.625304136251</v>
      </c>
    </row>
    <row r="342" spans="1:17" x14ac:dyDescent="0.25">
      <c r="A342" s="2" t="s">
        <v>25</v>
      </c>
      <c r="B342" s="1" t="s">
        <v>141</v>
      </c>
      <c r="C342" s="1" t="s">
        <v>142</v>
      </c>
      <c r="D342" s="1" t="s">
        <v>15</v>
      </c>
      <c r="E342" s="1" t="s">
        <v>75</v>
      </c>
      <c r="F342" s="1">
        <v>3</v>
      </c>
      <c r="G342" s="1" t="str">
        <f>CONCATENATE(Table1[[#This Row],[Duration_Years]]," ","years")</f>
        <v>3 years</v>
      </c>
      <c r="H342" s="11">
        <v>41200</v>
      </c>
      <c r="I342" s="1">
        <v>68.900000000000006</v>
      </c>
      <c r="J342" s="11">
        <v>1600</v>
      </c>
      <c r="K342" s="11">
        <v>450</v>
      </c>
      <c r="L342" s="11">
        <v>650</v>
      </c>
      <c r="M342" s="22">
        <v>1.52</v>
      </c>
      <c r="N342" s="3" t="str">
        <f>IF(Table1[[#This Row],[Exchange_Rate]]&lt;5,"Strong Currency", IF(Table1[[#This Row],[Exchange_Rate]]&lt;=1000, "Medium Currency","Weak Currency"))</f>
        <v>Strong Currency</v>
      </c>
      <c r="O342" s="11">
        <f>(Table1[[#This Row],[Living_Cost_Index]]/123.3)*1850</f>
        <v>1033.779399837794</v>
      </c>
      <c r="P342" s="11">
        <f>Table1[[#This Row],[Monthly_Estimated_Living_cost]]*12</f>
        <v>12405.352798053529</v>
      </c>
      <c r="Q342" s="13">
        <f>Table1[[#This Row],[Tuition_USD]]+Table1[[#This Row],[Rent_USD]]+Table1[[#This Row],[Insurance_USD]]+Table1[[#This Row],[Visa_Fee_USD]]+Table1[[#This Row],[Annual_Estimated_Living_cost]]</f>
        <v>56305.352798053529</v>
      </c>
    </row>
    <row r="343" spans="1:17" x14ac:dyDescent="0.25">
      <c r="A343" s="2" t="s">
        <v>25</v>
      </c>
      <c r="B343" s="1" t="s">
        <v>141</v>
      </c>
      <c r="C343" s="1" t="s">
        <v>142</v>
      </c>
      <c r="D343" s="1" t="s">
        <v>15</v>
      </c>
      <c r="E343" s="1" t="s">
        <v>16</v>
      </c>
      <c r="F343" s="1">
        <v>2</v>
      </c>
      <c r="G343" s="1" t="str">
        <f>CONCATENATE(Table1[[#This Row],[Duration_Years]]," ","years")</f>
        <v>2 years</v>
      </c>
      <c r="H343" s="11">
        <v>44200</v>
      </c>
      <c r="I343" s="1">
        <v>68.900000000000006</v>
      </c>
      <c r="J343" s="11">
        <v>1600</v>
      </c>
      <c r="K343" s="11">
        <v>450</v>
      </c>
      <c r="L343" s="11">
        <v>650</v>
      </c>
      <c r="M343" s="22">
        <v>1.52</v>
      </c>
      <c r="N343" s="3" t="str">
        <f>IF(Table1[[#This Row],[Exchange_Rate]]&lt;5,"Strong Currency", IF(Table1[[#This Row],[Exchange_Rate]]&lt;=1000, "Medium Currency","Weak Currency"))</f>
        <v>Strong Currency</v>
      </c>
      <c r="O343" s="11">
        <f>(Table1[[#This Row],[Living_Cost_Index]]/123.3)*1850</f>
        <v>1033.779399837794</v>
      </c>
      <c r="P343" s="11">
        <f>Table1[[#This Row],[Monthly_Estimated_Living_cost]]*12</f>
        <v>12405.352798053529</v>
      </c>
      <c r="Q343" s="13">
        <f>Table1[[#This Row],[Tuition_USD]]+Table1[[#This Row],[Rent_USD]]+Table1[[#This Row],[Insurance_USD]]+Table1[[#This Row],[Visa_Fee_USD]]+Table1[[#This Row],[Annual_Estimated_Living_cost]]</f>
        <v>59305.352798053529</v>
      </c>
    </row>
    <row r="344" spans="1:17" x14ac:dyDescent="0.25">
      <c r="A344" s="2" t="s">
        <v>25</v>
      </c>
      <c r="B344" s="1" t="s">
        <v>141</v>
      </c>
      <c r="C344" s="1" t="s">
        <v>142</v>
      </c>
      <c r="D344" s="1" t="s">
        <v>15</v>
      </c>
      <c r="E344" s="1" t="s">
        <v>1353</v>
      </c>
      <c r="F344" s="1">
        <v>4</v>
      </c>
      <c r="G344" s="1" t="str">
        <f>CONCATENATE(Table1[[#This Row],[Duration_Years]]," ","years")</f>
        <v>4 years</v>
      </c>
      <c r="H344" s="11">
        <v>34000</v>
      </c>
      <c r="I344" s="1">
        <v>68.900000000000006</v>
      </c>
      <c r="J344" s="11">
        <v>1600</v>
      </c>
      <c r="K344" s="11">
        <v>450</v>
      </c>
      <c r="L344" s="11">
        <v>650</v>
      </c>
      <c r="M344" s="22">
        <v>1.52</v>
      </c>
      <c r="N344" s="3" t="str">
        <f>IF(Table1[[#This Row],[Exchange_Rate]]&lt;5,"Strong Currency", IF(Table1[[#This Row],[Exchange_Rate]]&lt;=1000, "Medium Currency","Weak Currency"))</f>
        <v>Strong Currency</v>
      </c>
      <c r="O344" s="11">
        <f>(Table1[[#This Row],[Living_Cost_Index]]/123.3)*1850</f>
        <v>1033.779399837794</v>
      </c>
      <c r="P344" s="11">
        <f>Table1[[#This Row],[Monthly_Estimated_Living_cost]]*12</f>
        <v>12405.352798053529</v>
      </c>
      <c r="Q344" s="13">
        <f>Table1[[#This Row],[Tuition_USD]]+Table1[[#This Row],[Rent_USD]]+Table1[[#This Row],[Insurance_USD]]+Table1[[#This Row],[Visa_Fee_USD]]+Table1[[#This Row],[Annual_Estimated_Living_cost]]</f>
        <v>49105.352798053529</v>
      </c>
    </row>
    <row r="345" spans="1:17" x14ac:dyDescent="0.25">
      <c r="A345" s="2" t="s">
        <v>25</v>
      </c>
      <c r="B345" s="1" t="s">
        <v>613</v>
      </c>
      <c r="C345" s="1" t="s">
        <v>614</v>
      </c>
      <c r="D345" s="1" t="s">
        <v>15</v>
      </c>
      <c r="E345" s="1" t="s">
        <v>75</v>
      </c>
      <c r="F345" s="1">
        <v>3</v>
      </c>
      <c r="G345" s="1" t="str">
        <f>CONCATENATE(Table1[[#This Row],[Duration_Years]]," ","years")</f>
        <v>3 years</v>
      </c>
      <c r="H345" s="11">
        <v>40500</v>
      </c>
      <c r="I345" s="1">
        <v>69.2</v>
      </c>
      <c r="J345" s="11">
        <v>1500</v>
      </c>
      <c r="K345" s="11">
        <v>450</v>
      </c>
      <c r="L345" s="11">
        <v>650</v>
      </c>
      <c r="M345" s="22">
        <v>1.52</v>
      </c>
      <c r="N345" s="3" t="str">
        <f>IF(Table1[[#This Row],[Exchange_Rate]]&lt;5,"Strong Currency", IF(Table1[[#This Row],[Exchange_Rate]]&lt;=1000, "Medium Currency","Weak Currency"))</f>
        <v>Strong Currency</v>
      </c>
      <c r="O345" s="11">
        <f>(Table1[[#This Row],[Living_Cost_Index]]/123.3)*1850</f>
        <v>1038.2806163828063</v>
      </c>
      <c r="P345" s="11">
        <f>Table1[[#This Row],[Monthly_Estimated_Living_cost]]*12</f>
        <v>12459.367396593676</v>
      </c>
      <c r="Q345" s="13">
        <f>Table1[[#This Row],[Tuition_USD]]+Table1[[#This Row],[Rent_USD]]+Table1[[#This Row],[Insurance_USD]]+Table1[[#This Row],[Visa_Fee_USD]]+Table1[[#This Row],[Annual_Estimated_Living_cost]]</f>
        <v>55559.367396593676</v>
      </c>
    </row>
    <row r="346" spans="1:17" x14ac:dyDescent="0.25">
      <c r="A346" s="2" t="s">
        <v>25</v>
      </c>
      <c r="B346" s="1" t="s">
        <v>613</v>
      </c>
      <c r="C346" s="1" t="s">
        <v>614</v>
      </c>
      <c r="D346" s="1" t="s">
        <v>15</v>
      </c>
      <c r="E346" s="1" t="s">
        <v>16</v>
      </c>
      <c r="F346" s="1">
        <v>2</v>
      </c>
      <c r="G346" s="1" t="str">
        <f>CONCATENATE(Table1[[#This Row],[Duration_Years]]," ","years")</f>
        <v>2 years</v>
      </c>
      <c r="H346" s="11">
        <v>43500</v>
      </c>
      <c r="I346" s="1">
        <v>69.2</v>
      </c>
      <c r="J346" s="11">
        <v>1500</v>
      </c>
      <c r="K346" s="11">
        <v>450</v>
      </c>
      <c r="L346" s="11">
        <v>650</v>
      </c>
      <c r="M346" s="22">
        <v>1.52</v>
      </c>
      <c r="N346" s="3" t="str">
        <f>IF(Table1[[#This Row],[Exchange_Rate]]&lt;5,"Strong Currency", IF(Table1[[#This Row],[Exchange_Rate]]&lt;=1000, "Medium Currency","Weak Currency"))</f>
        <v>Strong Currency</v>
      </c>
      <c r="O346" s="11">
        <f>(Table1[[#This Row],[Living_Cost_Index]]/123.3)*1850</f>
        <v>1038.2806163828063</v>
      </c>
      <c r="P346" s="11">
        <f>Table1[[#This Row],[Monthly_Estimated_Living_cost]]*12</f>
        <v>12459.367396593676</v>
      </c>
      <c r="Q346" s="13">
        <f>Table1[[#This Row],[Tuition_USD]]+Table1[[#This Row],[Rent_USD]]+Table1[[#This Row],[Insurance_USD]]+Table1[[#This Row],[Visa_Fee_USD]]+Table1[[#This Row],[Annual_Estimated_Living_cost]]</f>
        <v>58559.367396593676</v>
      </c>
    </row>
    <row r="347" spans="1:17" x14ac:dyDescent="0.25">
      <c r="A347" s="2" t="s">
        <v>25</v>
      </c>
      <c r="B347" s="1" t="s">
        <v>613</v>
      </c>
      <c r="C347" s="1" t="s">
        <v>614</v>
      </c>
      <c r="D347" s="1" t="s">
        <v>15</v>
      </c>
      <c r="E347" s="1" t="s">
        <v>1353</v>
      </c>
      <c r="F347" s="1">
        <v>4</v>
      </c>
      <c r="G347" s="1" t="str">
        <f>CONCATENATE(Table1[[#This Row],[Duration_Years]]," ","years")</f>
        <v>4 years</v>
      </c>
      <c r="H347" s="11">
        <v>33500</v>
      </c>
      <c r="I347" s="1">
        <v>69.2</v>
      </c>
      <c r="J347" s="11">
        <v>1500</v>
      </c>
      <c r="K347" s="11">
        <v>450</v>
      </c>
      <c r="L347" s="11">
        <v>650</v>
      </c>
      <c r="M347" s="22">
        <v>1.52</v>
      </c>
      <c r="N347" s="3" t="str">
        <f>IF(Table1[[#This Row],[Exchange_Rate]]&lt;5,"Strong Currency", IF(Table1[[#This Row],[Exchange_Rate]]&lt;=1000, "Medium Currency","Weak Currency"))</f>
        <v>Strong Currency</v>
      </c>
      <c r="O347" s="11">
        <f>(Table1[[#This Row],[Living_Cost_Index]]/123.3)*1850</f>
        <v>1038.2806163828063</v>
      </c>
      <c r="P347" s="11">
        <f>Table1[[#This Row],[Monthly_Estimated_Living_cost]]*12</f>
        <v>12459.367396593676</v>
      </c>
      <c r="Q347" s="13">
        <f>Table1[[#This Row],[Tuition_USD]]+Table1[[#This Row],[Rent_USD]]+Table1[[#This Row],[Insurance_USD]]+Table1[[#This Row],[Visa_Fee_USD]]+Table1[[#This Row],[Annual_Estimated_Living_cost]]</f>
        <v>48559.367396593676</v>
      </c>
    </row>
    <row r="348" spans="1:17" x14ac:dyDescent="0.25">
      <c r="A348" s="2" t="s">
        <v>25</v>
      </c>
      <c r="B348" s="1" t="s">
        <v>178</v>
      </c>
      <c r="C348" s="1" t="s">
        <v>615</v>
      </c>
      <c r="D348" s="1" t="s">
        <v>15</v>
      </c>
      <c r="E348" s="1" t="s">
        <v>75</v>
      </c>
      <c r="F348" s="1">
        <v>3</v>
      </c>
      <c r="G348" s="1" t="str">
        <f>CONCATENATE(Table1[[#This Row],[Duration_Years]]," ","years")</f>
        <v>3 years</v>
      </c>
      <c r="H348" s="11">
        <v>40200</v>
      </c>
      <c r="I348" s="1">
        <v>74.5</v>
      </c>
      <c r="J348" s="11">
        <v>1900</v>
      </c>
      <c r="K348" s="11">
        <v>450</v>
      </c>
      <c r="L348" s="11">
        <v>650</v>
      </c>
      <c r="M348" s="22">
        <v>1.52</v>
      </c>
      <c r="N348" s="3" t="str">
        <f>IF(Table1[[#This Row],[Exchange_Rate]]&lt;5,"Strong Currency", IF(Table1[[#This Row],[Exchange_Rate]]&lt;=1000, "Medium Currency","Weak Currency"))</f>
        <v>Strong Currency</v>
      </c>
      <c r="O348" s="11">
        <f>(Table1[[#This Row],[Living_Cost_Index]]/123.3)*1850</f>
        <v>1117.8021086780211</v>
      </c>
      <c r="P348" s="11">
        <f>Table1[[#This Row],[Monthly_Estimated_Living_cost]]*12</f>
        <v>13413.625304136254</v>
      </c>
      <c r="Q348" s="13">
        <f>Table1[[#This Row],[Tuition_USD]]+Table1[[#This Row],[Rent_USD]]+Table1[[#This Row],[Insurance_USD]]+Table1[[#This Row],[Visa_Fee_USD]]+Table1[[#This Row],[Annual_Estimated_Living_cost]]</f>
        <v>56613.625304136251</v>
      </c>
    </row>
    <row r="349" spans="1:17" x14ac:dyDescent="0.25">
      <c r="A349" s="2" t="s">
        <v>25</v>
      </c>
      <c r="B349" s="1" t="s">
        <v>178</v>
      </c>
      <c r="C349" s="1" t="s">
        <v>615</v>
      </c>
      <c r="D349" s="1" t="s">
        <v>15</v>
      </c>
      <c r="E349" s="1" t="s">
        <v>16</v>
      </c>
      <c r="F349" s="1">
        <v>2</v>
      </c>
      <c r="G349" s="1" t="str">
        <f>CONCATENATE(Table1[[#This Row],[Duration_Years]]," ","years")</f>
        <v>2 years</v>
      </c>
      <c r="H349" s="11">
        <v>43200</v>
      </c>
      <c r="I349" s="1">
        <v>74.5</v>
      </c>
      <c r="J349" s="11">
        <v>1900</v>
      </c>
      <c r="K349" s="11">
        <v>450</v>
      </c>
      <c r="L349" s="11">
        <v>650</v>
      </c>
      <c r="M349" s="22">
        <v>1.52</v>
      </c>
      <c r="N349" s="3" t="str">
        <f>IF(Table1[[#This Row],[Exchange_Rate]]&lt;5,"Strong Currency", IF(Table1[[#This Row],[Exchange_Rate]]&lt;=1000, "Medium Currency","Weak Currency"))</f>
        <v>Strong Currency</v>
      </c>
      <c r="O349" s="11">
        <f>(Table1[[#This Row],[Living_Cost_Index]]/123.3)*1850</f>
        <v>1117.8021086780211</v>
      </c>
      <c r="P349" s="11">
        <f>Table1[[#This Row],[Monthly_Estimated_Living_cost]]*12</f>
        <v>13413.625304136254</v>
      </c>
      <c r="Q349" s="13">
        <f>Table1[[#This Row],[Tuition_USD]]+Table1[[#This Row],[Rent_USD]]+Table1[[#This Row],[Insurance_USD]]+Table1[[#This Row],[Visa_Fee_USD]]+Table1[[#This Row],[Annual_Estimated_Living_cost]]</f>
        <v>59613.625304136251</v>
      </c>
    </row>
    <row r="350" spans="1:17" x14ac:dyDescent="0.25">
      <c r="A350" s="2" t="s">
        <v>25</v>
      </c>
      <c r="B350" s="1" t="s">
        <v>178</v>
      </c>
      <c r="C350" s="1" t="s">
        <v>615</v>
      </c>
      <c r="D350" s="1" t="s">
        <v>15</v>
      </c>
      <c r="E350" s="1" t="s">
        <v>1353</v>
      </c>
      <c r="F350" s="1">
        <v>4</v>
      </c>
      <c r="G350" s="1" t="str">
        <f>CONCATENATE(Table1[[#This Row],[Duration_Years]]," ","years")</f>
        <v>4 years</v>
      </c>
      <c r="H350" s="11">
        <v>33200</v>
      </c>
      <c r="I350" s="1">
        <v>74.5</v>
      </c>
      <c r="J350" s="11">
        <v>1900</v>
      </c>
      <c r="K350" s="11">
        <v>450</v>
      </c>
      <c r="L350" s="11">
        <v>650</v>
      </c>
      <c r="M350" s="22">
        <v>1.52</v>
      </c>
      <c r="N350" s="3" t="str">
        <f>IF(Table1[[#This Row],[Exchange_Rate]]&lt;5,"Strong Currency", IF(Table1[[#This Row],[Exchange_Rate]]&lt;=1000, "Medium Currency","Weak Currency"))</f>
        <v>Strong Currency</v>
      </c>
      <c r="O350" s="11">
        <f>(Table1[[#This Row],[Living_Cost_Index]]/123.3)*1850</f>
        <v>1117.8021086780211</v>
      </c>
      <c r="P350" s="11">
        <f>Table1[[#This Row],[Monthly_Estimated_Living_cost]]*12</f>
        <v>13413.625304136254</v>
      </c>
      <c r="Q350" s="13">
        <f>Table1[[#This Row],[Tuition_USD]]+Table1[[#This Row],[Rent_USD]]+Table1[[#This Row],[Insurance_USD]]+Table1[[#This Row],[Visa_Fee_USD]]+Table1[[#This Row],[Annual_Estimated_Living_cost]]</f>
        <v>49613.625304136251</v>
      </c>
    </row>
    <row r="351" spans="1:17" x14ac:dyDescent="0.25">
      <c r="A351" s="2" t="s">
        <v>25</v>
      </c>
      <c r="B351" s="1" t="s">
        <v>26</v>
      </c>
      <c r="C351" s="1" t="s">
        <v>616</v>
      </c>
      <c r="D351" s="1" t="s">
        <v>15</v>
      </c>
      <c r="E351" s="1" t="s">
        <v>75</v>
      </c>
      <c r="F351" s="1">
        <v>3</v>
      </c>
      <c r="G351" s="1" t="str">
        <f>CONCATENATE(Table1[[#This Row],[Duration_Years]]," ","years")</f>
        <v>3 years</v>
      </c>
      <c r="H351" s="11">
        <v>39800</v>
      </c>
      <c r="I351" s="1">
        <v>72.8</v>
      </c>
      <c r="J351" s="11">
        <v>1700</v>
      </c>
      <c r="K351" s="11">
        <v>450</v>
      </c>
      <c r="L351" s="11">
        <v>650</v>
      </c>
      <c r="M351" s="22">
        <v>1.52</v>
      </c>
      <c r="N351" s="3" t="str">
        <f>IF(Table1[[#This Row],[Exchange_Rate]]&lt;5,"Strong Currency", IF(Table1[[#This Row],[Exchange_Rate]]&lt;=1000, "Medium Currency","Weak Currency"))</f>
        <v>Strong Currency</v>
      </c>
      <c r="O351" s="11">
        <f>(Table1[[#This Row],[Living_Cost_Index]]/123.3)*1850</f>
        <v>1092.2952149229523</v>
      </c>
      <c r="P351" s="11">
        <f>Table1[[#This Row],[Monthly_Estimated_Living_cost]]*12</f>
        <v>13107.542579075427</v>
      </c>
      <c r="Q351" s="13">
        <f>Table1[[#This Row],[Tuition_USD]]+Table1[[#This Row],[Rent_USD]]+Table1[[#This Row],[Insurance_USD]]+Table1[[#This Row],[Visa_Fee_USD]]+Table1[[#This Row],[Annual_Estimated_Living_cost]]</f>
        <v>55707.542579075423</v>
      </c>
    </row>
    <row r="352" spans="1:17" x14ac:dyDescent="0.25">
      <c r="A352" s="2" t="s">
        <v>25</v>
      </c>
      <c r="B352" s="1" t="s">
        <v>26</v>
      </c>
      <c r="C352" s="1" t="s">
        <v>616</v>
      </c>
      <c r="D352" s="1" t="s">
        <v>15</v>
      </c>
      <c r="E352" s="1" t="s">
        <v>16</v>
      </c>
      <c r="F352" s="1">
        <v>2</v>
      </c>
      <c r="G352" s="1" t="str">
        <f>CONCATENATE(Table1[[#This Row],[Duration_Years]]," ","years")</f>
        <v>2 years</v>
      </c>
      <c r="H352" s="11">
        <v>42800</v>
      </c>
      <c r="I352" s="1">
        <v>72.8</v>
      </c>
      <c r="J352" s="11">
        <v>1700</v>
      </c>
      <c r="K352" s="11">
        <v>450</v>
      </c>
      <c r="L352" s="11">
        <v>650</v>
      </c>
      <c r="M352" s="22">
        <v>1.52</v>
      </c>
      <c r="N352" s="3" t="str">
        <f>IF(Table1[[#This Row],[Exchange_Rate]]&lt;5,"Strong Currency", IF(Table1[[#This Row],[Exchange_Rate]]&lt;=1000, "Medium Currency","Weak Currency"))</f>
        <v>Strong Currency</v>
      </c>
      <c r="O352" s="11">
        <f>(Table1[[#This Row],[Living_Cost_Index]]/123.3)*1850</f>
        <v>1092.2952149229523</v>
      </c>
      <c r="P352" s="11">
        <f>Table1[[#This Row],[Monthly_Estimated_Living_cost]]*12</f>
        <v>13107.542579075427</v>
      </c>
      <c r="Q352" s="13">
        <f>Table1[[#This Row],[Tuition_USD]]+Table1[[#This Row],[Rent_USD]]+Table1[[#This Row],[Insurance_USD]]+Table1[[#This Row],[Visa_Fee_USD]]+Table1[[#This Row],[Annual_Estimated_Living_cost]]</f>
        <v>58707.542579075423</v>
      </c>
    </row>
    <row r="353" spans="1:17" x14ac:dyDescent="0.25">
      <c r="A353" s="2" t="s">
        <v>25</v>
      </c>
      <c r="B353" s="1" t="s">
        <v>26</v>
      </c>
      <c r="C353" s="1" t="s">
        <v>616</v>
      </c>
      <c r="D353" s="1" t="s">
        <v>15</v>
      </c>
      <c r="E353" s="1" t="s">
        <v>1353</v>
      </c>
      <c r="F353" s="1">
        <v>4</v>
      </c>
      <c r="G353" s="1" t="str">
        <f>CONCATENATE(Table1[[#This Row],[Duration_Years]]," ","years")</f>
        <v>4 years</v>
      </c>
      <c r="H353" s="11">
        <v>32800</v>
      </c>
      <c r="I353" s="1">
        <v>72.8</v>
      </c>
      <c r="J353" s="11">
        <v>1700</v>
      </c>
      <c r="K353" s="11">
        <v>450</v>
      </c>
      <c r="L353" s="11">
        <v>650</v>
      </c>
      <c r="M353" s="22">
        <v>1.52</v>
      </c>
      <c r="N353" s="3" t="str">
        <f>IF(Table1[[#This Row],[Exchange_Rate]]&lt;5,"Strong Currency", IF(Table1[[#This Row],[Exchange_Rate]]&lt;=1000, "Medium Currency","Weak Currency"))</f>
        <v>Strong Currency</v>
      </c>
      <c r="O353" s="11">
        <f>(Table1[[#This Row],[Living_Cost_Index]]/123.3)*1850</f>
        <v>1092.2952149229523</v>
      </c>
      <c r="P353" s="11">
        <f>Table1[[#This Row],[Monthly_Estimated_Living_cost]]*12</f>
        <v>13107.542579075427</v>
      </c>
      <c r="Q353" s="13">
        <f>Table1[[#This Row],[Tuition_USD]]+Table1[[#This Row],[Rent_USD]]+Table1[[#This Row],[Insurance_USD]]+Table1[[#This Row],[Visa_Fee_USD]]+Table1[[#This Row],[Annual_Estimated_Living_cost]]</f>
        <v>48707.542579075423</v>
      </c>
    </row>
    <row r="354" spans="1:17" x14ac:dyDescent="0.25">
      <c r="A354" s="2" t="s">
        <v>25</v>
      </c>
      <c r="B354" s="1" t="s">
        <v>223</v>
      </c>
      <c r="C354" s="1" t="s">
        <v>224</v>
      </c>
      <c r="D354" s="1" t="s">
        <v>15</v>
      </c>
      <c r="E354" s="1" t="s">
        <v>75</v>
      </c>
      <c r="F354" s="1">
        <v>3</v>
      </c>
      <c r="G354" s="1" t="str">
        <f>CONCATENATE(Table1[[#This Row],[Duration_Years]]," ","years")</f>
        <v>3 years</v>
      </c>
      <c r="H354" s="11">
        <v>39200</v>
      </c>
      <c r="I354" s="1">
        <v>67.5</v>
      </c>
      <c r="J354" s="11">
        <v>1400</v>
      </c>
      <c r="K354" s="11">
        <v>450</v>
      </c>
      <c r="L354" s="11">
        <v>650</v>
      </c>
      <c r="M354" s="22">
        <v>1.52</v>
      </c>
      <c r="N354" s="3" t="str">
        <f>IF(Table1[[#This Row],[Exchange_Rate]]&lt;5,"Strong Currency", IF(Table1[[#This Row],[Exchange_Rate]]&lt;=1000, "Medium Currency","Weak Currency"))</f>
        <v>Strong Currency</v>
      </c>
      <c r="O354" s="11">
        <f>(Table1[[#This Row],[Living_Cost_Index]]/123.3)*1850</f>
        <v>1012.7737226277372</v>
      </c>
      <c r="P354" s="11">
        <f>Table1[[#This Row],[Monthly_Estimated_Living_cost]]*12</f>
        <v>12153.284671532847</v>
      </c>
      <c r="Q354" s="13">
        <f>Table1[[#This Row],[Tuition_USD]]+Table1[[#This Row],[Rent_USD]]+Table1[[#This Row],[Insurance_USD]]+Table1[[#This Row],[Visa_Fee_USD]]+Table1[[#This Row],[Annual_Estimated_Living_cost]]</f>
        <v>53853.284671532849</v>
      </c>
    </row>
    <row r="355" spans="1:17" x14ac:dyDescent="0.25">
      <c r="A355" s="2" t="s">
        <v>25</v>
      </c>
      <c r="B355" s="1" t="s">
        <v>223</v>
      </c>
      <c r="C355" s="1" t="s">
        <v>224</v>
      </c>
      <c r="D355" s="1" t="s">
        <v>15</v>
      </c>
      <c r="E355" s="1" t="s">
        <v>16</v>
      </c>
      <c r="F355" s="1">
        <v>2</v>
      </c>
      <c r="G355" s="1" t="str">
        <f>CONCATENATE(Table1[[#This Row],[Duration_Years]]," ","years")</f>
        <v>2 years</v>
      </c>
      <c r="H355" s="11">
        <v>42200</v>
      </c>
      <c r="I355" s="1">
        <v>67.5</v>
      </c>
      <c r="J355" s="11">
        <v>1400</v>
      </c>
      <c r="K355" s="11">
        <v>450</v>
      </c>
      <c r="L355" s="11">
        <v>650</v>
      </c>
      <c r="M355" s="22">
        <v>1.52</v>
      </c>
      <c r="N355" s="3" t="str">
        <f>IF(Table1[[#This Row],[Exchange_Rate]]&lt;5,"Strong Currency", IF(Table1[[#This Row],[Exchange_Rate]]&lt;=1000, "Medium Currency","Weak Currency"))</f>
        <v>Strong Currency</v>
      </c>
      <c r="O355" s="11">
        <f>(Table1[[#This Row],[Living_Cost_Index]]/123.3)*1850</f>
        <v>1012.7737226277372</v>
      </c>
      <c r="P355" s="11">
        <f>Table1[[#This Row],[Monthly_Estimated_Living_cost]]*12</f>
        <v>12153.284671532847</v>
      </c>
      <c r="Q355" s="13">
        <f>Table1[[#This Row],[Tuition_USD]]+Table1[[#This Row],[Rent_USD]]+Table1[[#This Row],[Insurance_USD]]+Table1[[#This Row],[Visa_Fee_USD]]+Table1[[#This Row],[Annual_Estimated_Living_cost]]</f>
        <v>56853.284671532849</v>
      </c>
    </row>
    <row r="356" spans="1:17" x14ac:dyDescent="0.25">
      <c r="A356" s="2" t="s">
        <v>25</v>
      </c>
      <c r="B356" s="1" t="s">
        <v>223</v>
      </c>
      <c r="C356" s="1" t="s">
        <v>224</v>
      </c>
      <c r="D356" s="1" t="s">
        <v>15</v>
      </c>
      <c r="E356" s="1" t="s">
        <v>1353</v>
      </c>
      <c r="F356" s="1">
        <v>4</v>
      </c>
      <c r="G356" s="1" t="str">
        <f>CONCATENATE(Table1[[#This Row],[Duration_Years]]," ","years")</f>
        <v>4 years</v>
      </c>
      <c r="H356" s="11">
        <v>32200</v>
      </c>
      <c r="I356" s="1">
        <v>67.5</v>
      </c>
      <c r="J356" s="11">
        <v>1400</v>
      </c>
      <c r="K356" s="11">
        <v>450</v>
      </c>
      <c r="L356" s="11">
        <v>650</v>
      </c>
      <c r="M356" s="22">
        <v>1.52</v>
      </c>
      <c r="N356" s="3" t="str">
        <f>IF(Table1[[#This Row],[Exchange_Rate]]&lt;5,"Strong Currency", IF(Table1[[#This Row],[Exchange_Rate]]&lt;=1000, "Medium Currency","Weak Currency"))</f>
        <v>Strong Currency</v>
      </c>
      <c r="O356" s="11">
        <f>(Table1[[#This Row],[Living_Cost_Index]]/123.3)*1850</f>
        <v>1012.7737226277372</v>
      </c>
      <c r="P356" s="11">
        <f>Table1[[#This Row],[Monthly_Estimated_Living_cost]]*12</f>
        <v>12153.284671532847</v>
      </c>
      <c r="Q356" s="13">
        <f>Table1[[#This Row],[Tuition_USD]]+Table1[[#This Row],[Rent_USD]]+Table1[[#This Row],[Insurance_USD]]+Table1[[#This Row],[Visa_Fee_USD]]+Table1[[#This Row],[Annual_Estimated_Living_cost]]</f>
        <v>46853.284671532849</v>
      </c>
    </row>
    <row r="357" spans="1:17" x14ac:dyDescent="0.25">
      <c r="A357" s="2" t="s">
        <v>25</v>
      </c>
      <c r="B357" s="1" t="s">
        <v>225</v>
      </c>
      <c r="C357" s="1" t="s">
        <v>226</v>
      </c>
      <c r="D357" s="1" t="s">
        <v>15</v>
      </c>
      <c r="E357" s="1" t="s">
        <v>75</v>
      </c>
      <c r="F357" s="1">
        <v>3</v>
      </c>
      <c r="G357" s="1" t="str">
        <f>CONCATENATE(Table1[[#This Row],[Duration_Years]]," ","years")</f>
        <v>3 years</v>
      </c>
      <c r="H357" s="11">
        <v>38800</v>
      </c>
      <c r="I357" s="1">
        <v>68.2</v>
      </c>
      <c r="J357" s="11">
        <v>1500</v>
      </c>
      <c r="K357" s="11">
        <v>450</v>
      </c>
      <c r="L357" s="11">
        <v>650</v>
      </c>
      <c r="M357" s="22">
        <v>1.52</v>
      </c>
      <c r="N357" s="3" t="str">
        <f>IF(Table1[[#This Row],[Exchange_Rate]]&lt;5,"Strong Currency", IF(Table1[[#This Row],[Exchange_Rate]]&lt;=1000, "Medium Currency","Weak Currency"))</f>
        <v>Strong Currency</v>
      </c>
      <c r="O357" s="11">
        <f>(Table1[[#This Row],[Living_Cost_Index]]/123.3)*1850</f>
        <v>1023.2765612327656</v>
      </c>
      <c r="P357" s="11">
        <f>Table1[[#This Row],[Monthly_Estimated_Living_cost]]*12</f>
        <v>12279.318734793187</v>
      </c>
      <c r="Q357" s="13">
        <f>Table1[[#This Row],[Tuition_USD]]+Table1[[#This Row],[Rent_USD]]+Table1[[#This Row],[Insurance_USD]]+Table1[[#This Row],[Visa_Fee_USD]]+Table1[[#This Row],[Annual_Estimated_Living_cost]]</f>
        <v>53679.318734793189</v>
      </c>
    </row>
    <row r="358" spans="1:17" x14ac:dyDescent="0.25">
      <c r="A358" s="2" t="s">
        <v>25</v>
      </c>
      <c r="B358" s="1" t="s">
        <v>225</v>
      </c>
      <c r="C358" s="1" t="s">
        <v>226</v>
      </c>
      <c r="D358" s="1" t="s">
        <v>15</v>
      </c>
      <c r="E358" s="1" t="s">
        <v>16</v>
      </c>
      <c r="F358" s="1">
        <v>2</v>
      </c>
      <c r="G358" s="1" t="str">
        <f>CONCATENATE(Table1[[#This Row],[Duration_Years]]," ","years")</f>
        <v>2 years</v>
      </c>
      <c r="H358" s="11">
        <v>41800</v>
      </c>
      <c r="I358" s="1">
        <v>68.2</v>
      </c>
      <c r="J358" s="11">
        <v>1500</v>
      </c>
      <c r="K358" s="11">
        <v>450</v>
      </c>
      <c r="L358" s="11">
        <v>650</v>
      </c>
      <c r="M358" s="22">
        <v>1.52</v>
      </c>
      <c r="N358" s="3" t="str">
        <f>IF(Table1[[#This Row],[Exchange_Rate]]&lt;5,"Strong Currency", IF(Table1[[#This Row],[Exchange_Rate]]&lt;=1000, "Medium Currency","Weak Currency"))</f>
        <v>Strong Currency</v>
      </c>
      <c r="O358" s="11">
        <f>(Table1[[#This Row],[Living_Cost_Index]]/123.3)*1850</f>
        <v>1023.2765612327656</v>
      </c>
      <c r="P358" s="11">
        <f>Table1[[#This Row],[Monthly_Estimated_Living_cost]]*12</f>
        <v>12279.318734793187</v>
      </c>
      <c r="Q358" s="13">
        <f>Table1[[#This Row],[Tuition_USD]]+Table1[[#This Row],[Rent_USD]]+Table1[[#This Row],[Insurance_USD]]+Table1[[#This Row],[Visa_Fee_USD]]+Table1[[#This Row],[Annual_Estimated_Living_cost]]</f>
        <v>56679.318734793189</v>
      </c>
    </row>
    <row r="359" spans="1:17" x14ac:dyDescent="0.25">
      <c r="A359" s="2" t="s">
        <v>25</v>
      </c>
      <c r="B359" s="1" t="s">
        <v>225</v>
      </c>
      <c r="C359" s="1" t="s">
        <v>226</v>
      </c>
      <c r="D359" s="1" t="s">
        <v>15</v>
      </c>
      <c r="E359" s="1" t="s">
        <v>1353</v>
      </c>
      <c r="F359" s="1">
        <v>4</v>
      </c>
      <c r="G359" s="1" t="str">
        <f>CONCATENATE(Table1[[#This Row],[Duration_Years]]," ","years")</f>
        <v>4 years</v>
      </c>
      <c r="H359" s="11">
        <v>31800</v>
      </c>
      <c r="I359" s="1">
        <v>68.2</v>
      </c>
      <c r="J359" s="11">
        <v>1500</v>
      </c>
      <c r="K359" s="11">
        <v>450</v>
      </c>
      <c r="L359" s="11">
        <v>650</v>
      </c>
      <c r="M359" s="22">
        <v>1.52</v>
      </c>
      <c r="N359" s="3" t="str">
        <f>IF(Table1[[#This Row],[Exchange_Rate]]&lt;5,"Strong Currency", IF(Table1[[#This Row],[Exchange_Rate]]&lt;=1000, "Medium Currency","Weak Currency"))</f>
        <v>Strong Currency</v>
      </c>
      <c r="O359" s="11">
        <f>(Table1[[#This Row],[Living_Cost_Index]]/123.3)*1850</f>
        <v>1023.2765612327656</v>
      </c>
      <c r="P359" s="11">
        <f>Table1[[#This Row],[Monthly_Estimated_Living_cost]]*12</f>
        <v>12279.318734793187</v>
      </c>
      <c r="Q359" s="13">
        <f>Table1[[#This Row],[Tuition_USD]]+Table1[[#This Row],[Rent_USD]]+Table1[[#This Row],[Insurance_USD]]+Table1[[#This Row],[Visa_Fee_USD]]+Table1[[#This Row],[Annual_Estimated_Living_cost]]</f>
        <v>46679.318734793189</v>
      </c>
    </row>
    <row r="360" spans="1:17" x14ac:dyDescent="0.25">
      <c r="A360" s="2" t="s">
        <v>25</v>
      </c>
      <c r="B360" s="1" t="s">
        <v>613</v>
      </c>
      <c r="C360" s="1" t="s">
        <v>617</v>
      </c>
      <c r="D360" s="1" t="s">
        <v>15</v>
      </c>
      <c r="E360" s="1" t="s">
        <v>75</v>
      </c>
      <c r="F360" s="1">
        <v>3</v>
      </c>
      <c r="G360" s="1" t="str">
        <f>CONCATENATE(Table1[[#This Row],[Duration_Years]]," ","years")</f>
        <v>3 years</v>
      </c>
      <c r="H360" s="11">
        <v>38200</v>
      </c>
      <c r="I360" s="1">
        <v>69.2</v>
      </c>
      <c r="J360" s="11">
        <v>1400</v>
      </c>
      <c r="K360" s="11">
        <v>450</v>
      </c>
      <c r="L360" s="11">
        <v>650</v>
      </c>
      <c r="M360" s="22">
        <v>1.52</v>
      </c>
      <c r="N360" s="3" t="str">
        <f>IF(Table1[[#This Row],[Exchange_Rate]]&lt;5,"Strong Currency", IF(Table1[[#This Row],[Exchange_Rate]]&lt;=1000, "Medium Currency","Weak Currency"))</f>
        <v>Strong Currency</v>
      </c>
      <c r="O360" s="11">
        <f>(Table1[[#This Row],[Living_Cost_Index]]/123.3)*1850</f>
        <v>1038.2806163828063</v>
      </c>
      <c r="P360" s="11">
        <f>Table1[[#This Row],[Monthly_Estimated_Living_cost]]*12</f>
        <v>12459.367396593676</v>
      </c>
      <c r="Q360" s="13">
        <f>Table1[[#This Row],[Tuition_USD]]+Table1[[#This Row],[Rent_USD]]+Table1[[#This Row],[Insurance_USD]]+Table1[[#This Row],[Visa_Fee_USD]]+Table1[[#This Row],[Annual_Estimated_Living_cost]]</f>
        <v>53159.367396593676</v>
      </c>
    </row>
    <row r="361" spans="1:17" x14ac:dyDescent="0.25">
      <c r="A361" s="2" t="s">
        <v>25</v>
      </c>
      <c r="B361" s="1" t="s">
        <v>613</v>
      </c>
      <c r="C361" s="1" t="s">
        <v>617</v>
      </c>
      <c r="D361" s="1" t="s">
        <v>15</v>
      </c>
      <c r="E361" s="1" t="s">
        <v>16</v>
      </c>
      <c r="F361" s="1">
        <v>2</v>
      </c>
      <c r="G361" s="1" t="str">
        <f>CONCATENATE(Table1[[#This Row],[Duration_Years]]," ","years")</f>
        <v>2 years</v>
      </c>
      <c r="H361" s="11">
        <v>41200</v>
      </c>
      <c r="I361" s="1">
        <v>69.2</v>
      </c>
      <c r="J361" s="11">
        <v>1400</v>
      </c>
      <c r="K361" s="11">
        <v>450</v>
      </c>
      <c r="L361" s="11">
        <v>650</v>
      </c>
      <c r="M361" s="22">
        <v>1.52</v>
      </c>
      <c r="N361" s="3" t="str">
        <f>IF(Table1[[#This Row],[Exchange_Rate]]&lt;5,"Strong Currency", IF(Table1[[#This Row],[Exchange_Rate]]&lt;=1000, "Medium Currency","Weak Currency"))</f>
        <v>Strong Currency</v>
      </c>
      <c r="O361" s="11">
        <f>(Table1[[#This Row],[Living_Cost_Index]]/123.3)*1850</f>
        <v>1038.2806163828063</v>
      </c>
      <c r="P361" s="11">
        <f>Table1[[#This Row],[Monthly_Estimated_Living_cost]]*12</f>
        <v>12459.367396593676</v>
      </c>
      <c r="Q361" s="13">
        <f>Table1[[#This Row],[Tuition_USD]]+Table1[[#This Row],[Rent_USD]]+Table1[[#This Row],[Insurance_USD]]+Table1[[#This Row],[Visa_Fee_USD]]+Table1[[#This Row],[Annual_Estimated_Living_cost]]</f>
        <v>56159.367396593676</v>
      </c>
    </row>
    <row r="362" spans="1:17" x14ac:dyDescent="0.25">
      <c r="A362" s="2" t="s">
        <v>25</v>
      </c>
      <c r="B362" s="1" t="s">
        <v>613</v>
      </c>
      <c r="C362" s="1" t="s">
        <v>617</v>
      </c>
      <c r="D362" s="1" t="s">
        <v>15</v>
      </c>
      <c r="E362" s="1" t="s">
        <v>1353</v>
      </c>
      <c r="F362" s="1">
        <v>4</v>
      </c>
      <c r="G362" s="1" t="str">
        <f>CONCATENATE(Table1[[#This Row],[Duration_Years]]," ","years")</f>
        <v>4 years</v>
      </c>
      <c r="H362" s="11">
        <v>31200</v>
      </c>
      <c r="I362" s="1">
        <v>69.2</v>
      </c>
      <c r="J362" s="11">
        <v>1400</v>
      </c>
      <c r="K362" s="11">
        <v>450</v>
      </c>
      <c r="L362" s="11">
        <v>650</v>
      </c>
      <c r="M362" s="22">
        <v>1.52</v>
      </c>
      <c r="N362" s="3" t="str">
        <f>IF(Table1[[#This Row],[Exchange_Rate]]&lt;5,"Strong Currency", IF(Table1[[#This Row],[Exchange_Rate]]&lt;=1000, "Medium Currency","Weak Currency"))</f>
        <v>Strong Currency</v>
      </c>
      <c r="O362" s="11">
        <f>(Table1[[#This Row],[Living_Cost_Index]]/123.3)*1850</f>
        <v>1038.2806163828063</v>
      </c>
      <c r="P362" s="11">
        <f>Table1[[#This Row],[Monthly_Estimated_Living_cost]]*12</f>
        <v>12459.367396593676</v>
      </c>
      <c r="Q362" s="13">
        <f>Table1[[#This Row],[Tuition_USD]]+Table1[[#This Row],[Rent_USD]]+Table1[[#This Row],[Insurance_USD]]+Table1[[#This Row],[Visa_Fee_USD]]+Table1[[#This Row],[Annual_Estimated_Living_cost]]</f>
        <v>46159.367396593676</v>
      </c>
    </row>
    <row r="363" spans="1:17" x14ac:dyDescent="0.25">
      <c r="A363" s="2" t="s">
        <v>25</v>
      </c>
      <c r="B363" s="1" t="s">
        <v>178</v>
      </c>
      <c r="C363" s="1" t="s">
        <v>618</v>
      </c>
      <c r="D363" s="1" t="s">
        <v>15</v>
      </c>
      <c r="E363" s="1" t="s">
        <v>75</v>
      </c>
      <c r="F363" s="1">
        <v>3</v>
      </c>
      <c r="G363" s="1" t="str">
        <f>CONCATENATE(Table1[[#This Row],[Duration_Years]]," ","years")</f>
        <v>3 years</v>
      </c>
      <c r="H363" s="11">
        <v>37800</v>
      </c>
      <c r="I363" s="1">
        <v>74.5</v>
      </c>
      <c r="J363" s="11">
        <v>1800</v>
      </c>
      <c r="K363" s="11">
        <v>450</v>
      </c>
      <c r="L363" s="11">
        <v>650</v>
      </c>
      <c r="M363" s="22">
        <v>1.52</v>
      </c>
      <c r="N363" s="3" t="str">
        <f>IF(Table1[[#This Row],[Exchange_Rate]]&lt;5,"Strong Currency", IF(Table1[[#This Row],[Exchange_Rate]]&lt;=1000, "Medium Currency","Weak Currency"))</f>
        <v>Strong Currency</v>
      </c>
      <c r="O363" s="11">
        <f>(Table1[[#This Row],[Living_Cost_Index]]/123.3)*1850</f>
        <v>1117.8021086780211</v>
      </c>
      <c r="P363" s="11">
        <f>Table1[[#This Row],[Monthly_Estimated_Living_cost]]*12</f>
        <v>13413.625304136254</v>
      </c>
      <c r="Q363" s="13">
        <f>Table1[[#This Row],[Tuition_USD]]+Table1[[#This Row],[Rent_USD]]+Table1[[#This Row],[Insurance_USD]]+Table1[[#This Row],[Visa_Fee_USD]]+Table1[[#This Row],[Annual_Estimated_Living_cost]]</f>
        <v>54113.625304136251</v>
      </c>
    </row>
    <row r="364" spans="1:17" x14ac:dyDescent="0.25">
      <c r="A364" s="2" t="s">
        <v>25</v>
      </c>
      <c r="B364" s="1" t="s">
        <v>178</v>
      </c>
      <c r="C364" s="1" t="s">
        <v>618</v>
      </c>
      <c r="D364" s="1" t="s">
        <v>15</v>
      </c>
      <c r="E364" s="1" t="s">
        <v>16</v>
      </c>
      <c r="F364" s="1">
        <v>2</v>
      </c>
      <c r="G364" s="1" t="str">
        <f>CONCATENATE(Table1[[#This Row],[Duration_Years]]," ","years")</f>
        <v>2 years</v>
      </c>
      <c r="H364" s="11">
        <v>40800</v>
      </c>
      <c r="I364" s="1">
        <v>74.5</v>
      </c>
      <c r="J364" s="11">
        <v>1800</v>
      </c>
      <c r="K364" s="11">
        <v>450</v>
      </c>
      <c r="L364" s="11">
        <v>650</v>
      </c>
      <c r="M364" s="22">
        <v>1.52</v>
      </c>
      <c r="N364" s="3" t="str">
        <f>IF(Table1[[#This Row],[Exchange_Rate]]&lt;5,"Strong Currency", IF(Table1[[#This Row],[Exchange_Rate]]&lt;=1000, "Medium Currency","Weak Currency"))</f>
        <v>Strong Currency</v>
      </c>
      <c r="O364" s="11">
        <f>(Table1[[#This Row],[Living_Cost_Index]]/123.3)*1850</f>
        <v>1117.8021086780211</v>
      </c>
      <c r="P364" s="11">
        <f>Table1[[#This Row],[Monthly_Estimated_Living_cost]]*12</f>
        <v>13413.625304136254</v>
      </c>
      <c r="Q364" s="13">
        <f>Table1[[#This Row],[Tuition_USD]]+Table1[[#This Row],[Rent_USD]]+Table1[[#This Row],[Insurance_USD]]+Table1[[#This Row],[Visa_Fee_USD]]+Table1[[#This Row],[Annual_Estimated_Living_cost]]</f>
        <v>57113.625304136251</v>
      </c>
    </row>
    <row r="365" spans="1:17" x14ac:dyDescent="0.25">
      <c r="A365" s="2" t="s">
        <v>25</v>
      </c>
      <c r="B365" s="1" t="s">
        <v>178</v>
      </c>
      <c r="C365" s="1" t="s">
        <v>618</v>
      </c>
      <c r="D365" s="1" t="s">
        <v>15</v>
      </c>
      <c r="E365" s="1" t="s">
        <v>1353</v>
      </c>
      <c r="F365" s="1">
        <v>4</v>
      </c>
      <c r="G365" s="1" t="str">
        <f>CONCATENATE(Table1[[#This Row],[Duration_Years]]," ","years")</f>
        <v>4 years</v>
      </c>
      <c r="H365" s="11">
        <v>30800</v>
      </c>
      <c r="I365" s="1">
        <v>74.5</v>
      </c>
      <c r="J365" s="11">
        <v>1800</v>
      </c>
      <c r="K365" s="11">
        <v>450</v>
      </c>
      <c r="L365" s="11">
        <v>650</v>
      </c>
      <c r="M365" s="22">
        <v>1.52</v>
      </c>
      <c r="N365" s="3" t="str">
        <f>IF(Table1[[#This Row],[Exchange_Rate]]&lt;5,"Strong Currency", IF(Table1[[#This Row],[Exchange_Rate]]&lt;=1000, "Medium Currency","Weak Currency"))</f>
        <v>Strong Currency</v>
      </c>
      <c r="O365" s="11">
        <f>(Table1[[#This Row],[Living_Cost_Index]]/123.3)*1850</f>
        <v>1117.8021086780211</v>
      </c>
      <c r="P365" s="11">
        <f>Table1[[#This Row],[Monthly_Estimated_Living_cost]]*12</f>
        <v>13413.625304136254</v>
      </c>
      <c r="Q365" s="13">
        <f>Table1[[#This Row],[Tuition_USD]]+Table1[[#This Row],[Rent_USD]]+Table1[[#This Row],[Insurance_USD]]+Table1[[#This Row],[Visa_Fee_USD]]+Table1[[#This Row],[Annual_Estimated_Living_cost]]</f>
        <v>47113.625304136251</v>
      </c>
    </row>
    <row r="366" spans="1:17" x14ac:dyDescent="0.25">
      <c r="A366" s="2" t="s">
        <v>25</v>
      </c>
      <c r="B366" s="1" t="s">
        <v>26</v>
      </c>
      <c r="C366" s="1" t="s">
        <v>619</v>
      </c>
      <c r="D366" s="1" t="s">
        <v>15</v>
      </c>
      <c r="E366" s="1" t="s">
        <v>75</v>
      </c>
      <c r="F366" s="1">
        <v>3</v>
      </c>
      <c r="G366" s="1" t="str">
        <f>CONCATENATE(Table1[[#This Row],[Duration_Years]]," ","years")</f>
        <v>3 years</v>
      </c>
      <c r="H366" s="11">
        <v>37200</v>
      </c>
      <c r="I366" s="1">
        <v>72.8</v>
      </c>
      <c r="J366" s="11">
        <v>1600</v>
      </c>
      <c r="K366" s="11">
        <v>450</v>
      </c>
      <c r="L366" s="11">
        <v>650</v>
      </c>
      <c r="M366" s="22">
        <v>1.52</v>
      </c>
      <c r="N366" s="3" t="str">
        <f>IF(Table1[[#This Row],[Exchange_Rate]]&lt;5,"Strong Currency", IF(Table1[[#This Row],[Exchange_Rate]]&lt;=1000, "Medium Currency","Weak Currency"))</f>
        <v>Strong Currency</v>
      </c>
      <c r="O366" s="11">
        <f>(Table1[[#This Row],[Living_Cost_Index]]/123.3)*1850</f>
        <v>1092.2952149229523</v>
      </c>
      <c r="P366" s="11">
        <f>Table1[[#This Row],[Monthly_Estimated_Living_cost]]*12</f>
        <v>13107.542579075427</v>
      </c>
      <c r="Q366" s="13">
        <f>Table1[[#This Row],[Tuition_USD]]+Table1[[#This Row],[Rent_USD]]+Table1[[#This Row],[Insurance_USD]]+Table1[[#This Row],[Visa_Fee_USD]]+Table1[[#This Row],[Annual_Estimated_Living_cost]]</f>
        <v>53007.542579075423</v>
      </c>
    </row>
    <row r="367" spans="1:17" x14ac:dyDescent="0.25">
      <c r="A367" s="2" t="s">
        <v>25</v>
      </c>
      <c r="B367" s="1" t="s">
        <v>26</v>
      </c>
      <c r="C367" s="1" t="s">
        <v>619</v>
      </c>
      <c r="D367" s="1" t="s">
        <v>15</v>
      </c>
      <c r="E367" s="1" t="s">
        <v>16</v>
      </c>
      <c r="F367" s="1">
        <v>2</v>
      </c>
      <c r="G367" s="1" t="str">
        <f>CONCATENATE(Table1[[#This Row],[Duration_Years]]," ","years")</f>
        <v>2 years</v>
      </c>
      <c r="H367" s="11">
        <v>40200</v>
      </c>
      <c r="I367" s="1">
        <v>72.8</v>
      </c>
      <c r="J367" s="11">
        <v>1600</v>
      </c>
      <c r="K367" s="11">
        <v>450</v>
      </c>
      <c r="L367" s="11">
        <v>650</v>
      </c>
      <c r="M367" s="22">
        <v>1.52</v>
      </c>
      <c r="N367" s="3" t="str">
        <f>IF(Table1[[#This Row],[Exchange_Rate]]&lt;5,"Strong Currency", IF(Table1[[#This Row],[Exchange_Rate]]&lt;=1000, "Medium Currency","Weak Currency"))</f>
        <v>Strong Currency</v>
      </c>
      <c r="O367" s="11">
        <f>(Table1[[#This Row],[Living_Cost_Index]]/123.3)*1850</f>
        <v>1092.2952149229523</v>
      </c>
      <c r="P367" s="11">
        <f>Table1[[#This Row],[Monthly_Estimated_Living_cost]]*12</f>
        <v>13107.542579075427</v>
      </c>
      <c r="Q367" s="13">
        <f>Table1[[#This Row],[Tuition_USD]]+Table1[[#This Row],[Rent_USD]]+Table1[[#This Row],[Insurance_USD]]+Table1[[#This Row],[Visa_Fee_USD]]+Table1[[#This Row],[Annual_Estimated_Living_cost]]</f>
        <v>56007.542579075423</v>
      </c>
    </row>
    <row r="368" spans="1:17" x14ac:dyDescent="0.25">
      <c r="A368" s="2" t="s">
        <v>25</v>
      </c>
      <c r="B368" s="1" t="s">
        <v>26</v>
      </c>
      <c r="C368" s="1" t="s">
        <v>619</v>
      </c>
      <c r="D368" s="1" t="s">
        <v>15</v>
      </c>
      <c r="E368" s="1" t="s">
        <v>1353</v>
      </c>
      <c r="F368" s="1">
        <v>4</v>
      </c>
      <c r="G368" s="1" t="str">
        <f>CONCATENATE(Table1[[#This Row],[Duration_Years]]," ","years")</f>
        <v>4 years</v>
      </c>
      <c r="H368" s="11">
        <v>30200</v>
      </c>
      <c r="I368" s="1">
        <v>72.8</v>
      </c>
      <c r="J368" s="11">
        <v>1600</v>
      </c>
      <c r="K368" s="11">
        <v>450</v>
      </c>
      <c r="L368" s="11">
        <v>650</v>
      </c>
      <c r="M368" s="22">
        <v>1.52</v>
      </c>
      <c r="N368" s="3" t="str">
        <f>IF(Table1[[#This Row],[Exchange_Rate]]&lt;5,"Strong Currency", IF(Table1[[#This Row],[Exchange_Rate]]&lt;=1000, "Medium Currency","Weak Currency"))</f>
        <v>Strong Currency</v>
      </c>
      <c r="O368" s="11">
        <f>(Table1[[#This Row],[Living_Cost_Index]]/123.3)*1850</f>
        <v>1092.2952149229523</v>
      </c>
      <c r="P368" s="11">
        <f>Table1[[#This Row],[Monthly_Estimated_Living_cost]]*12</f>
        <v>13107.542579075427</v>
      </c>
      <c r="Q368" s="13">
        <f>Table1[[#This Row],[Tuition_USD]]+Table1[[#This Row],[Rent_USD]]+Table1[[#This Row],[Insurance_USD]]+Table1[[#This Row],[Visa_Fee_USD]]+Table1[[#This Row],[Annual_Estimated_Living_cost]]</f>
        <v>46007.542579075423</v>
      </c>
    </row>
    <row r="369" spans="1:17" x14ac:dyDescent="0.25">
      <c r="A369" s="2" t="s">
        <v>25</v>
      </c>
      <c r="B369" s="1" t="s">
        <v>233</v>
      </c>
      <c r="C369" s="1" t="s">
        <v>234</v>
      </c>
      <c r="D369" s="1" t="s">
        <v>15</v>
      </c>
      <c r="E369" s="1" t="s">
        <v>75</v>
      </c>
      <c r="F369" s="1">
        <v>3</v>
      </c>
      <c r="G369" s="1" t="str">
        <f>CONCATENATE(Table1[[#This Row],[Duration_Years]]," ","years")</f>
        <v>3 years</v>
      </c>
      <c r="H369" s="11">
        <v>36800</v>
      </c>
      <c r="I369" s="1">
        <v>65.8</v>
      </c>
      <c r="J369" s="11">
        <v>1300</v>
      </c>
      <c r="K369" s="11">
        <v>450</v>
      </c>
      <c r="L369" s="11">
        <v>650</v>
      </c>
      <c r="M369" s="22">
        <v>1.52</v>
      </c>
      <c r="N369" s="3" t="str">
        <f>IF(Table1[[#This Row],[Exchange_Rate]]&lt;5,"Strong Currency", IF(Table1[[#This Row],[Exchange_Rate]]&lt;=1000, "Medium Currency","Weak Currency"))</f>
        <v>Strong Currency</v>
      </c>
      <c r="O369" s="11">
        <f>(Table1[[#This Row],[Living_Cost_Index]]/123.3)*1850</f>
        <v>987.26682887266816</v>
      </c>
      <c r="P369" s="11">
        <f>Table1[[#This Row],[Monthly_Estimated_Living_cost]]*12</f>
        <v>11847.201946472018</v>
      </c>
      <c r="Q369" s="13">
        <f>Table1[[#This Row],[Tuition_USD]]+Table1[[#This Row],[Rent_USD]]+Table1[[#This Row],[Insurance_USD]]+Table1[[#This Row],[Visa_Fee_USD]]+Table1[[#This Row],[Annual_Estimated_Living_cost]]</f>
        <v>51047.201946472022</v>
      </c>
    </row>
    <row r="370" spans="1:17" x14ac:dyDescent="0.25">
      <c r="A370" s="2" t="s">
        <v>25</v>
      </c>
      <c r="B370" s="1" t="s">
        <v>233</v>
      </c>
      <c r="C370" s="1" t="s">
        <v>234</v>
      </c>
      <c r="D370" s="1" t="s">
        <v>15</v>
      </c>
      <c r="E370" s="1" t="s">
        <v>16</v>
      </c>
      <c r="F370" s="1">
        <v>2</v>
      </c>
      <c r="G370" s="1" t="str">
        <f>CONCATENATE(Table1[[#This Row],[Duration_Years]]," ","years")</f>
        <v>2 years</v>
      </c>
      <c r="H370" s="11">
        <v>39800</v>
      </c>
      <c r="I370" s="1">
        <v>65.8</v>
      </c>
      <c r="J370" s="11">
        <v>1300</v>
      </c>
      <c r="K370" s="11">
        <v>450</v>
      </c>
      <c r="L370" s="11">
        <v>650</v>
      </c>
      <c r="M370" s="22">
        <v>1.52</v>
      </c>
      <c r="N370" s="3" t="str">
        <f>IF(Table1[[#This Row],[Exchange_Rate]]&lt;5,"Strong Currency", IF(Table1[[#This Row],[Exchange_Rate]]&lt;=1000, "Medium Currency","Weak Currency"))</f>
        <v>Strong Currency</v>
      </c>
      <c r="O370" s="11">
        <f>(Table1[[#This Row],[Living_Cost_Index]]/123.3)*1850</f>
        <v>987.26682887266816</v>
      </c>
      <c r="P370" s="11">
        <f>Table1[[#This Row],[Monthly_Estimated_Living_cost]]*12</f>
        <v>11847.201946472018</v>
      </c>
      <c r="Q370" s="13">
        <f>Table1[[#This Row],[Tuition_USD]]+Table1[[#This Row],[Rent_USD]]+Table1[[#This Row],[Insurance_USD]]+Table1[[#This Row],[Visa_Fee_USD]]+Table1[[#This Row],[Annual_Estimated_Living_cost]]</f>
        <v>54047.201946472022</v>
      </c>
    </row>
    <row r="371" spans="1:17" x14ac:dyDescent="0.25">
      <c r="A371" s="2" t="s">
        <v>25</v>
      </c>
      <c r="B371" s="1" t="s">
        <v>233</v>
      </c>
      <c r="C371" s="1" t="s">
        <v>234</v>
      </c>
      <c r="D371" s="1" t="s">
        <v>15</v>
      </c>
      <c r="E371" s="1" t="s">
        <v>1353</v>
      </c>
      <c r="F371" s="1">
        <v>4</v>
      </c>
      <c r="G371" s="1" t="str">
        <f>CONCATENATE(Table1[[#This Row],[Duration_Years]]," ","years")</f>
        <v>4 years</v>
      </c>
      <c r="H371" s="11">
        <v>29800</v>
      </c>
      <c r="I371" s="1">
        <v>65.8</v>
      </c>
      <c r="J371" s="11">
        <v>1300</v>
      </c>
      <c r="K371" s="11">
        <v>450</v>
      </c>
      <c r="L371" s="11">
        <v>650</v>
      </c>
      <c r="M371" s="22">
        <v>1.52</v>
      </c>
      <c r="N371" s="3" t="str">
        <f>IF(Table1[[#This Row],[Exchange_Rate]]&lt;5,"Strong Currency", IF(Table1[[#This Row],[Exchange_Rate]]&lt;=1000, "Medium Currency","Weak Currency"))</f>
        <v>Strong Currency</v>
      </c>
      <c r="O371" s="11">
        <f>(Table1[[#This Row],[Living_Cost_Index]]/123.3)*1850</f>
        <v>987.26682887266816</v>
      </c>
      <c r="P371" s="11">
        <f>Table1[[#This Row],[Monthly_Estimated_Living_cost]]*12</f>
        <v>11847.201946472018</v>
      </c>
      <c r="Q371" s="13">
        <f>Table1[[#This Row],[Tuition_USD]]+Table1[[#This Row],[Rent_USD]]+Table1[[#This Row],[Insurance_USD]]+Table1[[#This Row],[Visa_Fee_USD]]+Table1[[#This Row],[Annual_Estimated_Living_cost]]</f>
        <v>44047.201946472022</v>
      </c>
    </row>
    <row r="372" spans="1:17" x14ac:dyDescent="0.25">
      <c r="A372" s="2" t="s">
        <v>25</v>
      </c>
      <c r="B372" s="1" t="s">
        <v>231</v>
      </c>
      <c r="C372" s="1" t="s">
        <v>232</v>
      </c>
      <c r="D372" s="1" t="s">
        <v>15</v>
      </c>
      <c r="E372" s="1" t="s">
        <v>75</v>
      </c>
      <c r="F372" s="1">
        <v>3</v>
      </c>
      <c r="G372" s="1" t="str">
        <f>CONCATENATE(Table1[[#This Row],[Duration_Years]]," ","years")</f>
        <v>3 years</v>
      </c>
      <c r="H372" s="11">
        <v>36200</v>
      </c>
      <c r="I372" s="1">
        <v>66.2</v>
      </c>
      <c r="J372" s="11">
        <v>1300</v>
      </c>
      <c r="K372" s="11">
        <v>450</v>
      </c>
      <c r="L372" s="11">
        <v>650</v>
      </c>
      <c r="M372" s="22">
        <v>1.52</v>
      </c>
      <c r="N372" s="3" t="str">
        <f>IF(Table1[[#This Row],[Exchange_Rate]]&lt;5,"Strong Currency", IF(Table1[[#This Row],[Exchange_Rate]]&lt;=1000, "Medium Currency","Weak Currency"))</f>
        <v>Strong Currency</v>
      </c>
      <c r="O372" s="11">
        <f>(Table1[[#This Row],[Living_Cost_Index]]/123.3)*1850</f>
        <v>993.26845093268469</v>
      </c>
      <c r="P372" s="11">
        <f>Table1[[#This Row],[Monthly_Estimated_Living_cost]]*12</f>
        <v>11919.221411192217</v>
      </c>
      <c r="Q372" s="13">
        <f>Table1[[#This Row],[Tuition_USD]]+Table1[[#This Row],[Rent_USD]]+Table1[[#This Row],[Insurance_USD]]+Table1[[#This Row],[Visa_Fee_USD]]+Table1[[#This Row],[Annual_Estimated_Living_cost]]</f>
        <v>50519.221411192215</v>
      </c>
    </row>
    <row r="373" spans="1:17" x14ac:dyDescent="0.25">
      <c r="A373" s="2" t="s">
        <v>25</v>
      </c>
      <c r="B373" s="1" t="s">
        <v>231</v>
      </c>
      <c r="C373" s="1" t="s">
        <v>232</v>
      </c>
      <c r="D373" s="1" t="s">
        <v>15</v>
      </c>
      <c r="E373" s="1" t="s">
        <v>16</v>
      </c>
      <c r="F373" s="1">
        <v>2</v>
      </c>
      <c r="G373" s="1" t="str">
        <f>CONCATENATE(Table1[[#This Row],[Duration_Years]]," ","years")</f>
        <v>2 years</v>
      </c>
      <c r="H373" s="11">
        <v>39200</v>
      </c>
      <c r="I373" s="1">
        <v>66.2</v>
      </c>
      <c r="J373" s="11">
        <v>1300</v>
      </c>
      <c r="K373" s="11">
        <v>450</v>
      </c>
      <c r="L373" s="11">
        <v>650</v>
      </c>
      <c r="M373" s="22">
        <v>1.52</v>
      </c>
      <c r="N373" s="3" t="str">
        <f>IF(Table1[[#This Row],[Exchange_Rate]]&lt;5,"Strong Currency", IF(Table1[[#This Row],[Exchange_Rate]]&lt;=1000, "Medium Currency","Weak Currency"))</f>
        <v>Strong Currency</v>
      </c>
      <c r="O373" s="11">
        <f>(Table1[[#This Row],[Living_Cost_Index]]/123.3)*1850</f>
        <v>993.26845093268469</v>
      </c>
      <c r="P373" s="11">
        <f>Table1[[#This Row],[Monthly_Estimated_Living_cost]]*12</f>
        <v>11919.221411192217</v>
      </c>
      <c r="Q373" s="13">
        <f>Table1[[#This Row],[Tuition_USD]]+Table1[[#This Row],[Rent_USD]]+Table1[[#This Row],[Insurance_USD]]+Table1[[#This Row],[Visa_Fee_USD]]+Table1[[#This Row],[Annual_Estimated_Living_cost]]</f>
        <v>53519.221411192215</v>
      </c>
    </row>
    <row r="374" spans="1:17" x14ac:dyDescent="0.25">
      <c r="A374" s="2" t="s">
        <v>25</v>
      </c>
      <c r="B374" s="1" t="s">
        <v>231</v>
      </c>
      <c r="C374" s="1" t="s">
        <v>232</v>
      </c>
      <c r="D374" s="1" t="s">
        <v>15</v>
      </c>
      <c r="E374" s="1" t="s">
        <v>1353</v>
      </c>
      <c r="F374" s="1">
        <v>4</v>
      </c>
      <c r="G374" s="1" t="str">
        <f>CONCATENATE(Table1[[#This Row],[Duration_Years]]," ","years")</f>
        <v>4 years</v>
      </c>
      <c r="H374" s="11">
        <v>29200</v>
      </c>
      <c r="I374" s="1">
        <v>66.2</v>
      </c>
      <c r="J374" s="11">
        <v>1300</v>
      </c>
      <c r="K374" s="11">
        <v>450</v>
      </c>
      <c r="L374" s="11">
        <v>650</v>
      </c>
      <c r="M374" s="22">
        <v>1.52</v>
      </c>
      <c r="N374" s="3" t="str">
        <f>IF(Table1[[#This Row],[Exchange_Rate]]&lt;5,"Strong Currency", IF(Table1[[#This Row],[Exchange_Rate]]&lt;=1000, "Medium Currency","Weak Currency"))</f>
        <v>Strong Currency</v>
      </c>
      <c r="O374" s="11">
        <f>(Table1[[#This Row],[Living_Cost_Index]]/123.3)*1850</f>
        <v>993.26845093268469</v>
      </c>
      <c r="P374" s="11">
        <f>Table1[[#This Row],[Monthly_Estimated_Living_cost]]*12</f>
        <v>11919.221411192217</v>
      </c>
      <c r="Q374" s="13">
        <f>Table1[[#This Row],[Tuition_USD]]+Table1[[#This Row],[Rent_USD]]+Table1[[#This Row],[Insurance_USD]]+Table1[[#This Row],[Visa_Fee_USD]]+Table1[[#This Row],[Annual_Estimated_Living_cost]]</f>
        <v>43519.221411192215</v>
      </c>
    </row>
    <row r="375" spans="1:17" x14ac:dyDescent="0.25">
      <c r="A375" s="2" t="s">
        <v>25</v>
      </c>
      <c r="B375" s="1" t="s">
        <v>229</v>
      </c>
      <c r="C375" s="1" t="s">
        <v>230</v>
      </c>
      <c r="D375" s="1" t="s">
        <v>15</v>
      </c>
      <c r="E375" s="1" t="s">
        <v>75</v>
      </c>
      <c r="F375" s="1">
        <v>3</v>
      </c>
      <c r="G375" s="1" t="str">
        <f>CONCATENATE(Table1[[#This Row],[Duration_Years]]," ","years")</f>
        <v>3 years</v>
      </c>
      <c r="H375" s="11">
        <v>35800</v>
      </c>
      <c r="I375" s="1">
        <v>64.5</v>
      </c>
      <c r="J375" s="11">
        <v>1200</v>
      </c>
      <c r="K375" s="11">
        <v>450</v>
      </c>
      <c r="L375" s="11">
        <v>650</v>
      </c>
      <c r="M375" s="22">
        <v>1.52</v>
      </c>
      <c r="N375" s="3" t="str">
        <f>IF(Table1[[#This Row],[Exchange_Rate]]&lt;5,"Strong Currency", IF(Table1[[#This Row],[Exchange_Rate]]&lt;=1000, "Medium Currency","Weak Currency"))</f>
        <v>Strong Currency</v>
      </c>
      <c r="O375" s="11">
        <f>(Table1[[#This Row],[Living_Cost_Index]]/123.3)*1850</f>
        <v>967.7615571776156</v>
      </c>
      <c r="P375" s="11">
        <f>Table1[[#This Row],[Monthly_Estimated_Living_cost]]*12</f>
        <v>11613.138686131388</v>
      </c>
      <c r="Q375" s="13">
        <f>Table1[[#This Row],[Tuition_USD]]+Table1[[#This Row],[Rent_USD]]+Table1[[#This Row],[Insurance_USD]]+Table1[[#This Row],[Visa_Fee_USD]]+Table1[[#This Row],[Annual_Estimated_Living_cost]]</f>
        <v>49713.138686131388</v>
      </c>
    </row>
    <row r="376" spans="1:17" x14ac:dyDescent="0.25">
      <c r="A376" s="2" t="s">
        <v>25</v>
      </c>
      <c r="B376" s="1" t="s">
        <v>229</v>
      </c>
      <c r="C376" s="1" t="s">
        <v>230</v>
      </c>
      <c r="D376" s="1" t="s">
        <v>15</v>
      </c>
      <c r="E376" s="1" t="s">
        <v>16</v>
      </c>
      <c r="F376" s="1">
        <v>2</v>
      </c>
      <c r="G376" s="1" t="str">
        <f>CONCATENATE(Table1[[#This Row],[Duration_Years]]," ","years")</f>
        <v>2 years</v>
      </c>
      <c r="H376" s="11">
        <v>38800</v>
      </c>
      <c r="I376" s="1">
        <v>64.5</v>
      </c>
      <c r="J376" s="11">
        <v>1200</v>
      </c>
      <c r="K376" s="11">
        <v>450</v>
      </c>
      <c r="L376" s="11">
        <v>650</v>
      </c>
      <c r="M376" s="22">
        <v>1.52</v>
      </c>
      <c r="N376" s="3" t="str">
        <f>IF(Table1[[#This Row],[Exchange_Rate]]&lt;5,"Strong Currency", IF(Table1[[#This Row],[Exchange_Rate]]&lt;=1000, "Medium Currency","Weak Currency"))</f>
        <v>Strong Currency</v>
      </c>
      <c r="O376" s="11">
        <f>(Table1[[#This Row],[Living_Cost_Index]]/123.3)*1850</f>
        <v>967.7615571776156</v>
      </c>
      <c r="P376" s="11">
        <f>Table1[[#This Row],[Monthly_Estimated_Living_cost]]*12</f>
        <v>11613.138686131388</v>
      </c>
      <c r="Q376" s="13">
        <f>Table1[[#This Row],[Tuition_USD]]+Table1[[#This Row],[Rent_USD]]+Table1[[#This Row],[Insurance_USD]]+Table1[[#This Row],[Visa_Fee_USD]]+Table1[[#This Row],[Annual_Estimated_Living_cost]]</f>
        <v>52713.138686131388</v>
      </c>
    </row>
    <row r="377" spans="1:17" x14ac:dyDescent="0.25">
      <c r="A377" s="2" t="s">
        <v>25</v>
      </c>
      <c r="B377" s="1" t="s">
        <v>229</v>
      </c>
      <c r="C377" s="1" t="s">
        <v>230</v>
      </c>
      <c r="D377" s="1" t="s">
        <v>15</v>
      </c>
      <c r="E377" s="1" t="s">
        <v>1353</v>
      </c>
      <c r="F377" s="1">
        <v>4</v>
      </c>
      <c r="G377" s="1" t="str">
        <f>CONCATENATE(Table1[[#This Row],[Duration_Years]]," ","years")</f>
        <v>4 years</v>
      </c>
      <c r="H377" s="11">
        <v>28800</v>
      </c>
      <c r="I377" s="1">
        <v>64.5</v>
      </c>
      <c r="J377" s="11">
        <v>1200</v>
      </c>
      <c r="K377" s="11">
        <v>450</v>
      </c>
      <c r="L377" s="11">
        <v>650</v>
      </c>
      <c r="M377" s="22">
        <v>1.52</v>
      </c>
      <c r="N377" s="3" t="str">
        <f>IF(Table1[[#This Row],[Exchange_Rate]]&lt;5,"Strong Currency", IF(Table1[[#This Row],[Exchange_Rate]]&lt;=1000, "Medium Currency","Weak Currency"))</f>
        <v>Strong Currency</v>
      </c>
      <c r="O377" s="11">
        <f>(Table1[[#This Row],[Living_Cost_Index]]/123.3)*1850</f>
        <v>967.7615571776156</v>
      </c>
      <c r="P377" s="11">
        <f>Table1[[#This Row],[Monthly_Estimated_Living_cost]]*12</f>
        <v>11613.138686131388</v>
      </c>
      <c r="Q377" s="13">
        <f>Table1[[#This Row],[Tuition_USD]]+Table1[[#This Row],[Rent_USD]]+Table1[[#This Row],[Insurance_USD]]+Table1[[#This Row],[Visa_Fee_USD]]+Table1[[#This Row],[Annual_Estimated_Living_cost]]</f>
        <v>42713.138686131388</v>
      </c>
    </row>
    <row r="378" spans="1:17" x14ac:dyDescent="0.25">
      <c r="A378" s="2" t="s">
        <v>25</v>
      </c>
      <c r="B378" s="1" t="s">
        <v>227</v>
      </c>
      <c r="C378" s="1" t="s">
        <v>228</v>
      </c>
      <c r="D378" s="1" t="s">
        <v>15</v>
      </c>
      <c r="E378" s="1" t="s">
        <v>75</v>
      </c>
      <c r="F378" s="1">
        <v>3</v>
      </c>
      <c r="G378" s="1" t="str">
        <f>CONCATENATE(Table1[[#This Row],[Duration_Years]]," ","years")</f>
        <v>3 years</v>
      </c>
      <c r="H378" s="11">
        <v>35200</v>
      </c>
      <c r="I378" s="1">
        <v>68.5</v>
      </c>
      <c r="J378" s="11">
        <v>1400</v>
      </c>
      <c r="K378" s="11">
        <v>450</v>
      </c>
      <c r="L378" s="11">
        <v>650</v>
      </c>
      <c r="M378" s="22">
        <v>1.52</v>
      </c>
      <c r="N378" s="3" t="str">
        <f>IF(Table1[[#This Row],[Exchange_Rate]]&lt;5,"Strong Currency", IF(Table1[[#This Row],[Exchange_Rate]]&lt;=1000, "Medium Currency","Weak Currency"))</f>
        <v>Strong Currency</v>
      </c>
      <c r="O378" s="11">
        <f>(Table1[[#This Row],[Living_Cost_Index]]/123.3)*1850</f>
        <v>1027.7777777777778</v>
      </c>
      <c r="P378" s="11">
        <f>Table1[[#This Row],[Monthly_Estimated_Living_cost]]*12</f>
        <v>12333.333333333334</v>
      </c>
      <c r="Q378" s="13">
        <f>Table1[[#This Row],[Tuition_USD]]+Table1[[#This Row],[Rent_USD]]+Table1[[#This Row],[Insurance_USD]]+Table1[[#This Row],[Visa_Fee_USD]]+Table1[[#This Row],[Annual_Estimated_Living_cost]]</f>
        <v>50033.333333333336</v>
      </c>
    </row>
    <row r="379" spans="1:17" x14ac:dyDescent="0.25">
      <c r="A379" s="2" t="s">
        <v>25</v>
      </c>
      <c r="B379" s="1" t="s">
        <v>227</v>
      </c>
      <c r="C379" s="1" t="s">
        <v>228</v>
      </c>
      <c r="D379" s="1" t="s">
        <v>15</v>
      </c>
      <c r="E379" s="1" t="s">
        <v>16</v>
      </c>
      <c r="F379" s="1">
        <v>2</v>
      </c>
      <c r="G379" s="1" t="str">
        <f>CONCATENATE(Table1[[#This Row],[Duration_Years]]," ","years")</f>
        <v>2 years</v>
      </c>
      <c r="H379" s="11">
        <v>38200</v>
      </c>
      <c r="I379" s="1">
        <v>68.5</v>
      </c>
      <c r="J379" s="11">
        <v>1400</v>
      </c>
      <c r="K379" s="11">
        <v>450</v>
      </c>
      <c r="L379" s="11">
        <v>650</v>
      </c>
      <c r="M379" s="22">
        <v>1.52</v>
      </c>
      <c r="N379" s="3" t="str">
        <f>IF(Table1[[#This Row],[Exchange_Rate]]&lt;5,"Strong Currency", IF(Table1[[#This Row],[Exchange_Rate]]&lt;=1000, "Medium Currency","Weak Currency"))</f>
        <v>Strong Currency</v>
      </c>
      <c r="O379" s="11">
        <f>(Table1[[#This Row],[Living_Cost_Index]]/123.3)*1850</f>
        <v>1027.7777777777778</v>
      </c>
      <c r="P379" s="11">
        <f>Table1[[#This Row],[Monthly_Estimated_Living_cost]]*12</f>
        <v>12333.333333333334</v>
      </c>
      <c r="Q379" s="13">
        <f>Table1[[#This Row],[Tuition_USD]]+Table1[[#This Row],[Rent_USD]]+Table1[[#This Row],[Insurance_USD]]+Table1[[#This Row],[Visa_Fee_USD]]+Table1[[#This Row],[Annual_Estimated_Living_cost]]</f>
        <v>53033.333333333336</v>
      </c>
    </row>
    <row r="380" spans="1:17" x14ac:dyDescent="0.25">
      <c r="A380" s="2" t="s">
        <v>25</v>
      </c>
      <c r="B380" s="1" t="s">
        <v>227</v>
      </c>
      <c r="C380" s="1" t="s">
        <v>228</v>
      </c>
      <c r="D380" s="1" t="s">
        <v>15</v>
      </c>
      <c r="E380" s="1" t="s">
        <v>1353</v>
      </c>
      <c r="F380" s="1">
        <v>4</v>
      </c>
      <c r="G380" s="1" t="str">
        <f>CONCATENATE(Table1[[#This Row],[Duration_Years]]," ","years")</f>
        <v>4 years</v>
      </c>
      <c r="H380" s="11">
        <v>28200</v>
      </c>
      <c r="I380" s="1">
        <v>68.5</v>
      </c>
      <c r="J380" s="11">
        <v>1400</v>
      </c>
      <c r="K380" s="11">
        <v>450</v>
      </c>
      <c r="L380" s="11">
        <v>650</v>
      </c>
      <c r="M380" s="22">
        <v>1.52</v>
      </c>
      <c r="N380" s="3" t="str">
        <f>IF(Table1[[#This Row],[Exchange_Rate]]&lt;5,"Strong Currency", IF(Table1[[#This Row],[Exchange_Rate]]&lt;=1000, "Medium Currency","Weak Currency"))</f>
        <v>Strong Currency</v>
      </c>
      <c r="O380" s="11">
        <f>(Table1[[#This Row],[Living_Cost_Index]]/123.3)*1850</f>
        <v>1027.7777777777778</v>
      </c>
      <c r="P380" s="11">
        <f>Table1[[#This Row],[Monthly_Estimated_Living_cost]]*12</f>
        <v>12333.333333333334</v>
      </c>
      <c r="Q380" s="13">
        <f>Table1[[#This Row],[Tuition_USD]]+Table1[[#This Row],[Rent_USD]]+Table1[[#This Row],[Insurance_USD]]+Table1[[#This Row],[Visa_Fee_USD]]+Table1[[#This Row],[Annual_Estimated_Living_cost]]</f>
        <v>43033.333333333336</v>
      </c>
    </row>
    <row r="381" spans="1:17" x14ac:dyDescent="0.25">
      <c r="A381" s="2" t="s">
        <v>25</v>
      </c>
      <c r="B381" s="1" t="s">
        <v>141</v>
      </c>
      <c r="C381" s="1" t="s">
        <v>620</v>
      </c>
      <c r="D381" s="1" t="s">
        <v>15</v>
      </c>
      <c r="E381" s="1" t="s">
        <v>75</v>
      </c>
      <c r="F381" s="1">
        <v>3</v>
      </c>
      <c r="G381" s="1" t="str">
        <f>CONCATENATE(Table1[[#This Row],[Duration_Years]]," ","years")</f>
        <v>3 years</v>
      </c>
      <c r="H381" s="11">
        <v>34800</v>
      </c>
      <c r="I381" s="1">
        <v>68.900000000000006</v>
      </c>
      <c r="J381" s="11">
        <v>1500</v>
      </c>
      <c r="K381" s="11">
        <v>450</v>
      </c>
      <c r="L381" s="11">
        <v>650</v>
      </c>
      <c r="M381" s="22">
        <v>1.52</v>
      </c>
      <c r="N381" s="3" t="str">
        <f>IF(Table1[[#This Row],[Exchange_Rate]]&lt;5,"Strong Currency", IF(Table1[[#This Row],[Exchange_Rate]]&lt;=1000, "Medium Currency","Weak Currency"))</f>
        <v>Strong Currency</v>
      </c>
      <c r="O381" s="11">
        <f>(Table1[[#This Row],[Living_Cost_Index]]/123.3)*1850</f>
        <v>1033.779399837794</v>
      </c>
      <c r="P381" s="11">
        <f>Table1[[#This Row],[Monthly_Estimated_Living_cost]]*12</f>
        <v>12405.352798053529</v>
      </c>
      <c r="Q381" s="13">
        <f>Table1[[#This Row],[Tuition_USD]]+Table1[[#This Row],[Rent_USD]]+Table1[[#This Row],[Insurance_USD]]+Table1[[#This Row],[Visa_Fee_USD]]+Table1[[#This Row],[Annual_Estimated_Living_cost]]</f>
        <v>49805.352798053529</v>
      </c>
    </row>
    <row r="382" spans="1:17" x14ac:dyDescent="0.25">
      <c r="A382" s="2" t="s">
        <v>25</v>
      </c>
      <c r="B382" s="1" t="s">
        <v>141</v>
      </c>
      <c r="C382" s="1" t="s">
        <v>620</v>
      </c>
      <c r="D382" s="1" t="s">
        <v>15</v>
      </c>
      <c r="E382" s="1" t="s">
        <v>16</v>
      </c>
      <c r="F382" s="1">
        <v>2</v>
      </c>
      <c r="G382" s="1" t="str">
        <f>CONCATENATE(Table1[[#This Row],[Duration_Years]]," ","years")</f>
        <v>2 years</v>
      </c>
      <c r="H382" s="11">
        <v>37800</v>
      </c>
      <c r="I382" s="1">
        <v>68.900000000000006</v>
      </c>
      <c r="J382" s="11">
        <v>1500</v>
      </c>
      <c r="K382" s="11">
        <v>450</v>
      </c>
      <c r="L382" s="11">
        <v>650</v>
      </c>
      <c r="M382" s="22">
        <v>1.52</v>
      </c>
      <c r="N382" s="3" t="str">
        <f>IF(Table1[[#This Row],[Exchange_Rate]]&lt;5,"Strong Currency", IF(Table1[[#This Row],[Exchange_Rate]]&lt;=1000, "Medium Currency","Weak Currency"))</f>
        <v>Strong Currency</v>
      </c>
      <c r="O382" s="11">
        <f>(Table1[[#This Row],[Living_Cost_Index]]/123.3)*1850</f>
        <v>1033.779399837794</v>
      </c>
      <c r="P382" s="11">
        <f>Table1[[#This Row],[Monthly_Estimated_Living_cost]]*12</f>
        <v>12405.352798053529</v>
      </c>
      <c r="Q382" s="13">
        <f>Table1[[#This Row],[Tuition_USD]]+Table1[[#This Row],[Rent_USD]]+Table1[[#This Row],[Insurance_USD]]+Table1[[#This Row],[Visa_Fee_USD]]+Table1[[#This Row],[Annual_Estimated_Living_cost]]</f>
        <v>52805.352798053529</v>
      </c>
    </row>
    <row r="383" spans="1:17" x14ac:dyDescent="0.25">
      <c r="A383" s="2" t="s">
        <v>25</v>
      </c>
      <c r="B383" s="1" t="s">
        <v>141</v>
      </c>
      <c r="C383" s="1" t="s">
        <v>620</v>
      </c>
      <c r="D383" s="1" t="s">
        <v>15</v>
      </c>
      <c r="E383" s="1" t="s">
        <v>1353</v>
      </c>
      <c r="F383" s="1">
        <v>4</v>
      </c>
      <c r="G383" s="1" t="str">
        <f>CONCATENATE(Table1[[#This Row],[Duration_Years]]," ","years")</f>
        <v>4 years</v>
      </c>
      <c r="H383" s="11">
        <v>27800</v>
      </c>
      <c r="I383" s="1">
        <v>68.900000000000006</v>
      </c>
      <c r="J383" s="11">
        <v>1500</v>
      </c>
      <c r="K383" s="11">
        <v>450</v>
      </c>
      <c r="L383" s="11">
        <v>650</v>
      </c>
      <c r="M383" s="22">
        <v>1.52</v>
      </c>
      <c r="N383" s="3" t="str">
        <f>IF(Table1[[#This Row],[Exchange_Rate]]&lt;5,"Strong Currency", IF(Table1[[#This Row],[Exchange_Rate]]&lt;=1000, "Medium Currency","Weak Currency"))</f>
        <v>Strong Currency</v>
      </c>
      <c r="O383" s="11">
        <f>(Table1[[#This Row],[Living_Cost_Index]]/123.3)*1850</f>
        <v>1033.779399837794</v>
      </c>
      <c r="P383" s="11">
        <f>Table1[[#This Row],[Monthly_Estimated_Living_cost]]*12</f>
        <v>12405.352798053529</v>
      </c>
      <c r="Q383" s="13">
        <f>Table1[[#This Row],[Tuition_USD]]+Table1[[#This Row],[Rent_USD]]+Table1[[#This Row],[Insurance_USD]]+Table1[[#This Row],[Visa_Fee_USD]]+Table1[[#This Row],[Annual_Estimated_Living_cost]]</f>
        <v>42805.352798053529</v>
      </c>
    </row>
    <row r="384" spans="1:17" x14ac:dyDescent="0.25">
      <c r="A384" s="2" t="s">
        <v>25</v>
      </c>
      <c r="B384" s="1" t="s">
        <v>237</v>
      </c>
      <c r="C384" s="1" t="s">
        <v>238</v>
      </c>
      <c r="D384" s="1" t="s">
        <v>15</v>
      </c>
      <c r="E384" s="1" t="s">
        <v>75</v>
      </c>
      <c r="F384" s="1">
        <v>3</v>
      </c>
      <c r="G384" s="1" t="str">
        <f>CONCATENATE(Table1[[#This Row],[Duration_Years]]," ","years")</f>
        <v>3 years</v>
      </c>
      <c r="H384" s="11">
        <v>34200</v>
      </c>
      <c r="I384" s="1">
        <v>65.2</v>
      </c>
      <c r="J384" s="11">
        <v>1200</v>
      </c>
      <c r="K384" s="11">
        <v>450</v>
      </c>
      <c r="L384" s="11">
        <v>650</v>
      </c>
      <c r="M384" s="22">
        <v>1.52</v>
      </c>
      <c r="N384" s="3" t="str">
        <f>IF(Table1[[#This Row],[Exchange_Rate]]&lt;5,"Strong Currency", IF(Table1[[#This Row],[Exchange_Rate]]&lt;=1000, "Medium Currency","Weak Currency"))</f>
        <v>Strong Currency</v>
      </c>
      <c r="O384" s="11">
        <f>(Table1[[#This Row],[Living_Cost_Index]]/123.3)*1850</f>
        <v>978.2643957826441</v>
      </c>
      <c r="P384" s="11">
        <f>Table1[[#This Row],[Monthly_Estimated_Living_cost]]*12</f>
        <v>11739.17274939173</v>
      </c>
      <c r="Q384" s="13">
        <f>Table1[[#This Row],[Tuition_USD]]+Table1[[#This Row],[Rent_USD]]+Table1[[#This Row],[Insurance_USD]]+Table1[[#This Row],[Visa_Fee_USD]]+Table1[[#This Row],[Annual_Estimated_Living_cost]]</f>
        <v>48239.172749391728</v>
      </c>
    </row>
    <row r="385" spans="1:17" x14ac:dyDescent="0.25">
      <c r="A385" s="2" t="s">
        <v>25</v>
      </c>
      <c r="B385" s="1" t="s">
        <v>237</v>
      </c>
      <c r="C385" s="1" t="s">
        <v>238</v>
      </c>
      <c r="D385" s="1" t="s">
        <v>15</v>
      </c>
      <c r="E385" s="1" t="s">
        <v>16</v>
      </c>
      <c r="F385" s="1">
        <v>2</v>
      </c>
      <c r="G385" s="1" t="str">
        <f>CONCATENATE(Table1[[#This Row],[Duration_Years]]," ","years")</f>
        <v>2 years</v>
      </c>
      <c r="H385" s="11">
        <v>37200</v>
      </c>
      <c r="I385" s="1">
        <v>65.2</v>
      </c>
      <c r="J385" s="11">
        <v>1200</v>
      </c>
      <c r="K385" s="11">
        <v>450</v>
      </c>
      <c r="L385" s="11">
        <v>650</v>
      </c>
      <c r="M385" s="22">
        <v>1.52</v>
      </c>
      <c r="N385" s="3" t="str">
        <f>IF(Table1[[#This Row],[Exchange_Rate]]&lt;5,"Strong Currency", IF(Table1[[#This Row],[Exchange_Rate]]&lt;=1000, "Medium Currency","Weak Currency"))</f>
        <v>Strong Currency</v>
      </c>
      <c r="O385" s="11">
        <f>(Table1[[#This Row],[Living_Cost_Index]]/123.3)*1850</f>
        <v>978.2643957826441</v>
      </c>
      <c r="P385" s="11">
        <f>Table1[[#This Row],[Monthly_Estimated_Living_cost]]*12</f>
        <v>11739.17274939173</v>
      </c>
      <c r="Q385" s="13">
        <f>Table1[[#This Row],[Tuition_USD]]+Table1[[#This Row],[Rent_USD]]+Table1[[#This Row],[Insurance_USD]]+Table1[[#This Row],[Visa_Fee_USD]]+Table1[[#This Row],[Annual_Estimated_Living_cost]]</f>
        <v>51239.172749391728</v>
      </c>
    </row>
    <row r="386" spans="1:17" x14ac:dyDescent="0.25">
      <c r="A386" s="2" t="s">
        <v>25</v>
      </c>
      <c r="B386" s="1" t="s">
        <v>237</v>
      </c>
      <c r="C386" s="1" t="s">
        <v>238</v>
      </c>
      <c r="D386" s="1" t="s">
        <v>15</v>
      </c>
      <c r="E386" s="1" t="s">
        <v>1353</v>
      </c>
      <c r="F386" s="1">
        <v>4</v>
      </c>
      <c r="G386" s="1" t="str">
        <f>CONCATENATE(Table1[[#This Row],[Duration_Years]]," ","years")</f>
        <v>4 years</v>
      </c>
      <c r="H386" s="11">
        <v>27200</v>
      </c>
      <c r="I386" s="1">
        <v>65.2</v>
      </c>
      <c r="J386" s="11">
        <v>1200</v>
      </c>
      <c r="K386" s="11">
        <v>450</v>
      </c>
      <c r="L386" s="11">
        <v>650</v>
      </c>
      <c r="M386" s="22">
        <v>1.52</v>
      </c>
      <c r="N386" s="3" t="str">
        <f>IF(Table1[[#This Row],[Exchange_Rate]]&lt;5,"Strong Currency", IF(Table1[[#This Row],[Exchange_Rate]]&lt;=1000, "Medium Currency","Weak Currency"))</f>
        <v>Strong Currency</v>
      </c>
      <c r="O386" s="11">
        <f>(Table1[[#This Row],[Living_Cost_Index]]/123.3)*1850</f>
        <v>978.2643957826441</v>
      </c>
      <c r="P386" s="11">
        <f>Table1[[#This Row],[Monthly_Estimated_Living_cost]]*12</f>
        <v>11739.17274939173</v>
      </c>
      <c r="Q386" s="13">
        <f>Table1[[#This Row],[Tuition_USD]]+Table1[[#This Row],[Rent_USD]]+Table1[[#This Row],[Insurance_USD]]+Table1[[#This Row],[Visa_Fee_USD]]+Table1[[#This Row],[Annual_Estimated_Living_cost]]</f>
        <v>41239.172749391728</v>
      </c>
    </row>
    <row r="387" spans="1:17" x14ac:dyDescent="0.25">
      <c r="A387" s="2" t="s">
        <v>25</v>
      </c>
      <c r="B387" s="1" t="s">
        <v>242</v>
      </c>
      <c r="C387" s="1" t="s">
        <v>243</v>
      </c>
      <c r="D387" s="1" t="s">
        <v>15</v>
      </c>
      <c r="E387" s="1" t="s">
        <v>75</v>
      </c>
      <c r="F387" s="1">
        <v>3</v>
      </c>
      <c r="G387" s="1" t="str">
        <f>CONCATENATE(Table1[[#This Row],[Duration_Years]]," ","years")</f>
        <v>3 years</v>
      </c>
      <c r="H387" s="11">
        <v>33800</v>
      </c>
      <c r="I387" s="1">
        <v>63.8</v>
      </c>
      <c r="J387" s="11">
        <v>1100</v>
      </c>
      <c r="K387" s="11">
        <v>450</v>
      </c>
      <c r="L387" s="11">
        <v>650</v>
      </c>
      <c r="M387" s="22">
        <v>1.52</v>
      </c>
      <c r="N387" s="3" t="str">
        <f>IF(Table1[[#This Row],[Exchange_Rate]]&lt;5,"Strong Currency", IF(Table1[[#This Row],[Exchange_Rate]]&lt;=1000, "Medium Currency","Weak Currency"))</f>
        <v>Strong Currency</v>
      </c>
      <c r="O387" s="11">
        <f>(Table1[[#This Row],[Living_Cost_Index]]/123.3)*1850</f>
        <v>957.25871857258721</v>
      </c>
      <c r="P387" s="11">
        <f>Table1[[#This Row],[Monthly_Estimated_Living_cost]]*12</f>
        <v>11487.104622871047</v>
      </c>
      <c r="Q387" s="13">
        <f>Table1[[#This Row],[Tuition_USD]]+Table1[[#This Row],[Rent_USD]]+Table1[[#This Row],[Insurance_USD]]+Table1[[#This Row],[Visa_Fee_USD]]+Table1[[#This Row],[Annual_Estimated_Living_cost]]</f>
        <v>47487.104622871047</v>
      </c>
    </row>
    <row r="388" spans="1:17" x14ac:dyDescent="0.25">
      <c r="A388" s="2" t="s">
        <v>25</v>
      </c>
      <c r="B388" s="1" t="s">
        <v>242</v>
      </c>
      <c r="C388" s="1" t="s">
        <v>243</v>
      </c>
      <c r="D388" s="1" t="s">
        <v>15</v>
      </c>
      <c r="E388" s="1" t="s">
        <v>16</v>
      </c>
      <c r="F388" s="1">
        <v>2</v>
      </c>
      <c r="G388" s="1" t="str">
        <f>CONCATENATE(Table1[[#This Row],[Duration_Years]]," ","years")</f>
        <v>2 years</v>
      </c>
      <c r="H388" s="11">
        <v>36800</v>
      </c>
      <c r="I388" s="1">
        <v>63.8</v>
      </c>
      <c r="J388" s="11">
        <v>1100</v>
      </c>
      <c r="K388" s="11">
        <v>450</v>
      </c>
      <c r="L388" s="11">
        <v>650</v>
      </c>
      <c r="M388" s="22">
        <v>1.52</v>
      </c>
      <c r="N388" s="3" t="str">
        <f>IF(Table1[[#This Row],[Exchange_Rate]]&lt;5,"Strong Currency", IF(Table1[[#This Row],[Exchange_Rate]]&lt;=1000, "Medium Currency","Weak Currency"))</f>
        <v>Strong Currency</v>
      </c>
      <c r="O388" s="11">
        <f>(Table1[[#This Row],[Living_Cost_Index]]/123.3)*1850</f>
        <v>957.25871857258721</v>
      </c>
      <c r="P388" s="11">
        <f>Table1[[#This Row],[Monthly_Estimated_Living_cost]]*12</f>
        <v>11487.104622871047</v>
      </c>
      <c r="Q388" s="13">
        <f>Table1[[#This Row],[Tuition_USD]]+Table1[[#This Row],[Rent_USD]]+Table1[[#This Row],[Insurance_USD]]+Table1[[#This Row],[Visa_Fee_USD]]+Table1[[#This Row],[Annual_Estimated_Living_cost]]</f>
        <v>50487.104622871047</v>
      </c>
    </row>
    <row r="389" spans="1:17" x14ac:dyDescent="0.25">
      <c r="A389" s="2" t="s">
        <v>25</v>
      </c>
      <c r="B389" s="1" t="s">
        <v>242</v>
      </c>
      <c r="C389" s="1" t="s">
        <v>243</v>
      </c>
      <c r="D389" s="1" t="s">
        <v>15</v>
      </c>
      <c r="E389" s="1" t="s">
        <v>1353</v>
      </c>
      <c r="F389" s="1">
        <v>4</v>
      </c>
      <c r="G389" s="1" t="str">
        <f>CONCATENATE(Table1[[#This Row],[Duration_Years]]," ","years")</f>
        <v>4 years</v>
      </c>
      <c r="H389" s="11">
        <v>26800</v>
      </c>
      <c r="I389" s="1">
        <v>63.8</v>
      </c>
      <c r="J389" s="11">
        <v>1100</v>
      </c>
      <c r="K389" s="11">
        <v>450</v>
      </c>
      <c r="L389" s="11">
        <v>650</v>
      </c>
      <c r="M389" s="22">
        <v>1.52</v>
      </c>
      <c r="N389" s="3" t="str">
        <f>IF(Table1[[#This Row],[Exchange_Rate]]&lt;5,"Strong Currency", IF(Table1[[#This Row],[Exchange_Rate]]&lt;=1000, "Medium Currency","Weak Currency"))</f>
        <v>Strong Currency</v>
      </c>
      <c r="O389" s="11">
        <f>(Table1[[#This Row],[Living_Cost_Index]]/123.3)*1850</f>
        <v>957.25871857258721</v>
      </c>
      <c r="P389" s="11">
        <f>Table1[[#This Row],[Monthly_Estimated_Living_cost]]*12</f>
        <v>11487.104622871047</v>
      </c>
      <c r="Q389" s="13">
        <f>Table1[[#This Row],[Tuition_USD]]+Table1[[#This Row],[Rent_USD]]+Table1[[#This Row],[Insurance_USD]]+Table1[[#This Row],[Visa_Fee_USD]]+Table1[[#This Row],[Annual_Estimated_Living_cost]]</f>
        <v>40487.104622871047</v>
      </c>
    </row>
    <row r="390" spans="1:17" x14ac:dyDescent="0.25">
      <c r="A390" s="2" t="s">
        <v>25</v>
      </c>
      <c r="B390" s="1" t="s">
        <v>621</v>
      </c>
      <c r="C390" s="1" t="s">
        <v>622</v>
      </c>
      <c r="D390" s="1" t="s">
        <v>15</v>
      </c>
      <c r="E390" s="1" t="s">
        <v>75</v>
      </c>
      <c r="F390" s="1">
        <v>3</v>
      </c>
      <c r="G390" s="1" t="str">
        <f>CONCATENATE(Table1[[#This Row],[Duration_Years]]," ","years")</f>
        <v>3 years</v>
      </c>
      <c r="H390" s="11">
        <v>33200</v>
      </c>
      <c r="I390" s="1">
        <v>64.2</v>
      </c>
      <c r="J390" s="11">
        <v>1100</v>
      </c>
      <c r="K390" s="11">
        <v>450</v>
      </c>
      <c r="L390" s="11">
        <v>650</v>
      </c>
      <c r="M390" s="22">
        <v>1.52</v>
      </c>
      <c r="N390" s="3" t="str">
        <f>IF(Table1[[#This Row],[Exchange_Rate]]&lt;5,"Strong Currency", IF(Table1[[#This Row],[Exchange_Rate]]&lt;=1000, "Medium Currency","Weak Currency"))</f>
        <v>Strong Currency</v>
      </c>
      <c r="O390" s="11">
        <f>(Table1[[#This Row],[Living_Cost_Index]]/123.3)*1850</f>
        <v>963.26034063260352</v>
      </c>
      <c r="P390" s="11">
        <f>Table1[[#This Row],[Monthly_Estimated_Living_cost]]*12</f>
        <v>11559.124087591243</v>
      </c>
      <c r="Q390" s="13">
        <f>Table1[[#This Row],[Tuition_USD]]+Table1[[#This Row],[Rent_USD]]+Table1[[#This Row],[Insurance_USD]]+Table1[[#This Row],[Visa_Fee_USD]]+Table1[[#This Row],[Annual_Estimated_Living_cost]]</f>
        <v>46959.124087591241</v>
      </c>
    </row>
    <row r="391" spans="1:17" x14ac:dyDescent="0.25">
      <c r="A391" s="2" t="s">
        <v>25</v>
      </c>
      <c r="B391" s="1" t="s">
        <v>621</v>
      </c>
      <c r="C391" s="1" t="s">
        <v>622</v>
      </c>
      <c r="D391" s="1" t="s">
        <v>15</v>
      </c>
      <c r="E391" s="1" t="s">
        <v>16</v>
      </c>
      <c r="F391" s="1">
        <v>2</v>
      </c>
      <c r="G391" s="1" t="str">
        <f>CONCATENATE(Table1[[#This Row],[Duration_Years]]," ","years")</f>
        <v>2 years</v>
      </c>
      <c r="H391" s="11">
        <v>36200</v>
      </c>
      <c r="I391" s="1">
        <v>64.2</v>
      </c>
      <c r="J391" s="11">
        <v>1100</v>
      </c>
      <c r="K391" s="11">
        <v>450</v>
      </c>
      <c r="L391" s="11">
        <v>650</v>
      </c>
      <c r="M391" s="22">
        <v>1.52</v>
      </c>
      <c r="N391" s="3" t="str">
        <f>IF(Table1[[#This Row],[Exchange_Rate]]&lt;5,"Strong Currency", IF(Table1[[#This Row],[Exchange_Rate]]&lt;=1000, "Medium Currency","Weak Currency"))</f>
        <v>Strong Currency</v>
      </c>
      <c r="O391" s="11">
        <f>(Table1[[#This Row],[Living_Cost_Index]]/123.3)*1850</f>
        <v>963.26034063260352</v>
      </c>
      <c r="P391" s="11">
        <f>Table1[[#This Row],[Monthly_Estimated_Living_cost]]*12</f>
        <v>11559.124087591243</v>
      </c>
      <c r="Q391" s="13">
        <f>Table1[[#This Row],[Tuition_USD]]+Table1[[#This Row],[Rent_USD]]+Table1[[#This Row],[Insurance_USD]]+Table1[[#This Row],[Visa_Fee_USD]]+Table1[[#This Row],[Annual_Estimated_Living_cost]]</f>
        <v>49959.124087591241</v>
      </c>
    </row>
    <row r="392" spans="1:17" x14ac:dyDescent="0.25">
      <c r="A392" s="2" t="s">
        <v>25</v>
      </c>
      <c r="B392" s="1" t="s">
        <v>621</v>
      </c>
      <c r="C392" s="1" t="s">
        <v>622</v>
      </c>
      <c r="D392" s="1" t="s">
        <v>15</v>
      </c>
      <c r="E392" s="1" t="s">
        <v>1353</v>
      </c>
      <c r="F392" s="1">
        <v>4</v>
      </c>
      <c r="G392" s="1" t="str">
        <f>CONCATENATE(Table1[[#This Row],[Duration_Years]]," ","years")</f>
        <v>4 years</v>
      </c>
      <c r="H392" s="11">
        <v>26200</v>
      </c>
      <c r="I392" s="1">
        <v>64.2</v>
      </c>
      <c r="J392" s="11">
        <v>1100</v>
      </c>
      <c r="K392" s="11">
        <v>450</v>
      </c>
      <c r="L392" s="11">
        <v>650</v>
      </c>
      <c r="M392" s="22">
        <v>1.52</v>
      </c>
      <c r="N392" s="3" t="str">
        <f>IF(Table1[[#This Row],[Exchange_Rate]]&lt;5,"Strong Currency", IF(Table1[[#This Row],[Exchange_Rate]]&lt;=1000, "Medium Currency","Weak Currency"))</f>
        <v>Strong Currency</v>
      </c>
      <c r="O392" s="11">
        <f>(Table1[[#This Row],[Living_Cost_Index]]/123.3)*1850</f>
        <v>963.26034063260352</v>
      </c>
      <c r="P392" s="11">
        <f>Table1[[#This Row],[Monthly_Estimated_Living_cost]]*12</f>
        <v>11559.124087591243</v>
      </c>
      <c r="Q392" s="13">
        <f>Table1[[#This Row],[Tuition_USD]]+Table1[[#This Row],[Rent_USD]]+Table1[[#This Row],[Insurance_USD]]+Table1[[#This Row],[Visa_Fee_USD]]+Table1[[#This Row],[Annual_Estimated_Living_cost]]</f>
        <v>39959.124087591241</v>
      </c>
    </row>
    <row r="393" spans="1:17" x14ac:dyDescent="0.25">
      <c r="A393" s="2" t="s">
        <v>25</v>
      </c>
      <c r="B393" s="1" t="s">
        <v>623</v>
      </c>
      <c r="C393" s="1" t="s">
        <v>624</v>
      </c>
      <c r="D393" s="1" t="s">
        <v>15</v>
      </c>
      <c r="E393" s="1" t="s">
        <v>75</v>
      </c>
      <c r="F393" s="1">
        <v>3</v>
      </c>
      <c r="G393" s="1" t="str">
        <f>CONCATENATE(Table1[[#This Row],[Duration_Years]]," ","years")</f>
        <v>3 years</v>
      </c>
      <c r="H393" s="11">
        <v>32800</v>
      </c>
      <c r="I393" s="1">
        <v>63.5</v>
      </c>
      <c r="J393" s="11">
        <v>1000</v>
      </c>
      <c r="K393" s="11">
        <v>450</v>
      </c>
      <c r="L393" s="11">
        <v>650</v>
      </c>
      <c r="M393" s="22">
        <v>1.52</v>
      </c>
      <c r="N393" s="3" t="str">
        <f>IF(Table1[[#This Row],[Exchange_Rate]]&lt;5,"Strong Currency", IF(Table1[[#This Row],[Exchange_Rate]]&lt;=1000, "Medium Currency","Weak Currency"))</f>
        <v>Strong Currency</v>
      </c>
      <c r="O393" s="11">
        <f>(Table1[[#This Row],[Living_Cost_Index]]/123.3)*1850</f>
        <v>952.75750202757501</v>
      </c>
      <c r="P393" s="11">
        <f>Table1[[#This Row],[Monthly_Estimated_Living_cost]]*12</f>
        <v>11433.090024330901</v>
      </c>
      <c r="Q393" s="13">
        <f>Table1[[#This Row],[Tuition_USD]]+Table1[[#This Row],[Rent_USD]]+Table1[[#This Row],[Insurance_USD]]+Table1[[#This Row],[Visa_Fee_USD]]+Table1[[#This Row],[Annual_Estimated_Living_cost]]</f>
        <v>46333.090024330901</v>
      </c>
    </row>
    <row r="394" spans="1:17" x14ac:dyDescent="0.25">
      <c r="A394" s="2" t="s">
        <v>25</v>
      </c>
      <c r="B394" s="1" t="s">
        <v>623</v>
      </c>
      <c r="C394" s="1" t="s">
        <v>624</v>
      </c>
      <c r="D394" s="1" t="s">
        <v>15</v>
      </c>
      <c r="E394" s="1" t="s">
        <v>16</v>
      </c>
      <c r="F394" s="1">
        <v>2</v>
      </c>
      <c r="G394" s="1" t="str">
        <f>CONCATENATE(Table1[[#This Row],[Duration_Years]]," ","years")</f>
        <v>2 years</v>
      </c>
      <c r="H394" s="11">
        <v>35800</v>
      </c>
      <c r="I394" s="1">
        <v>63.5</v>
      </c>
      <c r="J394" s="11">
        <v>1000</v>
      </c>
      <c r="K394" s="11">
        <v>450</v>
      </c>
      <c r="L394" s="11">
        <v>650</v>
      </c>
      <c r="M394" s="22">
        <v>1.52</v>
      </c>
      <c r="N394" s="3" t="str">
        <f>IF(Table1[[#This Row],[Exchange_Rate]]&lt;5,"Strong Currency", IF(Table1[[#This Row],[Exchange_Rate]]&lt;=1000, "Medium Currency","Weak Currency"))</f>
        <v>Strong Currency</v>
      </c>
      <c r="O394" s="11">
        <f>(Table1[[#This Row],[Living_Cost_Index]]/123.3)*1850</f>
        <v>952.75750202757501</v>
      </c>
      <c r="P394" s="11">
        <f>Table1[[#This Row],[Monthly_Estimated_Living_cost]]*12</f>
        <v>11433.090024330901</v>
      </c>
      <c r="Q394" s="13">
        <f>Table1[[#This Row],[Tuition_USD]]+Table1[[#This Row],[Rent_USD]]+Table1[[#This Row],[Insurance_USD]]+Table1[[#This Row],[Visa_Fee_USD]]+Table1[[#This Row],[Annual_Estimated_Living_cost]]</f>
        <v>49333.090024330901</v>
      </c>
    </row>
    <row r="395" spans="1:17" x14ac:dyDescent="0.25">
      <c r="A395" s="2" t="s">
        <v>25</v>
      </c>
      <c r="B395" s="1" t="s">
        <v>623</v>
      </c>
      <c r="C395" s="1" t="s">
        <v>624</v>
      </c>
      <c r="D395" s="1" t="s">
        <v>15</v>
      </c>
      <c r="E395" s="1" t="s">
        <v>1353</v>
      </c>
      <c r="F395" s="1">
        <v>4</v>
      </c>
      <c r="G395" s="1" t="str">
        <f>CONCATENATE(Table1[[#This Row],[Duration_Years]]," ","years")</f>
        <v>4 years</v>
      </c>
      <c r="H395" s="11">
        <v>25800</v>
      </c>
      <c r="I395" s="1">
        <v>63.5</v>
      </c>
      <c r="J395" s="11">
        <v>1000</v>
      </c>
      <c r="K395" s="11">
        <v>450</v>
      </c>
      <c r="L395" s="11">
        <v>650</v>
      </c>
      <c r="M395" s="22">
        <v>1.52</v>
      </c>
      <c r="N395" s="3" t="str">
        <f>IF(Table1[[#This Row],[Exchange_Rate]]&lt;5,"Strong Currency", IF(Table1[[#This Row],[Exchange_Rate]]&lt;=1000, "Medium Currency","Weak Currency"))</f>
        <v>Strong Currency</v>
      </c>
      <c r="O395" s="11">
        <f>(Table1[[#This Row],[Living_Cost_Index]]/123.3)*1850</f>
        <v>952.75750202757501</v>
      </c>
      <c r="P395" s="11">
        <f>Table1[[#This Row],[Monthly_Estimated_Living_cost]]*12</f>
        <v>11433.090024330901</v>
      </c>
      <c r="Q395" s="13">
        <f>Table1[[#This Row],[Tuition_USD]]+Table1[[#This Row],[Rent_USD]]+Table1[[#This Row],[Insurance_USD]]+Table1[[#This Row],[Visa_Fee_USD]]+Table1[[#This Row],[Annual_Estimated_Living_cost]]</f>
        <v>39333.090024330901</v>
      </c>
    </row>
    <row r="396" spans="1:17" x14ac:dyDescent="0.25">
      <c r="A396" s="2" t="s">
        <v>25</v>
      </c>
      <c r="B396" s="1" t="s">
        <v>625</v>
      </c>
      <c r="C396" s="1" t="s">
        <v>626</v>
      </c>
      <c r="D396" s="1" t="s">
        <v>15</v>
      </c>
      <c r="E396" s="1" t="s">
        <v>75</v>
      </c>
      <c r="F396" s="1">
        <v>3</v>
      </c>
      <c r="G396" s="1" t="str">
        <f>CONCATENATE(Table1[[#This Row],[Duration_Years]]," ","years")</f>
        <v>3 years</v>
      </c>
      <c r="H396" s="11">
        <v>32200</v>
      </c>
      <c r="I396" s="1">
        <v>63.2</v>
      </c>
      <c r="J396" s="11">
        <v>1000</v>
      </c>
      <c r="K396" s="11">
        <v>450</v>
      </c>
      <c r="L396" s="11">
        <v>650</v>
      </c>
      <c r="M396" s="22">
        <v>1.52</v>
      </c>
      <c r="N396" s="3" t="str">
        <f>IF(Table1[[#This Row],[Exchange_Rate]]&lt;5,"Strong Currency", IF(Table1[[#This Row],[Exchange_Rate]]&lt;=1000, "Medium Currency","Weak Currency"))</f>
        <v>Strong Currency</v>
      </c>
      <c r="O396" s="11">
        <f>(Table1[[#This Row],[Living_Cost_Index]]/123.3)*1850</f>
        <v>948.25628548256282</v>
      </c>
      <c r="P396" s="11">
        <f>Table1[[#This Row],[Monthly_Estimated_Living_cost]]*12</f>
        <v>11379.075425790754</v>
      </c>
      <c r="Q396" s="13">
        <f>Table1[[#This Row],[Tuition_USD]]+Table1[[#This Row],[Rent_USD]]+Table1[[#This Row],[Insurance_USD]]+Table1[[#This Row],[Visa_Fee_USD]]+Table1[[#This Row],[Annual_Estimated_Living_cost]]</f>
        <v>45679.075425790754</v>
      </c>
    </row>
    <row r="397" spans="1:17" x14ac:dyDescent="0.25">
      <c r="A397" s="2" t="s">
        <v>25</v>
      </c>
      <c r="B397" s="1" t="s">
        <v>625</v>
      </c>
      <c r="C397" s="1" t="s">
        <v>626</v>
      </c>
      <c r="D397" s="1" t="s">
        <v>15</v>
      </c>
      <c r="E397" s="1" t="s">
        <v>16</v>
      </c>
      <c r="F397" s="1">
        <v>2</v>
      </c>
      <c r="G397" s="1" t="str">
        <f>CONCATENATE(Table1[[#This Row],[Duration_Years]]," ","years")</f>
        <v>2 years</v>
      </c>
      <c r="H397" s="11">
        <v>35200</v>
      </c>
      <c r="I397" s="1">
        <v>63.2</v>
      </c>
      <c r="J397" s="11">
        <v>1000</v>
      </c>
      <c r="K397" s="11">
        <v>450</v>
      </c>
      <c r="L397" s="11">
        <v>650</v>
      </c>
      <c r="M397" s="22">
        <v>1.52</v>
      </c>
      <c r="N397" s="3" t="str">
        <f>IF(Table1[[#This Row],[Exchange_Rate]]&lt;5,"Strong Currency", IF(Table1[[#This Row],[Exchange_Rate]]&lt;=1000, "Medium Currency","Weak Currency"))</f>
        <v>Strong Currency</v>
      </c>
      <c r="O397" s="11">
        <f>(Table1[[#This Row],[Living_Cost_Index]]/123.3)*1850</f>
        <v>948.25628548256282</v>
      </c>
      <c r="P397" s="11">
        <f>Table1[[#This Row],[Monthly_Estimated_Living_cost]]*12</f>
        <v>11379.075425790754</v>
      </c>
      <c r="Q397" s="13">
        <f>Table1[[#This Row],[Tuition_USD]]+Table1[[#This Row],[Rent_USD]]+Table1[[#This Row],[Insurance_USD]]+Table1[[#This Row],[Visa_Fee_USD]]+Table1[[#This Row],[Annual_Estimated_Living_cost]]</f>
        <v>48679.075425790754</v>
      </c>
    </row>
    <row r="398" spans="1:17" x14ac:dyDescent="0.25">
      <c r="A398" s="2" t="s">
        <v>25</v>
      </c>
      <c r="B398" s="1" t="s">
        <v>625</v>
      </c>
      <c r="C398" s="1" t="s">
        <v>626</v>
      </c>
      <c r="D398" s="1" t="s">
        <v>15</v>
      </c>
      <c r="E398" s="1" t="s">
        <v>1353</v>
      </c>
      <c r="F398" s="1">
        <v>4</v>
      </c>
      <c r="G398" s="1" t="str">
        <f>CONCATENATE(Table1[[#This Row],[Duration_Years]]," ","years")</f>
        <v>4 years</v>
      </c>
      <c r="H398" s="11">
        <v>25200</v>
      </c>
      <c r="I398" s="1">
        <v>63.2</v>
      </c>
      <c r="J398" s="11">
        <v>1000</v>
      </c>
      <c r="K398" s="11">
        <v>450</v>
      </c>
      <c r="L398" s="11">
        <v>650</v>
      </c>
      <c r="M398" s="22">
        <v>1.52</v>
      </c>
      <c r="N398" s="3" t="str">
        <f>IF(Table1[[#This Row],[Exchange_Rate]]&lt;5,"Strong Currency", IF(Table1[[#This Row],[Exchange_Rate]]&lt;=1000, "Medium Currency","Weak Currency"))</f>
        <v>Strong Currency</v>
      </c>
      <c r="O398" s="11">
        <f>(Table1[[#This Row],[Living_Cost_Index]]/123.3)*1850</f>
        <v>948.25628548256282</v>
      </c>
      <c r="P398" s="11">
        <f>Table1[[#This Row],[Monthly_Estimated_Living_cost]]*12</f>
        <v>11379.075425790754</v>
      </c>
      <c r="Q398" s="13">
        <f>Table1[[#This Row],[Tuition_USD]]+Table1[[#This Row],[Rent_USD]]+Table1[[#This Row],[Insurance_USD]]+Table1[[#This Row],[Visa_Fee_USD]]+Table1[[#This Row],[Annual_Estimated_Living_cost]]</f>
        <v>38679.075425790754</v>
      </c>
    </row>
    <row r="399" spans="1:17" x14ac:dyDescent="0.25">
      <c r="A399" s="2" t="s">
        <v>12</v>
      </c>
      <c r="B399" s="1" t="s">
        <v>122</v>
      </c>
      <c r="C399" s="1" t="s">
        <v>123</v>
      </c>
      <c r="D399" s="1" t="s">
        <v>15</v>
      </c>
      <c r="E399" s="1" t="s">
        <v>16</v>
      </c>
      <c r="F399" s="1">
        <v>2</v>
      </c>
      <c r="G399" s="1" t="str">
        <f>CONCATENATE(Table1[[#This Row],[Duration_Years]]," ","years")</f>
        <v>2 years</v>
      </c>
      <c r="H399" s="11">
        <v>58000</v>
      </c>
      <c r="I399" s="1">
        <v>82.1</v>
      </c>
      <c r="J399" s="11">
        <v>2100</v>
      </c>
      <c r="K399" s="11">
        <v>160</v>
      </c>
      <c r="L399" s="11">
        <v>1500</v>
      </c>
      <c r="M399" s="22">
        <v>1</v>
      </c>
      <c r="N399" s="3" t="str">
        <f>IF(Table1[[#This Row],[Exchange_Rate]]&lt;5,"Strong Currency", IF(Table1[[#This Row],[Exchange_Rate]]&lt;=1000, "Medium Currency","Weak Currency"))</f>
        <v>Strong Currency</v>
      </c>
      <c r="O399" s="11">
        <f>(Table1[[#This Row],[Living_Cost_Index]]/123.3)*1850</f>
        <v>1231.8329278183292</v>
      </c>
      <c r="P399" s="11">
        <f>Table1[[#This Row],[Monthly_Estimated_Living_cost]]*12</f>
        <v>14781.99513381995</v>
      </c>
      <c r="Q399" s="13">
        <f>Table1[[#This Row],[Tuition_USD]]+Table1[[#This Row],[Rent_USD]]+Table1[[#This Row],[Insurance_USD]]+Table1[[#This Row],[Visa_Fee_USD]]+Table1[[#This Row],[Annual_Estimated_Living_cost]]</f>
        <v>76541.995133819946</v>
      </c>
    </row>
    <row r="400" spans="1:17" x14ac:dyDescent="0.25">
      <c r="A400" s="2" t="s">
        <v>17</v>
      </c>
      <c r="B400" s="1" t="s">
        <v>18</v>
      </c>
      <c r="C400" s="1" t="s">
        <v>19</v>
      </c>
      <c r="D400" s="1" t="s">
        <v>20</v>
      </c>
      <c r="E400" s="1" t="s">
        <v>16</v>
      </c>
      <c r="F400" s="1">
        <v>1</v>
      </c>
      <c r="G400" s="1" t="str">
        <f>CONCATENATE(Table1[[#This Row],[Duration_Years]]," ","years")</f>
        <v>1 years</v>
      </c>
      <c r="H400" s="11">
        <v>42000</v>
      </c>
      <c r="I400" s="1">
        <v>75.3</v>
      </c>
      <c r="J400" s="11">
        <v>1800</v>
      </c>
      <c r="K400" s="11">
        <v>485</v>
      </c>
      <c r="L400" s="11">
        <v>800</v>
      </c>
      <c r="M400" s="22">
        <v>0.79</v>
      </c>
      <c r="N400" s="3" t="str">
        <f>IF(Table1[[#This Row],[Exchange_Rate]]&lt;5,"Strong Currency", IF(Table1[[#This Row],[Exchange_Rate]]&lt;=1000, "Medium Currency","Weak Currency"))</f>
        <v>Strong Currency</v>
      </c>
      <c r="O400" s="11">
        <f>(Table1[[#This Row],[Living_Cost_Index]]/123.3)*1850</f>
        <v>1129.8053527980535</v>
      </c>
      <c r="P400" s="11">
        <f>Table1[[#This Row],[Monthly_Estimated_Living_cost]]*12</f>
        <v>13557.664233576641</v>
      </c>
      <c r="Q400" s="13">
        <f>Table1[[#This Row],[Tuition_USD]]+Table1[[#This Row],[Rent_USD]]+Table1[[#This Row],[Insurance_USD]]+Table1[[#This Row],[Visa_Fee_USD]]+Table1[[#This Row],[Annual_Estimated_Living_cost]]</f>
        <v>58642.664233576637</v>
      </c>
    </row>
    <row r="401" spans="1:17" x14ac:dyDescent="0.25">
      <c r="A401" s="2" t="s">
        <v>29</v>
      </c>
      <c r="B401" s="1" t="s">
        <v>30</v>
      </c>
      <c r="C401" s="1" t="s">
        <v>627</v>
      </c>
      <c r="D401" s="1" t="s">
        <v>32</v>
      </c>
      <c r="E401" s="1" t="s">
        <v>16</v>
      </c>
      <c r="F401" s="1">
        <v>2</v>
      </c>
      <c r="G401" s="1" t="str">
        <f>CONCATENATE(Table1[[#This Row],[Duration_Years]]," ","years")</f>
        <v>2 years</v>
      </c>
      <c r="H401" s="11">
        <v>0</v>
      </c>
      <c r="I401" s="1">
        <v>71.5</v>
      </c>
      <c r="J401" s="11">
        <v>1200</v>
      </c>
      <c r="K401" s="11">
        <v>110</v>
      </c>
      <c r="L401" s="11">
        <v>900</v>
      </c>
      <c r="M401" s="22">
        <v>0.92</v>
      </c>
      <c r="N401" s="3" t="str">
        <f>IF(Table1[[#This Row],[Exchange_Rate]]&lt;5,"Strong Currency", IF(Table1[[#This Row],[Exchange_Rate]]&lt;=1000, "Medium Currency","Weak Currency"))</f>
        <v>Strong Currency</v>
      </c>
      <c r="O401" s="11">
        <f>(Table1[[#This Row],[Living_Cost_Index]]/123.3)*1850</f>
        <v>1072.7899432278994</v>
      </c>
      <c r="P401" s="11">
        <f>Table1[[#This Row],[Monthly_Estimated_Living_cost]]*12</f>
        <v>12873.479318734793</v>
      </c>
      <c r="Q401" s="13">
        <f>Table1[[#This Row],[Tuition_USD]]+Table1[[#This Row],[Rent_USD]]+Table1[[#This Row],[Insurance_USD]]+Table1[[#This Row],[Visa_Fee_USD]]+Table1[[#This Row],[Annual_Estimated_Living_cost]]</f>
        <v>15083.479318734793</v>
      </c>
    </row>
    <row r="402" spans="1:17" x14ac:dyDescent="0.25">
      <c r="A402" s="2" t="s">
        <v>21</v>
      </c>
      <c r="B402" s="1" t="s">
        <v>22</v>
      </c>
      <c r="C402" s="1" t="s">
        <v>23</v>
      </c>
      <c r="D402" s="1" t="s">
        <v>24</v>
      </c>
      <c r="E402" s="1" t="s">
        <v>16</v>
      </c>
      <c r="F402" s="1">
        <v>2</v>
      </c>
      <c r="G402" s="1" t="str">
        <f>CONCATENATE(Table1[[#This Row],[Duration_Years]]," ","years")</f>
        <v>2 years</v>
      </c>
      <c r="H402" s="11">
        <v>45000</v>
      </c>
      <c r="I402" s="1">
        <v>73.8</v>
      </c>
      <c r="J402" s="11">
        <v>1700</v>
      </c>
      <c r="K402" s="11">
        <v>235</v>
      </c>
      <c r="L402" s="11">
        <v>750</v>
      </c>
      <c r="M402" s="22">
        <v>1.35</v>
      </c>
      <c r="N402" s="3" t="str">
        <f>IF(Table1[[#This Row],[Exchange_Rate]]&lt;5,"Strong Currency", IF(Table1[[#This Row],[Exchange_Rate]]&lt;=1000, "Medium Currency","Weak Currency"))</f>
        <v>Strong Currency</v>
      </c>
      <c r="O402" s="11">
        <f>(Table1[[#This Row],[Living_Cost_Index]]/123.3)*1850</f>
        <v>1107.2992700729928</v>
      </c>
      <c r="P402" s="11">
        <f>Table1[[#This Row],[Monthly_Estimated_Living_cost]]*12</f>
        <v>13287.591240875914</v>
      </c>
      <c r="Q402" s="13">
        <f>Table1[[#This Row],[Tuition_USD]]+Table1[[#This Row],[Rent_USD]]+Table1[[#This Row],[Insurance_USD]]+Table1[[#This Row],[Visa_Fee_USD]]+Table1[[#This Row],[Annual_Estimated_Living_cost]]</f>
        <v>60972.591240875918</v>
      </c>
    </row>
    <row r="403" spans="1:17" x14ac:dyDescent="0.25">
      <c r="A403" s="2" t="s">
        <v>25</v>
      </c>
      <c r="B403" s="1" t="s">
        <v>26</v>
      </c>
      <c r="C403" s="1" t="s">
        <v>27</v>
      </c>
      <c r="D403" s="1" t="s">
        <v>40</v>
      </c>
      <c r="E403" s="1" t="s">
        <v>1353</v>
      </c>
      <c r="F403" s="1">
        <v>4</v>
      </c>
      <c r="G403" s="1" t="str">
        <f>CONCATENATE(Table1[[#This Row],[Duration_Years]]," ","years")</f>
        <v>4 years</v>
      </c>
      <c r="H403" s="11">
        <v>29000</v>
      </c>
      <c r="I403" s="1">
        <v>72.400000000000006</v>
      </c>
      <c r="J403" s="11">
        <v>1500</v>
      </c>
      <c r="K403" s="11">
        <v>450</v>
      </c>
      <c r="L403" s="11">
        <v>650</v>
      </c>
      <c r="M403" s="22">
        <v>1.52</v>
      </c>
      <c r="N403" s="3" t="str">
        <f>IF(Table1[[#This Row],[Exchange_Rate]]&lt;5,"Strong Currency", IF(Table1[[#This Row],[Exchange_Rate]]&lt;=1000, "Medium Currency","Weak Currency"))</f>
        <v>Strong Currency</v>
      </c>
      <c r="O403" s="11">
        <f>(Table1[[#This Row],[Living_Cost_Index]]/123.3)*1850</f>
        <v>1086.2935928629361</v>
      </c>
      <c r="P403" s="11">
        <f>Table1[[#This Row],[Monthly_Estimated_Living_cost]]*12</f>
        <v>13035.523114355234</v>
      </c>
      <c r="Q403" s="13">
        <f>Table1[[#This Row],[Tuition_USD]]+Table1[[#This Row],[Rent_USD]]+Table1[[#This Row],[Insurance_USD]]+Table1[[#This Row],[Visa_Fee_USD]]+Table1[[#This Row],[Annual_Estimated_Living_cost]]</f>
        <v>44635.523114355237</v>
      </c>
    </row>
    <row r="404" spans="1:17" x14ac:dyDescent="0.25">
      <c r="A404" s="2" t="s">
        <v>12</v>
      </c>
      <c r="B404" s="1" t="s">
        <v>120</v>
      </c>
      <c r="C404" s="1" t="s">
        <v>121</v>
      </c>
      <c r="D404" s="1" t="s">
        <v>51</v>
      </c>
      <c r="E404" s="1" t="s">
        <v>1353</v>
      </c>
      <c r="F404" s="1">
        <v>5</v>
      </c>
      <c r="G404" s="1" t="str">
        <f>CONCATENATE(Table1[[#This Row],[Duration_Years]]," ","years")</f>
        <v>5 years</v>
      </c>
      <c r="H404" s="11">
        <v>52000</v>
      </c>
      <c r="I404" s="1">
        <v>84.3</v>
      </c>
      <c r="J404" s="11">
        <v>2300</v>
      </c>
      <c r="K404" s="11">
        <v>160</v>
      </c>
      <c r="L404" s="11">
        <v>1500</v>
      </c>
      <c r="M404" s="22">
        <v>1</v>
      </c>
      <c r="N404" s="3" t="str">
        <f>IF(Table1[[#This Row],[Exchange_Rate]]&lt;5,"Strong Currency", IF(Table1[[#This Row],[Exchange_Rate]]&lt;=1000, "Medium Currency","Weak Currency"))</f>
        <v>Strong Currency</v>
      </c>
      <c r="O404" s="11">
        <f>(Table1[[#This Row],[Living_Cost_Index]]/123.3)*1850</f>
        <v>1264.8418491484183</v>
      </c>
      <c r="P404" s="11">
        <f>Table1[[#This Row],[Monthly_Estimated_Living_cost]]*12</f>
        <v>15178.102189781021</v>
      </c>
      <c r="Q404" s="13">
        <f>Table1[[#This Row],[Tuition_USD]]+Table1[[#This Row],[Rent_USD]]+Table1[[#This Row],[Insurance_USD]]+Table1[[#This Row],[Visa_Fee_USD]]+Table1[[#This Row],[Annual_Estimated_Living_cost]]</f>
        <v>71138.102189781028</v>
      </c>
    </row>
    <row r="405" spans="1:17" x14ac:dyDescent="0.25">
      <c r="A405" s="2" t="s">
        <v>17</v>
      </c>
      <c r="B405" s="1" t="s">
        <v>529</v>
      </c>
      <c r="C405" s="1" t="s">
        <v>530</v>
      </c>
      <c r="D405" s="1" t="s">
        <v>628</v>
      </c>
      <c r="E405" s="1" t="s">
        <v>16</v>
      </c>
      <c r="F405" s="1">
        <v>2</v>
      </c>
      <c r="G405" s="1" t="str">
        <f>CONCATENATE(Table1[[#This Row],[Duration_Years]]," ","years")</f>
        <v>2 years</v>
      </c>
      <c r="H405" s="11">
        <v>38000</v>
      </c>
      <c r="I405" s="1">
        <v>67.8</v>
      </c>
      <c r="J405" s="11">
        <v>1100</v>
      </c>
      <c r="K405" s="11">
        <v>485</v>
      </c>
      <c r="L405" s="11">
        <v>800</v>
      </c>
      <c r="M405" s="22">
        <v>0.79</v>
      </c>
      <c r="N405" s="3" t="str">
        <f>IF(Table1[[#This Row],[Exchange_Rate]]&lt;5,"Strong Currency", IF(Table1[[#This Row],[Exchange_Rate]]&lt;=1000, "Medium Currency","Weak Currency"))</f>
        <v>Strong Currency</v>
      </c>
      <c r="O405" s="11">
        <f>(Table1[[#This Row],[Living_Cost_Index]]/123.3)*1850</f>
        <v>1017.2749391727493</v>
      </c>
      <c r="P405" s="11">
        <f>Table1[[#This Row],[Monthly_Estimated_Living_cost]]*12</f>
        <v>12207.299270072992</v>
      </c>
      <c r="Q405" s="13">
        <f>Table1[[#This Row],[Tuition_USD]]+Table1[[#This Row],[Rent_USD]]+Table1[[#This Row],[Insurance_USD]]+Table1[[#This Row],[Visa_Fee_USD]]+Table1[[#This Row],[Annual_Estimated_Living_cost]]</f>
        <v>52592.299270072996</v>
      </c>
    </row>
    <row r="406" spans="1:17" x14ac:dyDescent="0.25">
      <c r="A406" s="2" t="s">
        <v>29</v>
      </c>
      <c r="B406" s="1" t="s">
        <v>180</v>
      </c>
      <c r="C406" s="1" t="s">
        <v>629</v>
      </c>
      <c r="D406" s="1" t="s">
        <v>15</v>
      </c>
      <c r="E406" s="1" t="s">
        <v>75</v>
      </c>
      <c r="F406" s="1">
        <v>3</v>
      </c>
      <c r="G406" s="1" t="str">
        <f>CONCATENATE(Table1[[#This Row],[Duration_Years]]," ","years")</f>
        <v>3 years</v>
      </c>
      <c r="H406" s="11">
        <v>0</v>
      </c>
      <c r="I406" s="1">
        <v>68.900000000000006</v>
      </c>
      <c r="J406" s="11">
        <v>950</v>
      </c>
      <c r="K406" s="11">
        <v>110</v>
      </c>
      <c r="L406" s="11">
        <v>900</v>
      </c>
      <c r="M406" s="22">
        <v>0.92</v>
      </c>
      <c r="N406" s="3" t="str">
        <f>IF(Table1[[#This Row],[Exchange_Rate]]&lt;5,"Strong Currency", IF(Table1[[#This Row],[Exchange_Rate]]&lt;=1000, "Medium Currency","Weak Currency"))</f>
        <v>Strong Currency</v>
      </c>
      <c r="O406" s="11">
        <f>(Table1[[#This Row],[Living_Cost_Index]]/123.3)*1850</f>
        <v>1033.779399837794</v>
      </c>
      <c r="P406" s="11">
        <f>Table1[[#This Row],[Monthly_Estimated_Living_cost]]*12</f>
        <v>12405.352798053529</v>
      </c>
      <c r="Q406" s="13">
        <f>Table1[[#This Row],[Tuition_USD]]+Table1[[#This Row],[Rent_USD]]+Table1[[#This Row],[Insurance_USD]]+Table1[[#This Row],[Visa_Fee_USD]]+Table1[[#This Row],[Annual_Estimated_Living_cost]]</f>
        <v>14365.352798053529</v>
      </c>
    </row>
    <row r="407" spans="1:17" x14ac:dyDescent="0.25">
      <c r="A407" s="2" t="s">
        <v>21</v>
      </c>
      <c r="B407" s="1" t="s">
        <v>175</v>
      </c>
      <c r="C407" s="1" t="s">
        <v>176</v>
      </c>
      <c r="D407" s="1" t="s">
        <v>198</v>
      </c>
      <c r="E407" s="1" t="s">
        <v>16</v>
      </c>
      <c r="F407" s="1">
        <v>2</v>
      </c>
      <c r="G407" s="1" t="str">
        <f>CONCATENATE(Table1[[#This Row],[Duration_Years]]," ","years")</f>
        <v>2 years</v>
      </c>
      <c r="H407" s="11">
        <v>42000</v>
      </c>
      <c r="I407" s="1">
        <v>71.2</v>
      </c>
      <c r="J407" s="11">
        <v>1600</v>
      </c>
      <c r="K407" s="11">
        <v>235</v>
      </c>
      <c r="L407" s="11">
        <v>750</v>
      </c>
      <c r="M407" s="22">
        <v>1.35</v>
      </c>
      <c r="N407" s="3" t="str">
        <f>IF(Table1[[#This Row],[Exchange_Rate]]&lt;5,"Strong Currency", IF(Table1[[#This Row],[Exchange_Rate]]&lt;=1000, "Medium Currency","Weak Currency"))</f>
        <v>Strong Currency</v>
      </c>
      <c r="O407" s="11">
        <f>(Table1[[#This Row],[Living_Cost_Index]]/123.3)*1850</f>
        <v>1068.2887266828873</v>
      </c>
      <c r="P407" s="11">
        <f>Table1[[#This Row],[Monthly_Estimated_Living_cost]]*12</f>
        <v>12819.464720194646</v>
      </c>
      <c r="Q407" s="13">
        <f>Table1[[#This Row],[Tuition_USD]]+Table1[[#This Row],[Rent_USD]]+Table1[[#This Row],[Insurance_USD]]+Table1[[#This Row],[Visa_Fee_USD]]+Table1[[#This Row],[Annual_Estimated_Living_cost]]</f>
        <v>57404.46472019465</v>
      </c>
    </row>
    <row r="408" spans="1:17" x14ac:dyDescent="0.25">
      <c r="A408" s="2" t="s">
        <v>25</v>
      </c>
      <c r="B408" s="1" t="s">
        <v>178</v>
      </c>
      <c r="C408" s="1" t="s">
        <v>179</v>
      </c>
      <c r="D408" s="1" t="s">
        <v>630</v>
      </c>
      <c r="E408" s="1" t="s">
        <v>1353</v>
      </c>
      <c r="F408" s="1">
        <v>4</v>
      </c>
      <c r="G408" s="1" t="str">
        <f>CONCATENATE(Table1[[#This Row],[Duration_Years]]," ","years")</f>
        <v>4 years</v>
      </c>
      <c r="H408" s="11">
        <v>31000</v>
      </c>
      <c r="I408" s="1">
        <v>75.599999999999994</v>
      </c>
      <c r="J408" s="11">
        <v>1700</v>
      </c>
      <c r="K408" s="11">
        <v>450</v>
      </c>
      <c r="L408" s="11">
        <v>650</v>
      </c>
      <c r="M408" s="22">
        <v>1.52</v>
      </c>
      <c r="N408" s="3" t="str">
        <f>IF(Table1[[#This Row],[Exchange_Rate]]&lt;5,"Strong Currency", IF(Table1[[#This Row],[Exchange_Rate]]&lt;=1000, "Medium Currency","Weak Currency"))</f>
        <v>Strong Currency</v>
      </c>
      <c r="O408" s="11">
        <f>(Table1[[#This Row],[Living_Cost_Index]]/123.3)*1850</f>
        <v>1134.3065693430656</v>
      </c>
      <c r="P408" s="11">
        <f>Table1[[#This Row],[Monthly_Estimated_Living_cost]]*12</f>
        <v>13611.678832116788</v>
      </c>
      <c r="Q408" s="13">
        <f>Table1[[#This Row],[Tuition_USD]]+Table1[[#This Row],[Rent_USD]]+Table1[[#This Row],[Insurance_USD]]+Table1[[#This Row],[Visa_Fee_USD]]+Table1[[#This Row],[Annual_Estimated_Living_cost]]</f>
        <v>47411.678832116784</v>
      </c>
    </row>
    <row r="409" spans="1:17" x14ac:dyDescent="0.25">
      <c r="A409" s="2" t="s">
        <v>12</v>
      </c>
      <c r="B409" s="1" t="s">
        <v>170</v>
      </c>
      <c r="C409" s="1" t="s">
        <v>171</v>
      </c>
      <c r="D409" s="1" t="s">
        <v>99</v>
      </c>
      <c r="E409" s="1" t="s">
        <v>16</v>
      </c>
      <c r="F409" s="1">
        <v>2</v>
      </c>
      <c r="G409" s="1" t="str">
        <f>CONCATENATE(Table1[[#This Row],[Duration_Years]]," ","years")</f>
        <v>2 years</v>
      </c>
      <c r="H409" s="11">
        <v>54000</v>
      </c>
      <c r="I409" s="1">
        <v>83.2</v>
      </c>
      <c r="J409" s="11">
        <v>2000</v>
      </c>
      <c r="K409" s="11">
        <v>160</v>
      </c>
      <c r="L409" s="11">
        <v>1500</v>
      </c>
      <c r="M409" s="22">
        <v>1</v>
      </c>
      <c r="N409" s="3" t="str">
        <f>IF(Table1[[#This Row],[Exchange_Rate]]&lt;5,"Strong Currency", IF(Table1[[#This Row],[Exchange_Rate]]&lt;=1000, "Medium Currency","Weak Currency"))</f>
        <v>Strong Currency</v>
      </c>
      <c r="O409" s="11">
        <f>(Table1[[#This Row],[Living_Cost_Index]]/123.3)*1850</f>
        <v>1248.3373884833738</v>
      </c>
      <c r="P409" s="11">
        <f>Table1[[#This Row],[Monthly_Estimated_Living_cost]]*12</f>
        <v>14980.048661800487</v>
      </c>
      <c r="Q409" s="13">
        <f>Table1[[#This Row],[Tuition_USD]]+Table1[[#This Row],[Rent_USD]]+Table1[[#This Row],[Insurance_USD]]+Table1[[#This Row],[Visa_Fee_USD]]+Table1[[#This Row],[Annual_Estimated_Living_cost]]</f>
        <v>72640.04866180048</v>
      </c>
    </row>
    <row r="410" spans="1:17" x14ac:dyDescent="0.25">
      <c r="A410" s="2" t="s">
        <v>17</v>
      </c>
      <c r="B410" s="1" t="s">
        <v>172</v>
      </c>
      <c r="C410" s="1" t="s">
        <v>173</v>
      </c>
      <c r="D410" s="1" t="s">
        <v>28</v>
      </c>
      <c r="E410" s="1" t="s">
        <v>75</v>
      </c>
      <c r="F410" s="1">
        <v>3</v>
      </c>
      <c r="G410" s="1" t="str">
        <f>CONCATENATE(Table1[[#This Row],[Duration_Years]]," ","years")</f>
        <v>3 years</v>
      </c>
      <c r="H410" s="11">
        <v>35000</v>
      </c>
      <c r="I410" s="1">
        <v>65.400000000000006</v>
      </c>
      <c r="J410" s="11">
        <v>900</v>
      </c>
      <c r="K410" s="11">
        <v>485</v>
      </c>
      <c r="L410" s="11">
        <v>800</v>
      </c>
      <c r="M410" s="22">
        <v>0.79</v>
      </c>
      <c r="N410" s="3" t="str">
        <f>IF(Table1[[#This Row],[Exchange_Rate]]&lt;5,"Strong Currency", IF(Table1[[#This Row],[Exchange_Rate]]&lt;=1000, "Medium Currency","Weak Currency"))</f>
        <v>Strong Currency</v>
      </c>
      <c r="O410" s="11">
        <f>(Table1[[#This Row],[Living_Cost_Index]]/123.3)*1850</f>
        <v>981.26520681265208</v>
      </c>
      <c r="P410" s="11">
        <f>Table1[[#This Row],[Monthly_Estimated_Living_cost]]*12</f>
        <v>11775.182481751825</v>
      </c>
      <c r="Q410" s="13">
        <f>Table1[[#This Row],[Tuition_USD]]+Table1[[#This Row],[Rent_USD]]+Table1[[#This Row],[Insurance_USD]]+Table1[[#This Row],[Visa_Fee_USD]]+Table1[[#This Row],[Annual_Estimated_Living_cost]]</f>
        <v>48960.182481751821</v>
      </c>
    </row>
    <row r="411" spans="1:17" x14ac:dyDescent="0.25">
      <c r="A411" s="2" t="s">
        <v>29</v>
      </c>
      <c r="B411" s="1" t="s">
        <v>249</v>
      </c>
      <c r="C411" s="1" t="s">
        <v>631</v>
      </c>
      <c r="D411" s="1" t="s">
        <v>51</v>
      </c>
      <c r="E411" s="1" t="s">
        <v>16</v>
      </c>
      <c r="F411" s="1">
        <v>2</v>
      </c>
      <c r="G411" s="1" t="str">
        <f>CONCATENATE(Table1[[#This Row],[Duration_Years]]," ","years")</f>
        <v>2 years</v>
      </c>
      <c r="H411" s="11">
        <v>0</v>
      </c>
      <c r="I411" s="1">
        <v>69.8</v>
      </c>
      <c r="J411" s="11">
        <v>1100</v>
      </c>
      <c r="K411" s="11">
        <v>110</v>
      </c>
      <c r="L411" s="11">
        <v>900</v>
      </c>
      <c r="M411" s="22">
        <v>0.92</v>
      </c>
      <c r="N411" s="3" t="str">
        <f>IF(Table1[[#This Row],[Exchange_Rate]]&lt;5,"Strong Currency", IF(Table1[[#This Row],[Exchange_Rate]]&lt;=1000, "Medium Currency","Weak Currency"))</f>
        <v>Strong Currency</v>
      </c>
      <c r="O411" s="11">
        <f>(Table1[[#This Row],[Living_Cost_Index]]/123.3)*1850</f>
        <v>1047.2830494728303</v>
      </c>
      <c r="P411" s="11">
        <f>Table1[[#This Row],[Monthly_Estimated_Living_cost]]*12</f>
        <v>12567.396593673962</v>
      </c>
      <c r="Q411" s="13">
        <f>Table1[[#This Row],[Tuition_USD]]+Table1[[#This Row],[Rent_USD]]+Table1[[#This Row],[Insurance_USD]]+Table1[[#This Row],[Visa_Fee_USD]]+Table1[[#This Row],[Annual_Estimated_Living_cost]]</f>
        <v>14677.396593673962</v>
      </c>
    </row>
    <row r="412" spans="1:17" x14ac:dyDescent="0.25">
      <c r="A412" s="2" t="s">
        <v>21</v>
      </c>
      <c r="B412" s="1" t="s">
        <v>596</v>
      </c>
      <c r="C412" s="1" t="s">
        <v>597</v>
      </c>
      <c r="D412" s="1" t="s">
        <v>15</v>
      </c>
      <c r="E412" s="1" t="s">
        <v>1353</v>
      </c>
      <c r="F412" s="1">
        <v>4</v>
      </c>
      <c r="G412" s="1" t="str">
        <f>CONCATENATE(Table1[[#This Row],[Duration_Years]]," ","years")</f>
        <v>4 years</v>
      </c>
      <c r="H412" s="11">
        <v>38000</v>
      </c>
      <c r="I412" s="1">
        <v>68.900000000000006</v>
      </c>
      <c r="J412" s="11">
        <v>1400</v>
      </c>
      <c r="K412" s="11">
        <v>235</v>
      </c>
      <c r="L412" s="11">
        <v>750</v>
      </c>
      <c r="M412" s="22">
        <v>1.35</v>
      </c>
      <c r="N412" s="3" t="str">
        <f>IF(Table1[[#This Row],[Exchange_Rate]]&lt;5,"Strong Currency", IF(Table1[[#This Row],[Exchange_Rate]]&lt;=1000, "Medium Currency","Weak Currency"))</f>
        <v>Strong Currency</v>
      </c>
      <c r="O412" s="11">
        <f>(Table1[[#This Row],[Living_Cost_Index]]/123.3)*1850</f>
        <v>1033.779399837794</v>
      </c>
      <c r="P412" s="11">
        <f>Table1[[#This Row],[Monthly_Estimated_Living_cost]]*12</f>
        <v>12405.352798053529</v>
      </c>
      <c r="Q412" s="13">
        <f>Table1[[#This Row],[Tuition_USD]]+Table1[[#This Row],[Rent_USD]]+Table1[[#This Row],[Insurance_USD]]+Table1[[#This Row],[Visa_Fee_USD]]+Table1[[#This Row],[Annual_Estimated_Living_cost]]</f>
        <v>52790.352798053529</v>
      </c>
    </row>
    <row r="413" spans="1:17" x14ac:dyDescent="0.25">
      <c r="A413" s="2" t="s">
        <v>25</v>
      </c>
      <c r="B413" s="1" t="s">
        <v>613</v>
      </c>
      <c r="C413" s="1" t="s">
        <v>614</v>
      </c>
      <c r="D413" s="1" t="s">
        <v>20</v>
      </c>
      <c r="E413" s="1" t="s">
        <v>16</v>
      </c>
      <c r="F413" s="1">
        <v>2</v>
      </c>
      <c r="G413" s="1" t="str">
        <f>CONCATENATE(Table1[[#This Row],[Duration_Years]]," ","years")</f>
        <v>2 years</v>
      </c>
      <c r="H413" s="11">
        <v>32000</v>
      </c>
      <c r="I413" s="1">
        <v>68.7</v>
      </c>
      <c r="J413" s="11">
        <v>1200</v>
      </c>
      <c r="K413" s="11">
        <v>450</v>
      </c>
      <c r="L413" s="11">
        <v>650</v>
      </c>
      <c r="M413" s="22">
        <v>1.52</v>
      </c>
      <c r="N413" s="3" t="str">
        <f>IF(Table1[[#This Row],[Exchange_Rate]]&lt;5,"Strong Currency", IF(Table1[[#This Row],[Exchange_Rate]]&lt;=1000, "Medium Currency","Weak Currency"))</f>
        <v>Strong Currency</v>
      </c>
      <c r="O413" s="11">
        <f>(Table1[[#This Row],[Living_Cost_Index]]/123.3)*1850</f>
        <v>1030.7785888077858</v>
      </c>
      <c r="P413" s="11">
        <f>Table1[[#This Row],[Monthly_Estimated_Living_cost]]*12</f>
        <v>12369.343065693429</v>
      </c>
      <c r="Q413" s="13">
        <f>Table1[[#This Row],[Tuition_USD]]+Table1[[#This Row],[Rent_USD]]+Table1[[#This Row],[Insurance_USD]]+Table1[[#This Row],[Visa_Fee_USD]]+Table1[[#This Row],[Annual_Estimated_Living_cost]]</f>
        <v>46669.343065693429</v>
      </c>
    </row>
    <row r="414" spans="1:17" x14ac:dyDescent="0.25">
      <c r="A414" s="2" t="s">
        <v>12</v>
      </c>
      <c r="B414" s="1" t="s">
        <v>357</v>
      </c>
      <c r="C414" s="1" t="s">
        <v>358</v>
      </c>
      <c r="D414" s="1" t="s">
        <v>174</v>
      </c>
      <c r="E414" s="1" t="s">
        <v>16</v>
      </c>
      <c r="F414" s="1">
        <v>2</v>
      </c>
      <c r="G414" s="1" t="str">
        <f>CONCATENATE(Table1[[#This Row],[Duration_Years]]," ","years")</f>
        <v>2 years</v>
      </c>
      <c r="H414" s="11">
        <v>62000</v>
      </c>
      <c r="I414" s="1">
        <v>100</v>
      </c>
      <c r="J414" s="11">
        <v>2500</v>
      </c>
      <c r="K414" s="11">
        <v>160</v>
      </c>
      <c r="L414" s="11">
        <v>1500</v>
      </c>
      <c r="M414" s="22">
        <v>1</v>
      </c>
      <c r="N414" s="3" t="str">
        <f>IF(Table1[[#This Row],[Exchange_Rate]]&lt;5,"Strong Currency", IF(Table1[[#This Row],[Exchange_Rate]]&lt;=1000, "Medium Currency","Weak Currency"))</f>
        <v>Strong Currency</v>
      </c>
      <c r="O414" s="11">
        <f>(Table1[[#This Row],[Living_Cost_Index]]/123.3)*1850</f>
        <v>1500.4055150040551</v>
      </c>
      <c r="P414" s="11">
        <f>Table1[[#This Row],[Monthly_Estimated_Living_cost]]*12</f>
        <v>18004.866180048662</v>
      </c>
      <c r="Q414" s="13">
        <f>Table1[[#This Row],[Tuition_USD]]+Table1[[#This Row],[Rent_USD]]+Table1[[#This Row],[Insurance_USD]]+Table1[[#This Row],[Visa_Fee_USD]]+Table1[[#This Row],[Annual_Estimated_Living_cost]]</f>
        <v>84164.866180048659</v>
      </c>
    </row>
    <row r="415" spans="1:17" x14ac:dyDescent="0.25">
      <c r="A415" s="2" t="s">
        <v>17</v>
      </c>
      <c r="B415" s="1" t="s">
        <v>125</v>
      </c>
      <c r="C415" s="1" t="s">
        <v>126</v>
      </c>
      <c r="D415" s="1" t="s">
        <v>15</v>
      </c>
      <c r="E415" s="1" t="s">
        <v>1353</v>
      </c>
      <c r="F415" s="1">
        <v>4</v>
      </c>
      <c r="G415" s="1" t="str">
        <f>CONCATENATE(Table1[[#This Row],[Duration_Years]]," ","years")</f>
        <v>4 years</v>
      </c>
      <c r="H415" s="11">
        <v>40000</v>
      </c>
      <c r="I415" s="1">
        <v>71.5</v>
      </c>
      <c r="J415" s="11">
        <v>1400</v>
      </c>
      <c r="K415" s="11">
        <v>485</v>
      </c>
      <c r="L415" s="11">
        <v>800</v>
      </c>
      <c r="M415" s="22">
        <v>0.79</v>
      </c>
      <c r="N415" s="3" t="str">
        <f>IF(Table1[[#This Row],[Exchange_Rate]]&lt;5,"Strong Currency", IF(Table1[[#This Row],[Exchange_Rate]]&lt;=1000, "Medium Currency","Weak Currency"))</f>
        <v>Strong Currency</v>
      </c>
      <c r="O415" s="11">
        <f>(Table1[[#This Row],[Living_Cost_Index]]/123.3)*1850</f>
        <v>1072.7899432278994</v>
      </c>
      <c r="P415" s="11">
        <f>Table1[[#This Row],[Monthly_Estimated_Living_cost]]*12</f>
        <v>12873.479318734793</v>
      </c>
      <c r="Q415" s="13">
        <f>Table1[[#This Row],[Tuition_USD]]+Table1[[#This Row],[Rent_USD]]+Table1[[#This Row],[Insurance_USD]]+Table1[[#This Row],[Visa_Fee_USD]]+Table1[[#This Row],[Annual_Estimated_Living_cost]]</f>
        <v>55558.479318734797</v>
      </c>
    </row>
    <row r="416" spans="1:17" x14ac:dyDescent="0.25">
      <c r="A416" s="2" t="s">
        <v>29</v>
      </c>
      <c r="B416" s="1" t="s">
        <v>245</v>
      </c>
      <c r="C416" s="1" t="s">
        <v>246</v>
      </c>
      <c r="D416" s="1" t="s">
        <v>32</v>
      </c>
      <c r="E416" s="1" t="s">
        <v>75</v>
      </c>
      <c r="F416" s="1">
        <v>3</v>
      </c>
      <c r="G416" s="1" t="str">
        <f>CONCATENATE(Table1[[#This Row],[Duration_Years]]," ","years")</f>
        <v>3 years</v>
      </c>
      <c r="H416" s="11">
        <v>0</v>
      </c>
      <c r="I416" s="1">
        <v>65.400000000000006</v>
      </c>
      <c r="J416" s="11">
        <v>800</v>
      </c>
      <c r="K416" s="11">
        <v>110</v>
      </c>
      <c r="L416" s="11">
        <v>900</v>
      </c>
      <c r="M416" s="22">
        <v>0.92</v>
      </c>
      <c r="N416" s="3" t="str">
        <f>IF(Table1[[#This Row],[Exchange_Rate]]&lt;5,"Strong Currency", IF(Table1[[#This Row],[Exchange_Rate]]&lt;=1000, "Medium Currency","Weak Currency"))</f>
        <v>Strong Currency</v>
      </c>
      <c r="O416" s="11">
        <f>(Table1[[#This Row],[Living_Cost_Index]]/123.3)*1850</f>
        <v>981.26520681265208</v>
      </c>
      <c r="P416" s="11">
        <f>Table1[[#This Row],[Monthly_Estimated_Living_cost]]*12</f>
        <v>11775.182481751825</v>
      </c>
      <c r="Q416" s="13">
        <f>Table1[[#This Row],[Tuition_USD]]+Table1[[#This Row],[Rent_USD]]+Table1[[#This Row],[Insurance_USD]]+Table1[[#This Row],[Visa_Fee_USD]]+Table1[[#This Row],[Annual_Estimated_Living_cost]]</f>
        <v>13585.182481751825</v>
      </c>
    </row>
    <row r="417" spans="1:17" x14ac:dyDescent="0.25">
      <c r="A417" s="2" t="s">
        <v>21</v>
      </c>
      <c r="B417" s="1" t="s">
        <v>100</v>
      </c>
      <c r="C417" s="1" t="s">
        <v>101</v>
      </c>
      <c r="D417" s="1" t="s">
        <v>40</v>
      </c>
      <c r="E417" s="1" t="s">
        <v>16</v>
      </c>
      <c r="F417" s="1">
        <v>2</v>
      </c>
      <c r="G417" s="1" t="str">
        <f>CONCATENATE(Table1[[#This Row],[Duration_Years]]," ","years")</f>
        <v>2 years</v>
      </c>
      <c r="H417" s="11">
        <v>40000</v>
      </c>
      <c r="I417" s="1">
        <v>67.8</v>
      </c>
      <c r="J417" s="11">
        <v>1300</v>
      </c>
      <c r="K417" s="11">
        <v>235</v>
      </c>
      <c r="L417" s="11">
        <v>750</v>
      </c>
      <c r="M417" s="22">
        <v>1.35</v>
      </c>
      <c r="N417" s="3" t="str">
        <f>IF(Table1[[#This Row],[Exchange_Rate]]&lt;5,"Strong Currency", IF(Table1[[#This Row],[Exchange_Rate]]&lt;=1000, "Medium Currency","Weak Currency"))</f>
        <v>Strong Currency</v>
      </c>
      <c r="O417" s="11">
        <f>(Table1[[#This Row],[Living_Cost_Index]]/123.3)*1850</f>
        <v>1017.2749391727493</v>
      </c>
      <c r="P417" s="11">
        <f>Table1[[#This Row],[Monthly_Estimated_Living_cost]]*12</f>
        <v>12207.299270072992</v>
      </c>
      <c r="Q417" s="13">
        <f>Table1[[#This Row],[Tuition_USD]]+Table1[[#This Row],[Rent_USD]]+Table1[[#This Row],[Insurance_USD]]+Table1[[#This Row],[Visa_Fee_USD]]+Table1[[#This Row],[Annual_Estimated_Living_cost]]</f>
        <v>54492.299270072996</v>
      </c>
    </row>
    <row r="418" spans="1:17" x14ac:dyDescent="0.25">
      <c r="A418" s="2" t="s">
        <v>25</v>
      </c>
      <c r="B418" s="1" t="s">
        <v>225</v>
      </c>
      <c r="C418" s="1" t="s">
        <v>226</v>
      </c>
      <c r="D418" s="1" t="s">
        <v>51</v>
      </c>
      <c r="E418" s="1" t="s">
        <v>16</v>
      </c>
      <c r="F418" s="1">
        <v>2</v>
      </c>
      <c r="G418" s="1" t="str">
        <f>CONCATENATE(Table1[[#This Row],[Duration_Years]]," ","years")</f>
        <v>2 years</v>
      </c>
      <c r="H418" s="11">
        <v>30000</v>
      </c>
      <c r="I418" s="1">
        <v>67.2</v>
      </c>
      <c r="J418" s="11">
        <v>1100</v>
      </c>
      <c r="K418" s="11">
        <v>450</v>
      </c>
      <c r="L418" s="11">
        <v>650</v>
      </c>
      <c r="M418" s="22">
        <v>1.52</v>
      </c>
      <c r="N418" s="3" t="str">
        <f>IF(Table1[[#This Row],[Exchange_Rate]]&lt;5,"Strong Currency", IF(Table1[[#This Row],[Exchange_Rate]]&lt;=1000, "Medium Currency","Weak Currency"))</f>
        <v>Strong Currency</v>
      </c>
      <c r="O418" s="11">
        <f>(Table1[[#This Row],[Living_Cost_Index]]/123.3)*1850</f>
        <v>1008.272506082725</v>
      </c>
      <c r="P418" s="11">
        <f>Table1[[#This Row],[Monthly_Estimated_Living_cost]]*12</f>
        <v>12099.2700729927</v>
      </c>
      <c r="Q418" s="13">
        <f>Table1[[#This Row],[Tuition_USD]]+Table1[[#This Row],[Rent_USD]]+Table1[[#This Row],[Insurance_USD]]+Table1[[#This Row],[Visa_Fee_USD]]+Table1[[#This Row],[Annual_Estimated_Living_cost]]</f>
        <v>44299.270072992702</v>
      </c>
    </row>
    <row r="419" spans="1:17" x14ac:dyDescent="0.25">
      <c r="A419" s="2" t="s">
        <v>12</v>
      </c>
      <c r="B419" s="1" t="s">
        <v>91</v>
      </c>
      <c r="C419" s="1" t="s">
        <v>92</v>
      </c>
      <c r="D419" s="1" t="s">
        <v>28</v>
      </c>
      <c r="E419" s="1" t="s">
        <v>1353</v>
      </c>
      <c r="F419" s="1">
        <v>5</v>
      </c>
      <c r="G419" s="1" t="str">
        <f>CONCATENATE(Table1[[#This Row],[Duration_Years]]," ","years")</f>
        <v>5 years</v>
      </c>
      <c r="H419" s="11">
        <v>48000</v>
      </c>
      <c r="I419" s="1">
        <v>71.2</v>
      </c>
      <c r="J419" s="11">
        <v>1700</v>
      </c>
      <c r="K419" s="11">
        <v>160</v>
      </c>
      <c r="L419" s="11">
        <v>1500</v>
      </c>
      <c r="M419" s="22">
        <v>1</v>
      </c>
      <c r="N419" s="3" t="str">
        <f>IF(Table1[[#This Row],[Exchange_Rate]]&lt;5,"Strong Currency", IF(Table1[[#This Row],[Exchange_Rate]]&lt;=1000, "Medium Currency","Weak Currency"))</f>
        <v>Strong Currency</v>
      </c>
      <c r="O419" s="11">
        <f>(Table1[[#This Row],[Living_Cost_Index]]/123.3)*1850</f>
        <v>1068.2887266828873</v>
      </c>
      <c r="P419" s="11">
        <f>Table1[[#This Row],[Monthly_Estimated_Living_cost]]*12</f>
        <v>12819.464720194646</v>
      </c>
      <c r="Q419" s="13">
        <f>Table1[[#This Row],[Tuition_USD]]+Table1[[#This Row],[Rent_USD]]+Table1[[#This Row],[Insurance_USD]]+Table1[[#This Row],[Visa_Fee_USD]]+Table1[[#This Row],[Annual_Estimated_Living_cost]]</f>
        <v>64179.46472019465</v>
      </c>
    </row>
    <row r="420" spans="1:17" x14ac:dyDescent="0.25">
      <c r="A420" s="2" t="s">
        <v>17</v>
      </c>
      <c r="B420" s="1" t="s">
        <v>97</v>
      </c>
      <c r="C420" s="1" t="s">
        <v>98</v>
      </c>
      <c r="D420" s="1" t="s">
        <v>20</v>
      </c>
      <c r="E420" s="1" t="s">
        <v>16</v>
      </c>
      <c r="F420" s="1">
        <v>2</v>
      </c>
      <c r="G420" s="1" t="str">
        <f>CONCATENATE(Table1[[#This Row],[Duration_Years]]," ","years")</f>
        <v>2 years</v>
      </c>
      <c r="H420" s="11">
        <v>36000</v>
      </c>
      <c r="I420" s="1">
        <v>68.900000000000006</v>
      </c>
      <c r="J420" s="11">
        <v>1200</v>
      </c>
      <c r="K420" s="11">
        <v>485</v>
      </c>
      <c r="L420" s="11">
        <v>800</v>
      </c>
      <c r="M420" s="22">
        <v>0.79</v>
      </c>
      <c r="N420" s="3" t="str">
        <f>IF(Table1[[#This Row],[Exchange_Rate]]&lt;5,"Strong Currency", IF(Table1[[#This Row],[Exchange_Rate]]&lt;=1000, "Medium Currency","Weak Currency"))</f>
        <v>Strong Currency</v>
      </c>
      <c r="O420" s="11">
        <f>(Table1[[#This Row],[Living_Cost_Index]]/123.3)*1850</f>
        <v>1033.779399837794</v>
      </c>
      <c r="P420" s="11">
        <f>Table1[[#This Row],[Monthly_Estimated_Living_cost]]*12</f>
        <v>12405.352798053529</v>
      </c>
      <c r="Q420" s="13">
        <f>Table1[[#This Row],[Tuition_USD]]+Table1[[#This Row],[Rent_USD]]+Table1[[#This Row],[Insurance_USD]]+Table1[[#This Row],[Visa_Fee_USD]]+Table1[[#This Row],[Annual_Estimated_Living_cost]]</f>
        <v>50890.352798053529</v>
      </c>
    </row>
    <row r="421" spans="1:17" x14ac:dyDescent="0.25">
      <c r="A421" s="2" t="s">
        <v>29</v>
      </c>
      <c r="B421" s="1" t="s">
        <v>632</v>
      </c>
      <c r="C421" s="1" t="s">
        <v>633</v>
      </c>
      <c r="D421" s="1" t="s">
        <v>15</v>
      </c>
      <c r="E421" s="1" t="s">
        <v>16</v>
      </c>
      <c r="F421" s="1">
        <v>2</v>
      </c>
      <c r="G421" s="1" t="str">
        <f>CONCATENATE(Table1[[#This Row],[Duration_Years]]," ","years")</f>
        <v>2 years</v>
      </c>
      <c r="H421" s="11">
        <v>0</v>
      </c>
      <c r="I421" s="1">
        <v>72.3</v>
      </c>
      <c r="J421" s="11">
        <v>1300</v>
      </c>
      <c r="K421" s="11">
        <v>110</v>
      </c>
      <c r="L421" s="11">
        <v>900</v>
      </c>
      <c r="M421" s="22">
        <v>0.92</v>
      </c>
      <c r="N421" s="3" t="str">
        <f>IF(Table1[[#This Row],[Exchange_Rate]]&lt;5,"Strong Currency", IF(Table1[[#This Row],[Exchange_Rate]]&lt;=1000, "Medium Currency","Weak Currency"))</f>
        <v>Strong Currency</v>
      </c>
      <c r="O421" s="11">
        <f>(Table1[[#This Row],[Living_Cost_Index]]/123.3)*1850</f>
        <v>1084.7931873479317</v>
      </c>
      <c r="P421" s="11">
        <f>Table1[[#This Row],[Monthly_Estimated_Living_cost]]*12</f>
        <v>13017.51824817518</v>
      </c>
      <c r="Q421" s="13">
        <f>Table1[[#This Row],[Tuition_USD]]+Table1[[#This Row],[Rent_USD]]+Table1[[#This Row],[Insurance_USD]]+Table1[[#This Row],[Visa_Fee_USD]]+Table1[[#This Row],[Annual_Estimated_Living_cost]]</f>
        <v>15327.51824817518</v>
      </c>
    </row>
    <row r="422" spans="1:17" x14ac:dyDescent="0.25">
      <c r="A422" s="2" t="s">
        <v>21</v>
      </c>
      <c r="B422" s="1" t="s">
        <v>333</v>
      </c>
      <c r="C422" s="1" t="s">
        <v>334</v>
      </c>
      <c r="D422" s="1" t="s">
        <v>99</v>
      </c>
      <c r="E422" s="1" t="s">
        <v>75</v>
      </c>
      <c r="F422" s="1">
        <v>4</v>
      </c>
      <c r="G422" s="1" t="str">
        <f>CONCATENATE(Table1[[#This Row],[Duration_Years]]," ","years")</f>
        <v>4 years</v>
      </c>
      <c r="H422" s="11">
        <v>35000</v>
      </c>
      <c r="I422" s="1">
        <v>65.400000000000006</v>
      </c>
      <c r="J422" s="11">
        <v>1200</v>
      </c>
      <c r="K422" s="11">
        <v>235</v>
      </c>
      <c r="L422" s="11">
        <v>750</v>
      </c>
      <c r="M422" s="22">
        <v>1.35</v>
      </c>
      <c r="N422" s="3" t="str">
        <f>IF(Table1[[#This Row],[Exchange_Rate]]&lt;5,"Strong Currency", IF(Table1[[#This Row],[Exchange_Rate]]&lt;=1000, "Medium Currency","Weak Currency"))</f>
        <v>Strong Currency</v>
      </c>
      <c r="O422" s="11">
        <f>(Table1[[#This Row],[Living_Cost_Index]]/123.3)*1850</f>
        <v>981.26520681265208</v>
      </c>
      <c r="P422" s="11">
        <f>Table1[[#This Row],[Monthly_Estimated_Living_cost]]*12</f>
        <v>11775.182481751825</v>
      </c>
      <c r="Q422" s="13">
        <f>Table1[[#This Row],[Tuition_USD]]+Table1[[#This Row],[Rent_USD]]+Table1[[#This Row],[Insurance_USD]]+Table1[[#This Row],[Visa_Fee_USD]]+Table1[[#This Row],[Annual_Estimated_Living_cost]]</f>
        <v>48960.182481751821</v>
      </c>
    </row>
    <row r="423" spans="1:17" x14ac:dyDescent="0.25">
      <c r="A423" s="2" t="s">
        <v>25</v>
      </c>
      <c r="B423" s="1" t="s">
        <v>223</v>
      </c>
      <c r="C423" s="1" t="s">
        <v>224</v>
      </c>
      <c r="D423" s="1" t="s">
        <v>628</v>
      </c>
      <c r="E423" s="1" t="s">
        <v>1353</v>
      </c>
      <c r="F423" s="1">
        <v>4</v>
      </c>
      <c r="G423" s="1" t="str">
        <f>CONCATENATE(Table1[[#This Row],[Duration_Years]]," ","years")</f>
        <v>4 years</v>
      </c>
      <c r="H423" s="11">
        <v>28000</v>
      </c>
      <c r="I423" s="1">
        <v>64.5</v>
      </c>
      <c r="J423" s="11">
        <v>1000</v>
      </c>
      <c r="K423" s="11">
        <v>450</v>
      </c>
      <c r="L423" s="11">
        <v>650</v>
      </c>
      <c r="M423" s="22">
        <v>1.52</v>
      </c>
      <c r="N423" s="3" t="str">
        <f>IF(Table1[[#This Row],[Exchange_Rate]]&lt;5,"Strong Currency", IF(Table1[[#This Row],[Exchange_Rate]]&lt;=1000, "Medium Currency","Weak Currency"))</f>
        <v>Strong Currency</v>
      </c>
      <c r="O423" s="11">
        <f>(Table1[[#This Row],[Living_Cost_Index]]/123.3)*1850</f>
        <v>967.7615571776156</v>
      </c>
      <c r="P423" s="11">
        <f>Table1[[#This Row],[Monthly_Estimated_Living_cost]]*12</f>
        <v>11613.138686131388</v>
      </c>
      <c r="Q423" s="13">
        <f>Table1[[#This Row],[Tuition_USD]]+Table1[[#This Row],[Rent_USD]]+Table1[[#This Row],[Insurance_USD]]+Table1[[#This Row],[Visa_Fee_USD]]+Table1[[#This Row],[Annual_Estimated_Living_cost]]</f>
        <v>41713.138686131388</v>
      </c>
    </row>
    <row r="424" spans="1:17" x14ac:dyDescent="0.25">
      <c r="A424" s="2" t="s">
        <v>12</v>
      </c>
      <c r="B424" s="1" t="s">
        <v>510</v>
      </c>
      <c r="C424" s="1" t="s">
        <v>511</v>
      </c>
      <c r="D424" s="1" t="s">
        <v>15</v>
      </c>
      <c r="E424" s="1" t="s">
        <v>16</v>
      </c>
      <c r="F424" s="1">
        <v>2</v>
      </c>
      <c r="G424" s="1" t="str">
        <f>CONCATENATE(Table1[[#This Row],[Duration_Years]]," ","years")</f>
        <v>2 years</v>
      </c>
      <c r="H424" s="11">
        <v>52000</v>
      </c>
      <c r="I424" s="1">
        <v>79.8</v>
      </c>
      <c r="J424" s="11">
        <v>2200</v>
      </c>
      <c r="K424" s="11">
        <v>160</v>
      </c>
      <c r="L424" s="11">
        <v>1500</v>
      </c>
      <c r="M424" s="22">
        <v>1</v>
      </c>
      <c r="N424" s="3" t="str">
        <f>IF(Table1[[#This Row],[Exchange_Rate]]&lt;5,"Strong Currency", IF(Table1[[#This Row],[Exchange_Rate]]&lt;=1000, "Medium Currency","Weak Currency"))</f>
        <v>Strong Currency</v>
      </c>
      <c r="O424" s="11">
        <f>(Table1[[#This Row],[Living_Cost_Index]]/123.3)*1850</f>
        <v>1197.3236009732359</v>
      </c>
      <c r="P424" s="11">
        <f>Table1[[#This Row],[Monthly_Estimated_Living_cost]]*12</f>
        <v>14367.883211678831</v>
      </c>
      <c r="Q424" s="13">
        <f>Table1[[#This Row],[Tuition_USD]]+Table1[[#This Row],[Rent_USD]]+Table1[[#This Row],[Insurance_USD]]+Table1[[#This Row],[Visa_Fee_USD]]+Table1[[#This Row],[Annual_Estimated_Living_cost]]</f>
        <v>70227.883211678825</v>
      </c>
    </row>
    <row r="425" spans="1:17" x14ac:dyDescent="0.25">
      <c r="A425" s="2" t="s">
        <v>17</v>
      </c>
      <c r="B425" s="1" t="s">
        <v>153</v>
      </c>
      <c r="C425" s="1" t="s">
        <v>154</v>
      </c>
      <c r="D425" s="1" t="s">
        <v>51</v>
      </c>
      <c r="E425" s="1" t="s">
        <v>75</v>
      </c>
      <c r="F425" s="1">
        <v>3</v>
      </c>
      <c r="G425" s="1" t="str">
        <f>CONCATENATE(Table1[[#This Row],[Duration_Years]]," ","years")</f>
        <v>3 years</v>
      </c>
      <c r="H425" s="11">
        <v>34000</v>
      </c>
      <c r="I425" s="1">
        <v>64.5</v>
      </c>
      <c r="J425" s="11">
        <v>950</v>
      </c>
      <c r="K425" s="11">
        <v>485</v>
      </c>
      <c r="L425" s="11">
        <v>800</v>
      </c>
      <c r="M425" s="22">
        <v>0.79</v>
      </c>
      <c r="N425" s="3" t="str">
        <f>IF(Table1[[#This Row],[Exchange_Rate]]&lt;5,"Strong Currency", IF(Table1[[#This Row],[Exchange_Rate]]&lt;=1000, "Medium Currency","Weak Currency"))</f>
        <v>Strong Currency</v>
      </c>
      <c r="O425" s="11">
        <f>(Table1[[#This Row],[Living_Cost_Index]]/123.3)*1850</f>
        <v>967.7615571776156</v>
      </c>
      <c r="P425" s="11">
        <f>Table1[[#This Row],[Monthly_Estimated_Living_cost]]*12</f>
        <v>11613.138686131388</v>
      </c>
      <c r="Q425" s="13">
        <f>Table1[[#This Row],[Tuition_USD]]+Table1[[#This Row],[Rent_USD]]+Table1[[#This Row],[Insurance_USD]]+Table1[[#This Row],[Visa_Fee_USD]]+Table1[[#This Row],[Annual_Estimated_Living_cost]]</f>
        <v>47848.138686131388</v>
      </c>
    </row>
    <row r="426" spans="1:17" x14ac:dyDescent="0.25">
      <c r="A426" s="2" t="s">
        <v>29</v>
      </c>
      <c r="B426" s="1" t="s">
        <v>247</v>
      </c>
      <c r="C426" s="1" t="s">
        <v>248</v>
      </c>
      <c r="D426" s="1" t="s">
        <v>28</v>
      </c>
      <c r="E426" s="1" t="s">
        <v>16</v>
      </c>
      <c r="F426" s="1">
        <v>2</v>
      </c>
      <c r="G426" s="1" t="str">
        <f>CONCATENATE(Table1[[#This Row],[Duration_Years]]," ","years")</f>
        <v>2 years</v>
      </c>
      <c r="H426" s="11">
        <v>0</v>
      </c>
      <c r="I426" s="1">
        <v>68.7</v>
      </c>
      <c r="J426" s="11">
        <v>1100</v>
      </c>
      <c r="K426" s="11">
        <v>110</v>
      </c>
      <c r="L426" s="11">
        <v>900</v>
      </c>
      <c r="M426" s="22">
        <v>0.92</v>
      </c>
      <c r="N426" s="3" t="str">
        <f>IF(Table1[[#This Row],[Exchange_Rate]]&lt;5,"Strong Currency", IF(Table1[[#This Row],[Exchange_Rate]]&lt;=1000, "Medium Currency","Weak Currency"))</f>
        <v>Strong Currency</v>
      </c>
      <c r="O426" s="11">
        <f>(Table1[[#This Row],[Living_Cost_Index]]/123.3)*1850</f>
        <v>1030.7785888077858</v>
      </c>
      <c r="P426" s="11">
        <f>Table1[[#This Row],[Monthly_Estimated_Living_cost]]*12</f>
        <v>12369.343065693429</v>
      </c>
      <c r="Q426" s="13">
        <f>Table1[[#This Row],[Tuition_USD]]+Table1[[#This Row],[Rent_USD]]+Table1[[#This Row],[Insurance_USD]]+Table1[[#This Row],[Visa_Fee_USD]]+Table1[[#This Row],[Annual_Estimated_Living_cost]]</f>
        <v>14479.343065693429</v>
      </c>
    </row>
    <row r="427" spans="1:17" x14ac:dyDescent="0.25">
      <c r="A427" s="2" t="s">
        <v>21</v>
      </c>
      <c r="B427" s="1" t="s">
        <v>151</v>
      </c>
      <c r="C427" s="1" t="s">
        <v>152</v>
      </c>
      <c r="D427" s="1" t="s">
        <v>20</v>
      </c>
      <c r="E427" s="1" t="s">
        <v>16</v>
      </c>
      <c r="F427" s="1">
        <v>2</v>
      </c>
      <c r="G427" s="1" t="str">
        <f>CONCATENATE(Table1[[#This Row],[Duration_Years]]," ","years")</f>
        <v>2 years</v>
      </c>
      <c r="H427" s="11">
        <v>37000</v>
      </c>
      <c r="I427" s="1">
        <v>64.3</v>
      </c>
      <c r="J427" s="11">
        <v>1100</v>
      </c>
      <c r="K427" s="11">
        <v>235</v>
      </c>
      <c r="L427" s="11">
        <v>750</v>
      </c>
      <c r="M427" s="22">
        <v>1.35</v>
      </c>
      <c r="N427" s="3" t="str">
        <f>IF(Table1[[#This Row],[Exchange_Rate]]&lt;5,"Strong Currency", IF(Table1[[#This Row],[Exchange_Rate]]&lt;=1000, "Medium Currency","Weak Currency"))</f>
        <v>Strong Currency</v>
      </c>
      <c r="O427" s="11">
        <f>(Table1[[#This Row],[Living_Cost_Index]]/123.3)*1850</f>
        <v>964.76074614760739</v>
      </c>
      <c r="P427" s="11">
        <f>Table1[[#This Row],[Monthly_Estimated_Living_cost]]*12</f>
        <v>11577.128953771289</v>
      </c>
      <c r="Q427" s="13">
        <f>Table1[[#This Row],[Tuition_USD]]+Table1[[#This Row],[Rent_USD]]+Table1[[#This Row],[Insurance_USD]]+Table1[[#This Row],[Visa_Fee_USD]]+Table1[[#This Row],[Annual_Estimated_Living_cost]]</f>
        <v>50662.128953771287</v>
      </c>
    </row>
    <row r="428" spans="1:17" x14ac:dyDescent="0.25">
      <c r="A428" s="2" t="s">
        <v>25</v>
      </c>
      <c r="B428" s="1" t="s">
        <v>141</v>
      </c>
      <c r="C428" s="1" t="s">
        <v>142</v>
      </c>
      <c r="D428" s="1" t="s">
        <v>15</v>
      </c>
      <c r="E428" s="1" t="s">
        <v>1353</v>
      </c>
      <c r="F428" s="1">
        <v>4</v>
      </c>
      <c r="G428" s="1" t="str">
        <f>CONCATENATE(Table1[[#This Row],[Duration_Years]]," ","years")</f>
        <v>4 years</v>
      </c>
      <c r="H428" s="11">
        <v>33000</v>
      </c>
      <c r="I428" s="1">
        <v>69.8</v>
      </c>
      <c r="J428" s="11">
        <v>1300</v>
      </c>
      <c r="K428" s="11">
        <v>450</v>
      </c>
      <c r="L428" s="11">
        <v>650</v>
      </c>
      <c r="M428" s="22">
        <v>1.52</v>
      </c>
      <c r="N428" s="3" t="str">
        <f>IF(Table1[[#This Row],[Exchange_Rate]]&lt;5,"Strong Currency", IF(Table1[[#This Row],[Exchange_Rate]]&lt;=1000, "Medium Currency","Weak Currency"))</f>
        <v>Strong Currency</v>
      </c>
      <c r="O428" s="11">
        <f>(Table1[[#This Row],[Living_Cost_Index]]/123.3)*1850</f>
        <v>1047.2830494728303</v>
      </c>
      <c r="P428" s="11">
        <f>Table1[[#This Row],[Monthly_Estimated_Living_cost]]*12</f>
        <v>12567.396593673962</v>
      </c>
      <c r="Q428" s="13">
        <f>Table1[[#This Row],[Tuition_USD]]+Table1[[#This Row],[Rent_USD]]+Table1[[#This Row],[Insurance_USD]]+Table1[[#This Row],[Visa_Fee_USD]]+Table1[[#This Row],[Annual_Estimated_Living_cost]]</f>
        <v>47967.396593673962</v>
      </c>
    </row>
    <row r="429" spans="1:17" x14ac:dyDescent="0.25">
      <c r="A429" s="2" t="s">
        <v>12</v>
      </c>
      <c r="B429" s="1" t="s">
        <v>94</v>
      </c>
      <c r="C429" s="1" t="s">
        <v>95</v>
      </c>
      <c r="D429" s="1" t="s">
        <v>99</v>
      </c>
      <c r="E429" s="1" t="s">
        <v>16</v>
      </c>
      <c r="F429" s="1">
        <v>2</v>
      </c>
      <c r="G429" s="1" t="str">
        <f>CONCATENATE(Table1[[#This Row],[Duration_Years]]," ","years")</f>
        <v>2 years</v>
      </c>
      <c r="H429" s="11">
        <v>45000</v>
      </c>
      <c r="I429" s="1">
        <v>68.900000000000006</v>
      </c>
      <c r="J429" s="11">
        <v>1600</v>
      </c>
      <c r="K429" s="11">
        <v>160</v>
      </c>
      <c r="L429" s="11">
        <v>1500</v>
      </c>
      <c r="M429" s="22">
        <v>1</v>
      </c>
      <c r="N429" s="3" t="str">
        <f>IF(Table1[[#This Row],[Exchange_Rate]]&lt;5,"Strong Currency", IF(Table1[[#This Row],[Exchange_Rate]]&lt;=1000, "Medium Currency","Weak Currency"))</f>
        <v>Strong Currency</v>
      </c>
      <c r="O429" s="11">
        <f>(Table1[[#This Row],[Living_Cost_Index]]/123.3)*1850</f>
        <v>1033.779399837794</v>
      </c>
      <c r="P429" s="11">
        <f>Table1[[#This Row],[Monthly_Estimated_Living_cost]]*12</f>
        <v>12405.352798053529</v>
      </c>
      <c r="Q429" s="13">
        <f>Table1[[#This Row],[Tuition_USD]]+Table1[[#This Row],[Rent_USD]]+Table1[[#This Row],[Insurance_USD]]+Table1[[#This Row],[Visa_Fee_USD]]+Table1[[#This Row],[Annual_Estimated_Living_cost]]</f>
        <v>60665.352798053529</v>
      </c>
    </row>
    <row r="430" spans="1:17" x14ac:dyDescent="0.25">
      <c r="A430" s="2" t="s">
        <v>17</v>
      </c>
      <c r="B430" s="1" t="s">
        <v>290</v>
      </c>
      <c r="C430" s="1" t="s">
        <v>291</v>
      </c>
      <c r="D430" s="1" t="s">
        <v>628</v>
      </c>
      <c r="E430" s="1" t="s">
        <v>1353</v>
      </c>
      <c r="F430" s="1">
        <v>4</v>
      </c>
      <c r="G430" s="1" t="str">
        <f>CONCATENATE(Table1[[#This Row],[Duration_Years]]," ","years")</f>
        <v>4 years</v>
      </c>
      <c r="H430" s="11">
        <v>35000</v>
      </c>
      <c r="I430" s="1">
        <v>63.2</v>
      </c>
      <c r="J430" s="11">
        <v>900</v>
      </c>
      <c r="K430" s="11">
        <v>485</v>
      </c>
      <c r="L430" s="11">
        <v>800</v>
      </c>
      <c r="M430" s="22">
        <v>0.79</v>
      </c>
      <c r="N430" s="3" t="str">
        <f>IF(Table1[[#This Row],[Exchange_Rate]]&lt;5,"Strong Currency", IF(Table1[[#This Row],[Exchange_Rate]]&lt;=1000, "Medium Currency","Weak Currency"))</f>
        <v>Strong Currency</v>
      </c>
      <c r="O430" s="11">
        <f>(Table1[[#This Row],[Living_Cost_Index]]/123.3)*1850</f>
        <v>948.25628548256282</v>
      </c>
      <c r="P430" s="11">
        <f>Table1[[#This Row],[Monthly_Estimated_Living_cost]]*12</f>
        <v>11379.075425790754</v>
      </c>
      <c r="Q430" s="13">
        <f>Table1[[#This Row],[Tuition_USD]]+Table1[[#This Row],[Rent_USD]]+Table1[[#This Row],[Insurance_USD]]+Table1[[#This Row],[Visa_Fee_USD]]+Table1[[#This Row],[Annual_Estimated_Living_cost]]</f>
        <v>48564.075425790754</v>
      </c>
    </row>
    <row r="431" spans="1:17" x14ac:dyDescent="0.25">
      <c r="A431" s="2" t="s">
        <v>29</v>
      </c>
      <c r="B431" s="1" t="s">
        <v>128</v>
      </c>
      <c r="C431" s="1" t="s">
        <v>129</v>
      </c>
      <c r="D431" s="1" t="s">
        <v>51</v>
      </c>
      <c r="E431" s="1" t="s">
        <v>75</v>
      </c>
      <c r="F431" s="1">
        <v>3</v>
      </c>
      <c r="G431" s="1" t="str">
        <f>CONCATENATE(Table1[[#This Row],[Duration_Years]]," ","years")</f>
        <v>3 years</v>
      </c>
      <c r="H431" s="11">
        <v>0</v>
      </c>
      <c r="I431" s="1">
        <v>67.8</v>
      </c>
      <c r="J431" s="11">
        <v>1000</v>
      </c>
      <c r="K431" s="11">
        <v>110</v>
      </c>
      <c r="L431" s="11">
        <v>900</v>
      </c>
      <c r="M431" s="22">
        <v>0.92</v>
      </c>
      <c r="N431" s="3" t="str">
        <f>IF(Table1[[#This Row],[Exchange_Rate]]&lt;5,"Strong Currency", IF(Table1[[#This Row],[Exchange_Rate]]&lt;=1000, "Medium Currency","Weak Currency"))</f>
        <v>Strong Currency</v>
      </c>
      <c r="O431" s="11">
        <f>(Table1[[#This Row],[Living_Cost_Index]]/123.3)*1850</f>
        <v>1017.2749391727493</v>
      </c>
      <c r="P431" s="11">
        <f>Table1[[#This Row],[Monthly_Estimated_Living_cost]]*12</f>
        <v>12207.299270072992</v>
      </c>
      <c r="Q431" s="13">
        <f>Table1[[#This Row],[Tuition_USD]]+Table1[[#This Row],[Rent_USD]]+Table1[[#This Row],[Insurance_USD]]+Table1[[#This Row],[Visa_Fee_USD]]+Table1[[#This Row],[Annual_Estimated_Living_cost]]</f>
        <v>14217.299270072992</v>
      </c>
    </row>
    <row r="432" spans="1:17" x14ac:dyDescent="0.25">
      <c r="A432" s="2" t="s">
        <v>21</v>
      </c>
      <c r="B432" s="1" t="s">
        <v>313</v>
      </c>
      <c r="C432" s="1" t="s">
        <v>314</v>
      </c>
      <c r="D432" s="1" t="s">
        <v>28</v>
      </c>
      <c r="E432" s="1" t="s">
        <v>16</v>
      </c>
      <c r="F432" s="1">
        <v>2</v>
      </c>
      <c r="G432" s="1" t="str">
        <f>CONCATENATE(Table1[[#This Row],[Duration_Years]]," ","years")</f>
        <v>2 years</v>
      </c>
      <c r="H432" s="11">
        <v>36000</v>
      </c>
      <c r="I432" s="1">
        <v>63.4</v>
      </c>
      <c r="J432" s="11">
        <v>1000</v>
      </c>
      <c r="K432" s="11">
        <v>235</v>
      </c>
      <c r="L432" s="11">
        <v>750</v>
      </c>
      <c r="M432" s="22">
        <v>1.35</v>
      </c>
      <c r="N432" s="3" t="str">
        <f>IF(Table1[[#This Row],[Exchange_Rate]]&lt;5,"Strong Currency", IF(Table1[[#This Row],[Exchange_Rate]]&lt;=1000, "Medium Currency","Weak Currency"))</f>
        <v>Strong Currency</v>
      </c>
      <c r="O432" s="11">
        <f>(Table1[[#This Row],[Living_Cost_Index]]/123.3)*1850</f>
        <v>951.25709651257091</v>
      </c>
      <c r="P432" s="11">
        <f>Table1[[#This Row],[Monthly_Estimated_Living_cost]]*12</f>
        <v>11415.08515815085</v>
      </c>
      <c r="Q432" s="13">
        <f>Table1[[#This Row],[Tuition_USD]]+Table1[[#This Row],[Rent_USD]]+Table1[[#This Row],[Insurance_USD]]+Table1[[#This Row],[Visa_Fee_USD]]+Table1[[#This Row],[Annual_Estimated_Living_cost]]</f>
        <v>49400.085158150847</v>
      </c>
    </row>
    <row r="433" spans="1:17" x14ac:dyDescent="0.25">
      <c r="A433" s="2" t="s">
        <v>25</v>
      </c>
      <c r="B433" s="1" t="s">
        <v>227</v>
      </c>
      <c r="C433" s="1" t="s">
        <v>228</v>
      </c>
      <c r="D433" s="1" t="s">
        <v>20</v>
      </c>
      <c r="E433" s="1" t="s">
        <v>16</v>
      </c>
      <c r="F433" s="1">
        <v>2</v>
      </c>
      <c r="G433" s="1" t="str">
        <f>CONCATENATE(Table1[[#This Row],[Duration_Years]]," ","years")</f>
        <v>2 years</v>
      </c>
      <c r="H433" s="11">
        <v>29000</v>
      </c>
      <c r="I433" s="1">
        <v>65.400000000000006</v>
      </c>
      <c r="J433" s="11">
        <v>1100</v>
      </c>
      <c r="K433" s="11">
        <v>450</v>
      </c>
      <c r="L433" s="11">
        <v>650</v>
      </c>
      <c r="M433" s="22">
        <v>1.52</v>
      </c>
      <c r="N433" s="3" t="str">
        <f>IF(Table1[[#This Row],[Exchange_Rate]]&lt;5,"Strong Currency", IF(Table1[[#This Row],[Exchange_Rate]]&lt;=1000, "Medium Currency","Weak Currency"))</f>
        <v>Strong Currency</v>
      </c>
      <c r="O433" s="11">
        <f>(Table1[[#This Row],[Living_Cost_Index]]/123.3)*1850</f>
        <v>981.26520681265208</v>
      </c>
      <c r="P433" s="11">
        <f>Table1[[#This Row],[Monthly_Estimated_Living_cost]]*12</f>
        <v>11775.182481751825</v>
      </c>
      <c r="Q433" s="13">
        <f>Table1[[#This Row],[Tuition_USD]]+Table1[[#This Row],[Rent_USD]]+Table1[[#This Row],[Insurance_USD]]+Table1[[#This Row],[Visa_Fee_USD]]+Table1[[#This Row],[Annual_Estimated_Living_cost]]</f>
        <v>42975.182481751821</v>
      </c>
    </row>
    <row r="434" spans="1:17" x14ac:dyDescent="0.25">
      <c r="A434" s="2" t="s">
        <v>12</v>
      </c>
      <c r="B434" s="1" t="s">
        <v>149</v>
      </c>
      <c r="C434" s="1" t="s">
        <v>150</v>
      </c>
      <c r="D434" s="1" t="s">
        <v>15</v>
      </c>
      <c r="E434" s="1" t="s">
        <v>1353</v>
      </c>
      <c r="F434" s="1">
        <v>5</v>
      </c>
      <c r="G434" s="1" t="str">
        <f>CONCATENATE(Table1[[#This Row],[Duration_Years]]," ","years")</f>
        <v>5 years</v>
      </c>
      <c r="H434" s="11">
        <v>50000</v>
      </c>
      <c r="I434" s="1">
        <v>77.8</v>
      </c>
      <c r="J434" s="11">
        <v>2000</v>
      </c>
      <c r="K434" s="11">
        <v>160</v>
      </c>
      <c r="L434" s="11">
        <v>1500</v>
      </c>
      <c r="M434" s="22">
        <v>1</v>
      </c>
      <c r="N434" s="3" t="str">
        <f>IF(Table1[[#This Row],[Exchange_Rate]]&lt;5,"Strong Currency", IF(Table1[[#This Row],[Exchange_Rate]]&lt;=1000, "Medium Currency","Weak Currency"))</f>
        <v>Strong Currency</v>
      </c>
      <c r="O434" s="11">
        <f>(Table1[[#This Row],[Living_Cost_Index]]/123.3)*1850</f>
        <v>1167.315490673155</v>
      </c>
      <c r="P434" s="11">
        <f>Table1[[#This Row],[Monthly_Estimated_Living_cost]]*12</f>
        <v>14007.785888077859</v>
      </c>
      <c r="Q434" s="13">
        <f>Table1[[#This Row],[Tuition_USD]]+Table1[[#This Row],[Rent_USD]]+Table1[[#This Row],[Insurance_USD]]+Table1[[#This Row],[Visa_Fee_USD]]+Table1[[#This Row],[Annual_Estimated_Living_cost]]</f>
        <v>67667.785888077866</v>
      </c>
    </row>
    <row r="435" spans="1:17" x14ac:dyDescent="0.25">
      <c r="A435" s="2" t="s">
        <v>17</v>
      </c>
      <c r="B435" s="1" t="s">
        <v>294</v>
      </c>
      <c r="C435" s="1" t="s">
        <v>295</v>
      </c>
      <c r="D435" s="1" t="s">
        <v>28</v>
      </c>
      <c r="E435" s="1" t="s">
        <v>16</v>
      </c>
      <c r="F435" s="1">
        <v>2</v>
      </c>
      <c r="G435" s="1" t="str">
        <f>CONCATENATE(Table1[[#This Row],[Duration_Years]]," ","years")</f>
        <v>2 years</v>
      </c>
      <c r="H435" s="11">
        <v>33000</v>
      </c>
      <c r="I435" s="1">
        <v>62.3</v>
      </c>
      <c r="J435" s="11">
        <v>850</v>
      </c>
      <c r="K435" s="11">
        <v>485</v>
      </c>
      <c r="L435" s="11">
        <v>800</v>
      </c>
      <c r="M435" s="22">
        <v>0.79</v>
      </c>
      <c r="N435" s="3" t="str">
        <f>IF(Table1[[#This Row],[Exchange_Rate]]&lt;5,"Strong Currency", IF(Table1[[#This Row],[Exchange_Rate]]&lt;=1000, "Medium Currency","Weak Currency"))</f>
        <v>Strong Currency</v>
      </c>
      <c r="O435" s="11">
        <f>(Table1[[#This Row],[Living_Cost_Index]]/123.3)*1850</f>
        <v>934.75263584752634</v>
      </c>
      <c r="P435" s="11">
        <f>Table1[[#This Row],[Monthly_Estimated_Living_cost]]*12</f>
        <v>11217.031630170317</v>
      </c>
      <c r="Q435" s="13">
        <f>Table1[[#This Row],[Tuition_USD]]+Table1[[#This Row],[Rent_USD]]+Table1[[#This Row],[Insurance_USD]]+Table1[[#This Row],[Visa_Fee_USD]]+Table1[[#This Row],[Annual_Estimated_Living_cost]]</f>
        <v>46352.031630170313</v>
      </c>
    </row>
    <row r="436" spans="1:17" x14ac:dyDescent="0.25">
      <c r="A436" s="2" t="s">
        <v>29</v>
      </c>
      <c r="B436" s="1" t="s">
        <v>634</v>
      </c>
      <c r="C436" s="1" t="s">
        <v>635</v>
      </c>
      <c r="D436" s="1" t="s">
        <v>99</v>
      </c>
      <c r="E436" s="1" t="s">
        <v>16</v>
      </c>
      <c r="F436" s="1">
        <v>2</v>
      </c>
      <c r="G436" s="1" t="str">
        <f>CONCATENATE(Table1[[#This Row],[Duration_Years]]," ","years")</f>
        <v>2 years</v>
      </c>
      <c r="H436" s="11">
        <v>0</v>
      </c>
      <c r="I436" s="1">
        <v>69.8</v>
      </c>
      <c r="J436" s="11">
        <v>1200</v>
      </c>
      <c r="K436" s="11">
        <v>110</v>
      </c>
      <c r="L436" s="11">
        <v>900</v>
      </c>
      <c r="M436" s="22">
        <v>0.92</v>
      </c>
      <c r="N436" s="3" t="str">
        <f>IF(Table1[[#This Row],[Exchange_Rate]]&lt;5,"Strong Currency", IF(Table1[[#This Row],[Exchange_Rate]]&lt;=1000, "Medium Currency","Weak Currency"))</f>
        <v>Strong Currency</v>
      </c>
      <c r="O436" s="11">
        <f>(Table1[[#This Row],[Living_Cost_Index]]/123.3)*1850</f>
        <v>1047.2830494728303</v>
      </c>
      <c r="P436" s="11">
        <f>Table1[[#This Row],[Monthly_Estimated_Living_cost]]*12</f>
        <v>12567.396593673962</v>
      </c>
      <c r="Q436" s="13">
        <f>Table1[[#This Row],[Tuition_USD]]+Table1[[#This Row],[Rent_USD]]+Table1[[#This Row],[Insurance_USD]]+Table1[[#This Row],[Visa_Fee_USD]]+Table1[[#This Row],[Annual_Estimated_Living_cost]]</f>
        <v>14777.396593673962</v>
      </c>
    </row>
    <row r="437" spans="1:17" x14ac:dyDescent="0.25">
      <c r="A437" s="2" t="s">
        <v>21</v>
      </c>
      <c r="B437" s="1" t="s">
        <v>317</v>
      </c>
      <c r="C437" s="1" t="s">
        <v>318</v>
      </c>
      <c r="D437" s="1" t="s">
        <v>51</v>
      </c>
      <c r="E437" s="1" t="s">
        <v>75</v>
      </c>
      <c r="F437" s="1">
        <v>3</v>
      </c>
      <c r="G437" s="1" t="str">
        <f>CONCATENATE(Table1[[#This Row],[Duration_Years]]," ","years")</f>
        <v>3 years</v>
      </c>
      <c r="H437" s="11">
        <v>34000</v>
      </c>
      <c r="I437" s="1">
        <v>62.1</v>
      </c>
      <c r="J437" s="11">
        <v>900</v>
      </c>
      <c r="K437" s="11">
        <v>235</v>
      </c>
      <c r="L437" s="11">
        <v>750</v>
      </c>
      <c r="M437" s="22">
        <v>1.35</v>
      </c>
      <c r="N437" s="3" t="str">
        <f>IF(Table1[[#This Row],[Exchange_Rate]]&lt;5,"Strong Currency", IF(Table1[[#This Row],[Exchange_Rate]]&lt;=1000, "Medium Currency","Weak Currency"))</f>
        <v>Strong Currency</v>
      </c>
      <c r="O437" s="11">
        <f>(Table1[[#This Row],[Living_Cost_Index]]/123.3)*1850</f>
        <v>931.75182481751835</v>
      </c>
      <c r="P437" s="11">
        <f>Table1[[#This Row],[Monthly_Estimated_Living_cost]]*12</f>
        <v>11181.02189781022</v>
      </c>
      <c r="Q437" s="13">
        <f>Table1[[#This Row],[Tuition_USD]]+Table1[[#This Row],[Rent_USD]]+Table1[[#This Row],[Insurance_USD]]+Table1[[#This Row],[Visa_Fee_USD]]+Table1[[#This Row],[Annual_Estimated_Living_cost]]</f>
        <v>47066.02189781022</v>
      </c>
    </row>
    <row r="438" spans="1:17" x14ac:dyDescent="0.25">
      <c r="A438" s="2" t="s">
        <v>25</v>
      </c>
      <c r="B438" s="1" t="s">
        <v>231</v>
      </c>
      <c r="C438" s="1" t="s">
        <v>232</v>
      </c>
      <c r="D438" s="1" t="s">
        <v>628</v>
      </c>
      <c r="E438" s="1" t="s">
        <v>16</v>
      </c>
      <c r="F438" s="1">
        <v>2</v>
      </c>
      <c r="G438" s="1" t="str">
        <f>CONCATENATE(Table1[[#This Row],[Duration_Years]]," ","years")</f>
        <v>2 years</v>
      </c>
      <c r="H438" s="11">
        <v>27000</v>
      </c>
      <c r="I438" s="1">
        <v>63.2</v>
      </c>
      <c r="J438" s="11">
        <v>950</v>
      </c>
      <c r="K438" s="11">
        <v>450</v>
      </c>
      <c r="L438" s="11">
        <v>650</v>
      </c>
      <c r="M438" s="22">
        <v>1.52</v>
      </c>
      <c r="N438" s="3" t="str">
        <f>IF(Table1[[#This Row],[Exchange_Rate]]&lt;5,"Strong Currency", IF(Table1[[#This Row],[Exchange_Rate]]&lt;=1000, "Medium Currency","Weak Currency"))</f>
        <v>Strong Currency</v>
      </c>
      <c r="O438" s="11">
        <f>(Table1[[#This Row],[Living_Cost_Index]]/123.3)*1850</f>
        <v>948.25628548256282</v>
      </c>
      <c r="P438" s="11">
        <f>Table1[[#This Row],[Monthly_Estimated_Living_cost]]*12</f>
        <v>11379.075425790754</v>
      </c>
      <c r="Q438" s="13">
        <f>Table1[[#This Row],[Tuition_USD]]+Table1[[#This Row],[Rent_USD]]+Table1[[#This Row],[Insurance_USD]]+Table1[[#This Row],[Visa_Fee_USD]]+Table1[[#This Row],[Annual_Estimated_Living_cost]]</f>
        <v>40429.075425790754</v>
      </c>
    </row>
    <row r="439" spans="1:17" x14ac:dyDescent="0.25">
      <c r="A439" s="2" t="s">
        <v>12</v>
      </c>
      <c r="B439" s="1" t="s">
        <v>329</v>
      </c>
      <c r="C439" s="1" t="s">
        <v>330</v>
      </c>
      <c r="D439" s="1" t="s">
        <v>20</v>
      </c>
      <c r="E439" s="1" t="s">
        <v>16</v>
      </c>
      <c r="F439" s="1">
        <v>2</v>
      </c>
      <c r="G439" s="1" t="str">
        <f>CONCATENATE(Table1[[#This Row],[Duration_Years]]," ","years")</f>
        <v>2 years</v>
      </c>
      <c r="H439" s="11">
        <v>56000</v>
      </c>
      <c r="I439" s="1">
        <v>65.400000000000006</v>
      </c>
      <c r="J439" s="11">
        <v>1500</v>
      </c>
      <c r="K439" s="11">
        <v>160</v>
      </c>
      <c r="L439" s="11">
        <v>1500</v>
      </c>
      <c r="M439" s="22">
        <v>1</v>
      </c>
      <c r="N439" s="3" t="str">
        <f>IF(Table1[[#This Row],[Exchange_Rate]]&lt;5,"Strong Currency", IF(Table1[[#This Row],[Exchange_Rate]]&lt;=1000, "Medium Currency","Weak Currency"))</f>
        <v>Strong Currency</v>
      </c>
      <c r="O439" s="11">
        <f>(Table1[[#This Row],[Living_Cost_Index]]/123.3)*1850</f>
        <v>981.26520681265208</v>
      </c>
      <c r="P439" s="11">
        <f>Table1[[#This Row],[Monthly_Estimated_Living_cost]]*12</f>
        <v>11775.182481751825</v>
      </c>
      <c r="Q439" s="13">
        <f>Table1[[#This Row],[Tuition_USD]]+Table1[[#This Row],[Rent_USD]]+Table1[[#This Row],[Insurance_USD]]+Table1[[#This Row],[Visa_Fee_USD]]+Table1[[#This Row],[Annual_Estimated_Living_cost]]</f>
        <v>70935.182481751821</v>
      </c>
    </row>
    <row r="440" spans="1:17" x14ac:dyDescent="0.25">
      <c r="A440" s="2" t="s">
        <v>17</v>
      </c>
      <c r="B440" s="1" t="s">
        <v>301</v>
      </c>
      <c r="C440" s="1" t="s">
        <v>302</v>
      </c>
      <c r="D440" s="1" t="s">
        <v>15</v>
      </c>
      <c r="E440" s="1" t="s">
        <v>1353</v>
      </c>
      <c r="F440" s="1">
        <v>4</v>
      </c>
      <c r="G440" s="1" t="str">
        <f>CONCATENATE(Table1[[#This Row],[Duration_Years]]," ","years")</f>
        <v>4 years</v>
      </c>
      <c r="H440" s="11">
        <v>34000</v>
      </c>
      <c r="I440" s="1">
        <v>61.2</v>
      </c>
      <c r="J440" s="11">
        <v>800</v>
      </c>
      <c r="K440" s="11">
        <v>485</v>
      </c>
      <c r="L440" s="11">
        <v>800</v>
      </c>
      <c r="M440" s="22">
        <v>0.79</v>
      </c>
      <c r="N440" s="3" t="str">
        <f>IF(Table1[[#This Row],[Exchange_Rate]]&lt;5,"Strong Currency", IF(Table1[[#This Row],[Exchange_Rate]]&lt;=1000, "Medium Currency","Weak Currency"))</f>
        <v>Strong Currency</v>
      </c>
      <c r="O440" s="11">
        <f>(Table1[[#This Row],[Living_Cost_Index]]/123.3)*1850</f>
        <v>918.24817518248187</v>
      </c>
      <c r="P440" s="11">
        <f>Table1[[#This Row],[Monthly_Estimated_Living_cost]]*12</f>
        <v>11018.978102189783</v>
      </c>
      <c r="Q440" s="13">
        <f>Table1[[#This Row],[Tuition_USD]]+Table1[[#This Row],[Rent_USD]]+Table1[[#This Row],[Insurance_USD]]+Table1[[#This Row],[Visa_Fee_USD]]+Table1[[#This Row],[Annual_Estimated_Living_cost]]</f>
        <v>47103.97810218978</v>
      </c>
    </row>
    <row r="441" spans="1:17" x14ac:dyDescent="0.25">
      <c r="A441" s="2" t="s">
        <v>29</v>
      </c>
      <c r="B441" s="1" t="s">
        <v>636</v>
      </c>
      <c r="C441" s="1" t="s">
        <v>637</v>
      </c>
      <c r="D441" s="1" t="s">
        <v>28</v>
      </c>
      <c r="E441" s="1" t="s">
        <v>16</v>
      </c>
      <c r="F441" s="1">
        <v>2</v>
      </c>
      <c r="G441" s="1" t="str">
        <f>CONCATENATE(Table1[[#This Row],[Duration_Years]]," ","years")</f>
        <v>2 years</v>
      </c>
      <c r="H441" s="11">
        <v>0</v>
      </c>
      <c r="I441" s="1">
        <v>67.8</v>
      </c>
      <c r="J441" s="11">
        <v>1100</v>
      </c>
      <c r="K441" s="11">
        <v>110</v>
      </c>
      <c r="L441" s="11">
        <v>900</v>
      </c>
      <c r="M441" s="22">
        <v>0.92</v>
      </c>
      <c r="N441" s="3" t="str">
        <f>IF(Table1[[#This Row],[Exchange_Rate]]&lt;5,"Strong Currency", IF(Table1[[#This Row],[Exchange_Rate]]&lt;=1000, "Medium Currency","Weak Currency"))</f>
        <v>Strong Currency</v>
      </c>
      <c r="O441" s="11">
        <f>(Table1[[#This Row],[Living_Cost_Index]]/123.3)*1850</f>
        <v>1017.2749391727493</v>
      </c>
      <c r="P441" s="11">
        <f>Table1[[#This Row],[Monthly_Estimated_Living_cost]]*12</f>
        <v>12207.299270072992</v>
      </c>
      <c r="Q441" s="13">
        <f>Table1[[#This Row],[Tuition_USD]]+Table1[[#This Row],[Rent_USD]]+Table1[[#This Row],[Insurance_USD]]+Table1[[#This Row],[Visa_Fee_USD]]+Table1[[#This Row],[Annual_Estimated_Living_cost]]</f>
        <v>14317.299270072992</v>
      </c>
    </row>
    <row r="442" spans="1:17" x14ac:dyDescent="0.25">
      <c r="A442" s="2" t="s">
        <v>21</v>
      </c>
      <c r="B442" s="1" t="s">
        <v>315</v>
      </c>
      <c r="C442" s="1" t="s">
        <v>316</v>
      </c>
      <c r="D442" s="1" t="s">
        <v>99</v>
      </c>
      <c r="E442" s="1" t="s">
        <v>16</v>
      </c>
      <c r="F442" s="1">
        <v>2</v>
      </c>
      <c r="G442" s="1" t="str">
        <f>CONCATENATE(Table1[[#This Row],[Duration_Years]]," ","years")</f>
        <v>2 years</v>
      </c>
      <c r="H442" s="11">
        <v>35000</v>
      </c>
      <c r="I442" s="1">
        <v>64.5</v>
      </c>
      <c r="J442" s="11">
        <v>1100</v>
      </c>
      <c r="K442" s="11">
        <v>235</v>
      </c>
      <c r="L442" s="11">
        <v>750</v>
      </c>
      <c r="M442" s="22">
        <v>1.35</v>
      </c>
      <c r="N442" s="3" t="str">
        <f>IF(Table1[[#This Row],[Exchange_Rate]]&lt;5,"Strong Currency", IF(Table1[[#This Row],[Exchange_Rate]]&lt;=1000, "Medium Currency","Weak Currency"))</f>
        <v>Strong Currency</v>
      </c>
      <c r="O442" s="11">
        <f>(Table1[[#This Row],[Living_Cost_Index]]/123.3)*1850</f>
        <v>967.7615571776156</v>
      </c>
      <c r="P442" s="11">
        <f>Table1[[#This Row],[Monthly_Estimated_Living_cost]]*12</f>
        <v>11613.138686131388</v>
      </c>
      <c r="Q442" s="13">
        <f>Table1[[#This Row],[Tuition_USD]]+Table1[[#This Row],[Rent_USD]]+Table1[[#This Row],[Insurance_USD]]+Table1[[#This Row],[Visa_Fee_USD]]+Table1[[#This Row],[Annual_Estimated_Living_cost]]</f>
        <v>48698.138686131388</v>
      </c>
    </row>
    <row r="443" spans="1:17" x14ac:dyDescent="0.25">
      <c r="A443" s="2" t="s">
        <v>25</v>
      </c>
      <c r="B443" s="1" t="s">
        <v>229</v>
      </c>
      <c r="C443" s="1" t="s">
        <v>230</v>
      </c>
      <c r="D443" s="1" t="s">
        <v>51</v>
      </c>
      <c r="E443" s="1" t="s">
        <v>75</v>
      </c>
      <c r="F443" s="1">
        <v>3</v>
      </c>
      <c r="G443" s="1" t="str">
        <f>CONCATENATE(Table1[[#This Row],[Duration_Years]]," ","years")</f>
        <v>3 years</v>
      </c>
      <c r="H443" s="11">
        <v>26000</v>
      </c>
      <c r="I443" s="1">
        <v>62.1</v>
      </c>
      <c r="J443" s="11">
        <v>900</v>
      </c>
      <c r="K443" s="11">
        <v>450</v>
      </c>
      <c r="L443" s="11">
        <v>650</v>
      </c>
      <c r="M443" s="22">
        <v>1.52</v>
      </c>
      <c r="N443" s="3" t="str">
        <f>IF(Table1[[#This Row],[Exchange_Rate]]&lt;5,"Strong Currency", IF(Table1[[#This Row],[Exchange_Rate]]&lt;=1000, "Medium Currency","Weak Currency"))</f>
        <v>Strong Currency</v>
      </c>
      <c r="O443" s="11">
        <f>(Table1[[#This Row],[Living_Cost_Index]]/123.3)*1850</f>
        <v>931.75182481751835</v>
      </c>
      <c r="P443" s="11">
        <f>Table1[[#This Row],[Monthly_Estimated_Living_cost]]*12</f>
        <v>11181.02189781022</v>
      </c>
      <c r="Q443" s="13">
        <f>Table1[[#This Row],[Tuition_USD]]+Table1[[#This Row],[Rent_USD]]+Table1[[#This Row],[Insurance_USD]]+Table1[[#This Row],[Visa_Fee_USD]]+Table1[[#This Row],[Annual_Estimated_Living_cost]]</f>
        <v>39181.02189781022</v>
      </c>
    </row>
    <row r="444" spans="1:17" x14ac:dyDescent="0.25">
      <c r="A444" s="2" t="s">
        <v>12</v>
      </c>
      <c r="B444" s="1" t="s">
        <v>147</v>
      </c>
      <c r="C444" s="1" t="s">
        <v>148</v>
      </c>
      <c r="D444" s="1" t="s">
        <v>628</v>
      </c>
      <c r="E444" s="1" t="s">
        <v>1353</v>
      </c>
      <c r="F444" s="1">
        <v>5</v>
      </c>
      <c r="G444" s="1" t="str">
        <f>CONCATENATE(Table1[[#This Row],[Duration_Years]]," ","years")</f>
        <v>5 years</v>
      </c>
      <c r="H444" s="11">
        <v>49000</v>
      </c>
      <c r="I444" s="1">
        <v>75.599999999999994</v>
      </c>
      <c r="J444" s="11">
        <v>1900</v>
      </c>
      <c r="K444" s="11">
        <v>160</v>
      </c>
      <c r="L444" s="11">
        <v>1500</v>
      </c>
      <c r="M444" s="22">
        <v>1</v>
      </c>
      <c r="N444" s="3" t="str">
        <f>IF(Table1[[#This Row],[Exchange_Rate]]&lt;5,"Strong Currency", IF(Table1[[#This Row],[Exchange_Rate]]&lt;=1000, "Medium Currency","Weak Currency"))</f>
        <v>Strong Currency</v>
      </c>
      <c r="O444" s="11">
        <f>(Table1[[#This Row],[Living_Cost_Index]]/123.3)*1850</f>
        <v>1134.3065693430656</v>
      </c>
      <c r="P444" s="11">
        <f>Table1[[#This Row],[Monthly_Estimated_Living_cost]]*12</f>
        <v>13611.678832116788</v>
      </c>
      <c r="Q444" s="13">
        <f>Table1[[#This Row],[Tuition_USD]]+Table1[[#This Row],[Rent_USD]]+Table1[[#This Row],[Insurance_USD]]+Table1[[#This Row],[Visa_Fee_USD]]+Table1[[#This Row],[Annual_Estimated_Living_cost]]</f>
        <v>66171.678832116784</v>
      </c>
    </row>
    <row r="445" spans="1:17" x14ac:dyDescent="0.25">
      <c r="A445" s="2" t="s">
        <v>17</v>
      </c>
      <c r="B445" s="1" t="s">
        <v>277</v>
      </c>
      <c r="C445" s="1" t="s">
        <v>531</v>
      </c>
      <c r="D445" s="1" t="s">
        <v>28</v>
      </c>
      <c r="E445" s="1" t="s">
        <v>16</v>
      </c>
      <c r="F445" s="1">
        <v>2</v>
      </c>
      <c r="G445" s="1" t="str">
        <f>CONCATENATE(Table1[[#This Row],[Duration_Years]]," ","years")</f>
        <v>2 years</v>
      </c>
      <c r="H445" s="11">
        <v>35000</v>
      </c>
      <c r="I445" s="1">
        <v>63.4</v>
      </c>
      <c r="J445" s="11">
        <v>900</v>
      </c>
      <c r="K445" s="11">
        <v>485</v>
      </c>
      <c r="L445" s="11">
        <v>800</v>
      </c>
      <c r="M445" s="22">
        <v>0.79</v>
      </c>
      <c r="N445" s="3" t="str">
        <f>IF(Table1[[#This Row],[Exchange_Rate]]&lt;5,"Strong Currency", IF(Table1[[#This Row],[Exchange_Rate]]&lt;=1000, "Medium Currency","Weak Currency"))</f>
        <v>Strong Currency</v>
      </c>
      <c r="O445" s="11">
        <f>(Table1[[#This Row],[Living_Cost_Index]]/123.3)*1850</f>
        <v>951.25709651257091</v>
      </c>
      <c r="P445" s="11">
        <f>Table1[[#This Row],[Monthly_Estimated_Living_cost]]*12</f>
        <v>11415.08515815085</v>
      </c>
      <c r="Q445" s="13">
        <f>Table1[[#This Row],[Tuition_USD]]+Table1[[#This Row],[Rent_USD]]+Table1[[#This Row],[Insurance_USD]]+Table1[[#This Row],[Visa_Fee_USD]]+Table1[[#This Row],[Annual_Estimated_Living_cost]]</f>
        <v>48600.085158150847</v>
      </c>
    </row>
    <row r="446" spans="1:17" x14ac:dyDescent="0.25">
      <c r="A446" s="2" t="s">
        <v>29</v>
      </c>
      <c r="B446" s="1" t="s">
        <v>252</v>
      </c>
      <c r="C446" s="1" t="s">
        <v>253</v>
      </c>
      <c r="D446" s="1" t="s">
        <v>15</v>
      </c>
      <c r="E446" s="1" t="s">
        <v>75</v>
      </c>
      <c r="F446" s="1">
        <v>3</v>
      </c>
      <c r="G446" s="1" t="str">
        <f>CONCATENATE(Table1[[#This Row],[Duration_Years]]," ","years")</f>
        <v>3 years</v>
      </c>
      <c r="H446" s="11">
        <v>0</v>
      </c>
      <c r="I446" s="1">
        <v>68.900000000000006</v>
      </c>
      <c r="J446" s="11">
        <v>1000</v>
      </c>
      <c r="K446" s="11">
        <v>110</v>
      </c>
      <c r="L446" s="11">
        <v>900</v>
      </c>
      <c r="M446" s="22">
        <v>0.92</v>
      </c>
      <c r="N446" s="3" t="str">
        <f>IF(Table1[[#This Row],[Exchange_Rate]]&lt;5,"Strong Currency", IF(Table1[[#This Row],[Exchange_Rate]]&lt;=1000, "Medium Currency","Weak Currency"))</f>
        <v>Strong Currency</v>
      </c>
      <c r="O446" s="11">
        <f>(Table1[[#This Row],[Living_Cost_Index]]/123.3)*1850</f>
        <v>1033.779399837794</v>
      </c>
      <c r="P446" s="11">
        <f>Table1[[#This Row],[Monthly_Estimated_Living_cost]]*12</f>
        <v>12405.352798053529</v>
      </c>
      <c r="Q446" s="13">
        <f>Table1[[#This Row],[Tuition_USD]]+Table1[[#This Row],[Rent_USD]]+Table1[[#This Row],[Insurance_USD]]+Table1[[#This Row],[Visa_Fee_USD]]+Table1[[#This Row],[Annual_Estimated_Living_cost]]</f>
        <v>14415.352798053529</v>
      </c>
    </row>
    <row r="447" spans="1:17" x14ac:dyDescent="0.25">
      <c r="A447" s="2" t="s">
        <v>21</v>
      </c>
      <c r="B447" s="1" t="s">
        <v>319</v>
      </c>
      <c r="C447" s="1" t="s">
        <v>320</v>
      </c>
      <c r="D447" s="1" t="s">
        <v>20</v>
      </c>
      <c r="E447" s="1" t="s">
        <v>16</v>
      </c>
      <c r="F447" s="1">
        <v>2</v>
      </c>
      <c r="G447" s="1" t="str">
        <f>CONCATENATE(Table1[[#This Row],[Duration_Years]]," ","years")</f>
        <v>2 years</v>
      </c>
      <c r="H447" s="11">
        <v>33000</v>
      </c>
      <c r="I447" s="1">
        <v>61.2</v>
      </c>
      <c r="J447" s="11">
        <v>900</v>
      </c>
      <c r="K447" s="11">
        <v>235</v>
      </c>
      <c r="L447" s="11">
        <v>750</v>
      </c>
      <c r="M447" s="22">
        <v>1.35</v>
      </c>
      <c r="N447" s="3" t="str">
        <f>IF(Table1[[#This Row],[Exchange_Rate]]&lt;5,"Strong Currency", IF(Table1[[#This Row],[Exchange_Rate]]&lt;=1000, "Medium Currency","Weak Currency"))</f>
        <v>Strong Currency</v>
      </c>
      <c r="O447" s="11">
        <f>(Table1[[#This Row],[Living_Cost_Index]]/123.3)*1850</f>
        <v>918.24817518248187</v>
      </c>
      <c r="P447" s="11">
        <f>Table1[[#This Row],[Monthly_Estimated_Living_cost]]*12</f>
        <v>11018.978102189783</v>
      </c>
      <c r="Q447" s="13">
        <f>Table1[[#This Row],[Tuition_USD]]+Table1[[#This Row],[Rent_USD]]+Table1[[#This Row],[Insurance_USD]]+Table1[[#This Row],[Visa_Fee_USD]]+Table1[[#This Row],[Annual_Estimated_Living_cost]]</f>
        <v>45903.97810218978</v>
      </c>
    </row>
    <row r="448" spans="1:17" x14ac:dyDescent="0.25">
      <c r="A448" s="2" t="s">
        <v>25</v>
      </c>
      <c r="B448" s="1" t="s">
        <v>233</v>
      </c>
      <c r="C448" s="1" t="s">
        <v>234</v>
      </c>
      <c r="D448" s="1" t="s">
        <v>99</v>
      </c>
      <c r="E448" s="1" t="s">
        <v>1353</v>
      </c>
      <c r="F448" s="1">
        <v>4</v>
      </c>
      <c r="G448" s="1" t="str">
        <f>CONCATENATE(Table1[[#This Row],[Duration_Years]]," ","years")</f>
        <v>4 years</v>
      </c>
      <c r="H448" s="11">
        <v>28000</v>
      </c>
      <c r="I448" s="1">
        <v>63.4</v>
      </c>
      <c r="J448" s="11">
        <v>950</v>
      </c>
      <c r="K448" s="11">
        <v>450</v>
      </c>
      <c r="L448" s="11">
        <v>650</v>
      </c>
      <c r="M448" s="22">
        <v>1.52</v>
      </c>
      <c r="N448" s="3" t="str">
        <f>IF(Table1[[#This Row],[Exchange_Rate]]&lt;5,"Strong Currency", IF(Table1[[#This Row],[Exchange_Rate]]&lt;=1000, "Medium Currency","Weak Currency"))</f>
        <v>Strong Currency</v>
      </c>
      <c r="O448" s="11">
        <f>(Table1[[#This Row],[Living_Cost_Index]]/123.3)*1850</f>
        <v>951.25709651257091</v>
      </c>
      <c r="P448" s="11">
        <f>Table1[[#This Row],[Monthly_Estimated_Living_cost]]*12</f>
        <v>11415.08515815085</v>
      </c>
      <c r="Q448" s="13">
        <f>Table1[[#This Row],[Tuition_USD]]+Table1[[#This Row],[Rent_USD]]+Table1[[#This Row],[Insurance_USD]]+Table1[[#This Row],[Visa_Fee_USD]]+Table1[[#This Row],[Annual_Estimated_Living_cost]]</f>
        <v>41465.085158150847</v>
      </c>
    </row>
    <row r="449" spans="1:17" x14ac:dyDescent="0.25">
      <c r="A449" s="2" t="s">
        <v>12</v>
      </c>
      <c r="B449" s="1" t="s">
        <v>638</v>
      </c>
      <c r="C449" s="1" t="s">
        <v>639</v>
      </c>
      <c r="D449" s="1" t="s">
        <v>20</v>
      </c>
      <c r="E449" s="1" t="s">
        <v>16</v>
      </c>
      <c r="F449" s="1">
        <v>2</v>
      </c>
      <c r="G449" s="1" t="str">
        <f>CONCATENATE(Table1[[#This Row],[Duration_Years]]," ","years")</f>
        <v>2 years</v>
      </c>
      <c r="H449" s="11">
        <v>52000</v>
      </c>
      <c r="I449" s="1">
        <v>95.2</v>
      </c>
      <c r="J449" s="11">
        <v>2400</v>
      </c>
      <c r="K449" s="11">
        <v>160</v>
      </c>
      <c r="L449" s="11">
        <v>1500</v>
      </c>
      <c r="M449" s="22">
        <v>1</v>
      </c>
      <c r="N449" s="3" t="str">
        <f>IF(Table1[[#This Row],[Exchange_Rate]]&lt;5,"Strong Currency", IF(Table1[[#This Row],[Exchange_Rate]]&lt;=1000, "Medium Currency","Weak Currency"))</f>
        <v>Strong Currency</v>
      </c>
      <c r="O449" s="11">
        <f>(Table1[[#This Row],[Living_Cost_Index]]/123.3)*1850</f>
        <v>1428.3860502838606</v>
      </c>
      <c r="P449" s="11">
        <f>Table1[[#This Row],[Monthly_Estimated_Living_cost]]*12</f>
        <v>17140.632603406328</v>
      </c>
      <c r="Q449" s="13">
        <f>Table1[[#This Row],[Tuition_USD]]+Table1[[#This Row],[Rent_USD]]+Table1[[#This Row],[Insurance_USD]]+Table1[[#This Row],[Visa_Fee_USD]]+Table1[[#This Row],[Annual_Estimated_Living_cost]]</f>
        <v>73200.632603406324</v>
      </c>
    </row>
    <row r="450" spans="1:17" x14ac:dyDescent="0.25">
      <c r="A450" s="2" t="s">
        <v>17</v>
      </c>
      <c r="B450" s="1" t="s">
        <v>18</v>
      </c>
      <c r="C450" s="1" t="s">
        <v>528</v>
      </c>
      <c r="D450" s="1" t="s">
        <v>15</v>
      </c>
      <c r="E450" s="1" t="s">
        <v>16</v>
      </c>
      <c r="F450" s="1">
        <v>1</v>
      </c>
      <c r="G450" s="1" t="str">
        <f>CONCATENATE(Table1[[#This Row],[Duration_Years]]," ","years")</f>
        <v>1 years</v>
      </c>
      <c r="H450" s="11">
        <v>39000</v>
      </c>
      <c r="I450" s="1">
        <v>75.3</v>
      </c>
      <c r="J450" s="11">
        <v>1900</v>
      </c>
      <c r="K450" s="11">
        <v>485</v>
      </c>
      <c r="L450" s="11">
        <v>800</v>
      </c>
      <c r="M450" s="22">
        <v>0.79</v>
      </c>
      <c r="N450" s="3" t="str">
        <f>IF(Table1[[#This Row],[Exchange_Rate]]&lt;5,"Strong Currency", IF(Table1[[#This Row],[Exchange_Rate]]&lt;=1000, "Medium Currency","Weak Currency"))</f>
        <v>Strong Currency</v>
      </c>
      <c r="O450" s="11">
        <f>(Table1[[#This Row],[Living_Cost_Index]]/123.3)*1850</f>
        <v>1129.8053527980535</v>
      </c>
      <c r="P450" s="11">
        <f>Table1[[#This Row],[Monthly_Estimated_Living_cost]]*12</f>
        <v>13557.664233576641</v>
      </c>
      <c r="Q450" s="13">
        <f>Table1[[#This Row],[Tuition_USD]]+Table1[[#This Row],[Rent_USD]]+Table1[[#This Row],[Insurance_USD]]+Table1[[#This Row],[Visa_Fee_USD]]+Table1[[#This Row],[Annual_Estimated_Living_cost]]</f>
        <v>55742.664233576637</v>
      </c>
    </row>
    <row r="451" spans="1:17" x14ac:dyDescent="0.25">
      <c r="A451" s="2" t="s">
        <v>48</v>
      </c>
      <c r="B451" s="1" t="s">
        <v>49</v>
      </c>
      <c r="C451" s="1" t="s">
        <v>50</v>
      </c>
      <c r="D451" s="1" t="s">
        <v>15</v>
      </c>
      <c r="E451" s="1" t="s">
        <v>16</v>
      </c>
      <c r="F451" s="1">
        <v>2</v>
      </c>
      <c r="G451" s="1" t="str">
        <f>CONCATENATE(Table1[[#This Row],[Duration_Years]]," ","years")</f>
        <v>2 years</v>
      </c>
      <c r="H451" s="11">
        <v>1500</v>
      </c>
      <c r="I451" s="1">
        <v>122.4</v>
      </c>
      <c r="J451" s="11">
        <v>2000</v>
      </c>
      <c r="K451" s="11">
        <v>140</v>
      </c>
      <c r="L451" s="11">
        <v>1200</v>
      </c>
      <c r="M451" s="22">
        <v>0.89</v>
      </c>
      <c r="N451" s="3" t="str">
        <f>IF(Table1[[#This Row],[Exchange_Rate]]&lt;5,"Strong Currency", IF(Table1[[#This Row],[Exchange_Rate]]&lt;=1000, "Medium Currency","Weak Currency"))</f>
        <v>Strong Currency</v>
      </c>
      <c r="O451" s="11">
        <f>(Table1[[#This Row],[Living_Cost_Index]]/123.3)*1850</f>
        <v>1836.4963503649637</v>
      </c>
      <c r="P451" s="11">
        <f>Table1[[#This Row],[Monthly_Estimated_Living_cost]]*12</f>
        <v>22037.956204379567</v>
      </c>
      <c r="Q451" s="13">
        <f>Table1[[#This Row],[Tuition_USD]]+Table1[[#This Row],[Rent_USD]]+Table1[[#This Row],[Insurance_USD]]+Table1[[#This Row],[Visa_Fee_USD]]+Table1[[#This Row],[Annual_Estimated_Living_cost]]</f>
        <v>26877.956204379567</v>
      </c>
    </row>
    <row r="452" spans="1:17" x14ac:dyDescent="0.25">
      <c r="A452" s="2" t="s">
        <v>44</v>
      </c>
      <c r="B452" s="1" t="s">
        <v>45</v>
      </c>
      <c r="C452" s="1" t="s">
        <v>46</v>
      </c>
      <c r="D452" s="1" t="s">
        <v>71</v>
      </c>
      <c r="E452" s="1" t="s">
        <v>16</v>
      </c>
      <c r="F452" s="1">
        <v>2</v>
      </c>
      <c r="G452" s="1" t="str">
        <f>CONCATENATE(Table1[[#This Row],[Duration_Years]]," ","years")</f>
        <v>2 years</v>
      </c>
      <c r="H452" s="11">
        <v>4500</v>
      </c>
      <c r="I452" s="1">
        <v>84.3</v>
      </c>
      <c r="J452" s="11">
        <v>1800</v>
      </c>
      <c r="K452" s="11">
        <v>99</v>
      </c>
      <c r="L452" s="11">
        <v>850</v>
      </c>
      <c r="M452" s="22">
        <v>0.92</v>
      </c>
      <c r="N452" s="3" t="str">
        <f>IF(Table1[[#This Row],[Exchange_Rate]]&lt;5,"Strong Currency", IF(Table1[[#This Row],[Exchange_Rate]]&lt;=1000, "Medium Currency","Weak Currency"))</f>
        <v>Strong Currency</v>
      </c>
      <c r="O452" s="11">
        <f>(Table1[[#This Row],[Living_Cost_Index]]/123.3)*1850</f>
        <v>1264.8418491484183</v>
      </c>
      <c r="P452" s="11">
        <f>Table1[[#This Row],[Monthly_Estimated_Living_cost]]*12</f>
        <v>15178.102189781021</v>
      </c>
      <c r="Q452" s="13">
        <f>Table1[[#This Row],[Tuition_USD]]+Table1[[#This Row],[Rent_USD]]+Table1[[#This Row],[Insurance_USD]]+Table1[[#This Row],[Visa_Fee_USD]]+Table1[[#This Row],[Annual_Estimated_Living_cost]]</f>
        <v>22427.102189781021</v>
      </c>
    </row>
    <row r="453" spans="1:17" x14ac:dyDescent="0.25">
      <c r="A453" s="2" t="s">
        <v>68</v>
      </c>
      <c r="B453" s="1" t="s">
        <v>69</v>
      </c>
      <c r="C453" s="1" t="s">
        <v>70</v>
      </c>
      <c r="D453" s="1" t="s">
        <v>15</v>
      </c>
      <c r="E453" s="1" t="s">
        <v>1353</v>
      </c>
      <c r="F453" s="1">
        <v>4</v>
      </c>
      <c r="G453" s="1" t="str">
        <f>CONCATENATE(Table1[[#This Row],[Duration_Years]]," ","years")</f>
        <v>4 years</v>
      </c>
      <c r="H453" s="11">
        <v>18900</v>
      </c>
      <c r="I453" s="1">
        <v>83.6</v>
      </c>
      <c r="J453" s="11">
        <v>1700</v>
      </c>
      <c r="K453" s="11">
        <v>150</v>
      </c>
      <c r="L453" s="11">
        <v>750</v>
      </c>
      <c r="M453" s="22">
        <v>0.92</v>
      </c>
      <c r="N453" s="3" t="str">
        <f>IF(Table1[[#This Row],[Exchange_Rate]]&lt;5,"Strong Currency", IF(Table1[[#This Row],[Exchange_Rate]]&lt;=1000, "Medium Currency","Weak Currency"))</f>
        <v>Strong Currency</v>
      </c>
      <c r="O453" s="11">
        <f>(Table1[[#This Row],[Living_Cost_Index]]/123.3)*1850</f>
        <v>1254.3390105433903</v>
      </c>
      <c r="P453" s="11">
        <f>Table1[[#This Row],[Monthly_Estimated_Living_cost]]*12</f>
        <v>15052.068126520684</v>
      </c>
      <c r="Q453" s="13">
        <f>Table1[[#This Row],[Tuition_USD]]+Table1[[#This Row],[Rent_USD]]+Table1[[#This Row],[Insurance_USD]]+Table1[[#This Row],[Visa_Fee_USD]]+Table1[[#This Row],[Annual_Estimated_Living_cost]]</f>
        <v>36552.06812652068</v>
      </c>
    </row>
    <row r="454" spans="1:17" x14ac:dyDescent="0.25">
      <c r="A454" s="2" t="s">
        <v>12</v>
      </c>
      <c r="B454" s="1" t="s">
        <v>271</v>
      </c>
      <c r="C454" s="1" t="s">
        <v>272</v>
      </c>
      <c r="D454" s="1" t="s">
        <v>20</v>
      </c>
      <c r="E454" s="1" t="s">
        <v>16</v>
      </c>
      <c r="F454" s="1">
        <v>2</v>
      </c>
      <c r="G454" s="1" t="str">
        <f>CONCATENATE(Table1[[#This Row],[Duration_Years]]," ","years")</f>
        <v>2 years</v>
      </c>
      <c r="H454" s="11">
        <v>58000</v>
      </c>
      <c r="I454" s="1">
        <v>84.1</v>
      </c>
      <c r="J454" s="11">
        <v>1900</v>
      </c>
      <c r="K454" s="11">
        <v>160</v>
      </c>
      <c r="L454" s="11">
        <v>1500</v>
      </c>
      <c r="M454" s="22">
        <v>1</v>
      </c>
      <c r="N454" s="3" t="str">
        <f>IF(Table1[[#This Row],[Exchange_Rate]]&lt;5,"Strong Currency", IF(Table1[[#This Row],[Exchange_Rate]]&lt;=1000, "Medium Currency","Weak Currency"))</f>
        <v>Strong Currency</v>
      </c>
      <c r="O454" s="11">
        <f>(Table1[[#This Row],[Living_Cost_Index]]/123.3)*1850</f>
        <v>1261.8410381184103</v>
      </c>
      <c r="P454" s="11">
        <f>Table1[[#This Row],[Monthly_Estimated_Living_cost]]*12</f>
        <v>15142.092457420924</v>
      </c>
      <c r="Q454" s="13">
        <f>Table1[[#This Row],[Tuition_USD]]+Table1[[#This Row],[Rent_USD]]+Table1[[#This Row],[Insurance_USD]]+Table1[[#This Row],[Visa_Fee_USD]]+Table1[[#This Row],[Annual_Estimated_Living_cost]]</f>
        <v>76702.09245742092</v>
      </c>
    </row>
    <row r="455" spans="1:17" x14ac:dyDescent="0.25">
      <c r="A455" s="2" t="s">
        <v>17</v>
      </c>
      <c r="B455" s="1" t="s">
        <v>13</v>
      </c>
      <c r="C455" s="1" t="s">
        <v>640</v>
      </c>
      <c r="D455" s="1" t="s">
        <v>71</v>
      </c>
      <c r="E455" s="1" t="s">
        <v>75</v>
      </c>
      <c r="F455" s="1">
        <v>3</v>
      </c>
      <c r="G455" s="1" t="str">
        <f>CONCATENATE(Table1[[#This Row],[Duration_Years]]," ","years")</f>
        <v>3 years</v>
      </c>
      <c r="H455" s="11">
        <v>35000</v>
      </c>
      <c r="I455" s="1">
        <v>71.2</v>
      </c>
      <c r="J455" s="11">
        <v>1500</v>
      </c>
      <c r="K455" s="11">
        <v>485</v>
      </c>
      <c r="L455" s="11">
        <v>800</v>
      </c>
      <c r="M455" s="22">
        <v>0.79</v>
      </c>
      <c r="N455" s="3" t="str">
        <f>IF(Table1[[#This Row],[Exchange_Rate]]&lt;5,"Strong Currency", IF(Table1[[#This Row],[Exchange_Rate]]&lt;=1000, "Medium Currency","Weak Currency"))</f>
        <v>Strong Currency</v>
      </c>
      <c r="O455" s="11">
        <f>(Table1[[#This Row],[Living_Cost_Index]]/123.3)*1850</f>
        <v>1068.2887266828873</v>
      </c>
      <c r="P455" s="11">
        <f>Table1[[#This Row],[Monthly_Estimated_Living_cost]]*12</f>
        <v>12819.464720194646</v>
      </c>
      <c r="Q455" s="13">
        <f>Table1[[#This Row],[Tuition_USD]]+Table1[[#This Row],[Rent_USD]]+Table1[[#This Row],[Insurance_USD]]+Table1[[#This Row],[Visa_Fee_USD]]+Table1[[#This Row],[Annual_Estimated_Living_cost]]</f>
        <v>50604.46472019465</v>
      </c>
    </row>
    <row r="456" spans="1:17" x14ac:dyDescent="0.25">
      <c r="A456" s="2" t="s">
        <v>48</v>
      </c>
      <c r="B456" s="1" t="s">
        <v>437</v>
      </c>
      <c r="C456" s="1" t="s">
        <v>438</v>
      </c>
      <c r="D456" s="1" t="s">
        <v>15</v>
      </c>
      <c r="E456" s="1" t="s">
        <v>1353</v>
      </c>
      <c r="F456" s="1">
        <v>4</v>
      </c>
      <c r="G456" s="1" t="str">
        <f>CONCATENATE(Table1[[#This Row],[Duration_Years]]," ","years")</f>
        <v>4 years</v>
      </c>
      <c r="H456" s="11">
        <v>1500</v>
      </c>
      <c r="I456" s="1">
        <v>119.8</v>
      </c>
      <c r="J456" s="11">
        <v>1900</v>
      </c>
      <c r="K456" s="11">
        <v>140</v>
      </c>
      <c r="L456" s="11">
        <v>1200</v>
      </c>
      <c r="M456" s="22">
        <v>0.89</v>
      </c>
      <c r="N456" s="3" t="str">
        <f>IF(Table1[[#This Row],[Exchange_Rate]]&lt;5,"Strong Currency", IF(Table1[[#This Row],[Exchange_Rate]]&lt;=1000, "Medium Currency","Weak Currency"))</f>
        <v>Strong Currency</v>
      </c>
      <c r="O456" s="11">
        <f>(Table1[[#This Row],[Living_Cost_Index]]/123.3)*1850</f>
        <v>1797.485806974858</v>
      </c>
      <c r="P456" s="11">
        <f>Table1[[#This Row],[Monthly_Estimated_Living_cost]]*12</f>
        <v>21569.829683698295</v>
      </c>
      <c r="Q456" s="13">
        <f>Table1[[#This Row],[Tuition_USD]]+Table1[[#This Row],[Rent_USD]]+Table1[[#This Row],[Insurance_USD]]+Table1[[#This Row],[Visa_Fee_USD]]+Table1[[#This Row],[Annual_Estimated_Living_cost]]</f>
        <v>26309.829683698295</v>
      </c>
    </row>
    <row r="457" spans="1:17" x14ac:dyDescent="0.25">
      <c r="A457" s="2" t="s">
        <v>44</v>
      </c>
      <c r="B457" s="1" t="s">
        <v>420</v>
      </c>
      <c r="C457" s="1" t="s">
        <v>641</v>
      </c>
      <c r="D457" s="1" t="s">
        <v>20</v>
      </c>
      <c r="E457" s="1" t="s">
        <v>16</v>
      </c>
      <c r="F457" s="1">
        <v>2</v>
      </c>
      <c r="G457" s="1" t="str">
        <f>CONCATENATE(Table1[[#This Row],[Duration_Years]]," ","years")</f>
        <v>2 years</v>
      </c>
      <c r="H457" s="11">
        <v>4200</v>
      </c>
      <c r="I457" s="1">
        <v>75.599999999999994</v>
      </c>
      <c r="J457" s="11">
        <v>1200</v>
      </c>
      <c r="K457" s="11">
        <v>99</v>
      </c>
      <c r="L457" s="11">
        <v>850</v>
      </c>
      <c r="M457" s="22">
        <v>0.92</v>
      </c>
      <c r="N457" s="3" t="str">
        <f>IF(Table1[[#This Row],[Exchange_Rate]]&lt;5,"Strong Currency", IF(Table1[[#This Row],[Exchange_Rate]]&lt;=1000, "Medium Currency","Weak Currency"))</f>
        <v>Strong Currency</v>
      </c>
      <c r="O457" s="11">
        <f>(Table1[[#This Row],[Living_Cost_Index]]/123.3)*1850</f>
        <v>1134.3065693430656</v>
      </c>
      <c r="P457" s="11">
        <f>Table1[[#This Row],[Monthly_Estimated_Living_cost]]*12</f>
        <v>13611.678832116788</v>
      </c>
      <c r="Q457" s="13">
        <f>Table1[[#This Row],[Tuition_USD]]+Table1[[#This Row],[Rent_USD]]+Table1[[#This Row],[Insurance_USD]]+Table1[[#This Row],[Visa_Fee_USD]]+Table1[[#This Row],[Annual_Estimated_Living_cost]]</f>
        <v>19960.678832116788</v>
      </c>
    </row>
    <row r="458" spans="1:17" x14ac:dyDescent="0.25">
      <c r="A458" s="2" t="s">
        <v>68</v>
      </c>
      <c r="B458" s="1" t="s">
        <v>642</v>
      </c>
      <c r="C458" s="1" t="s">
        <v>643</v>
      </c>
      <c r="D458" s="1" t="s">
        <v>15</v>
      </c>
      <c r="E458" s="1" t="s">
        <v>16</v>
      </c>
      <c r="F458" s="1">
        <v>2</v>
      </c>
      <c r="G458" s="1" t="str">
        <f>CONCATENATE(Table1[[#This Row],[Duration_Years]]," ","years")</f>
        <v>2 years</v>
      </c>
      <c r="H458" s="11">
        <v>16800</v>
      </c>
      <c r="I458" s="1">
        <v>75.400000000000006</v>
      </c>
      <c r="J458" s="11">
        <v>1300</v>
      </c>
      <c r="K458" s="11">
        <v>150</v>
      </c>
      <c r="L458" s="11">
        <v>750</v>
      </c>
      <c r="M458" s="22">
        <v>0.92</v>
      </c>
      <c r="N458" s="3" t="str">
        <f>IF(Table1[[#This Row],[Exchange_Rate]]&lt;5,"Strong Currency", IF(Table1[[#This Row],[Exchange_Rate]]&lt;=1000, "Medium Currency","Weak Currency"))</f>
        <v>Strong Currency</v>
      </c>
      <c r="O458" s="11">
        <f>(Table1[[#This Row],[Living_Cost_Index]]/123.3)*1850</f>
        <v>1131.3057583130576</v>
      </c>
      <c r="P458" s="11">
        <f>Table1[[#This Row],[Monthly_Estimated_Living_cost]]*12</f>
        <v>13575.669099756691</v>
      </c>
      <c r="Q458" s="13">
        <f>Table1[[#This Row],[Tuition_USD]]+Table1[[#This Row],[Rent_USD]]+Table1[[#This Row],[Insurance_USD]]+Table1[[#This Row],[Visa_Fee_USD]]+Table1[[#This Row],[Annual_Estimated_Living_cost]]</f>
        <v>32575.669099756691</v>
      </c>
    </row>
    <row r="459" spans="1:17" x14ac:dyDescent="0.25">
      <c r="A459" s="2" t="s">
        <v>12</v>
      </c>
      <c r="B459" s="1" t="s">
        <v>122</v>
      </c>
      <c r="C459" s="1" t="s">
        <v>644</v>
      </c>
      <c r="D459" s="1" t="s">
        <v>71</v>
      </c>
      <c r="E459" s="1" t="s">
        <v>16</v>
      </c>
      <c r="F459" s="1">
        <v>2</v>
      </c>
      <c r="G459" s="1" t="str">
        <f>CONCATENATE(Table1[[#This Row],[Duration_Years]]," ","years")</f>
        <v>2 years</v>
      </c>
      <c r="H459" s="11">
        <v>54000</v>
      </c>
      <c r="I459" s="1">
        <v>82.1</v>
      </c>
      <c r="J459" s="11">
        <v>2200</v>
      </c>
      <c r="K459" s="11">
        <v>160</v>
      </c>
      <c r="L459" s="11">
        <v>1500</v>
      </c>
      <c r="M459" s="22">
        <v>1</v>
      </c>
      <c r="N459" s="3" t="str">
        <f>IF(Table1[[#This Row],[Exchange_Rate]]&lt;5,"Strong Currency", IF(Table1[[#This Row],[Exchange_Rate]]&lt;=1000, "Medium Currency","Weak Currency"))</f>
        <v>Strong Currency</v>
      </c>
      <c r="O459" s="11">
        <f>(Table1[[#This Row],[Living_Cost_Index]]/123.3)*1850</f>
        <v>1231.8329278183292</v>
      </c>
      <c r="P459" s="11">
        <f>Table1[[#This Row],[Monthly_Estimated_Living_cost]]*12</f>
        <v>14781.99513381995</v>
      </c>
      <c r="Q459" s="13">
        <f>Table1[[#This Row],[Tuition_USD]]+Table1[[#This Row],[Rent_USD]]+Table1[[#This Row],[Insurance_USD]]+Table1[[#This Row],[Visa_Fee_USD]]+Table1[[#This Row],[Annual_Estimated_Living_cost]]</f>
        <v>72641.995133819946</v>
      </c>
    </row>
    <row r="460" spans="1:17" x14ac:dyDescent="0.25">
      <c r="A460" s="2" t="s">
        <v>17</v>
      </c>
      <c r="B460" s="1" t="s">
        <v>529</v>
      </c>
      <c r="C460" s="1" t="s">
        <v>557</v>
      </c>
      <c r="D460" s="1" t="s">
        <v>15</v>
      </c>
      <c r="E460" s="1" t="s">
        <v>16</v>
      </c>
      <c r="F460" s="1">
        <v>1</v>
      </c>
      <c r="G460" s="1" t="str">
        <f>CONCATENATE(Table1[[#This Row],[Duration_Years]]," ","years")</f>
        <v>1 years</v>
      </c>
      <c r="H460" s="11">
        <v>37000</v>
      </c>
      <c r="I460" s="1">
        <v>67.8</v>
      </c>
      <c r="J460" s="11">
        <v>1200</v>
      </c>
      <c r="K460" s="11">
        <v>485</v>
      </c>
      <c r="L460" s="11">
        <v>800</v>
      </c>
      <c r="M460" s="22">
        <v>0.79</v>
      </c>
      <c r="N460" s="3" t="str">
        <f>IF(Table1[[#This Row],[Exchange_Rate]]&lt;5,"Strong Currency", IF(Table1[[#This Row],[Exchange_Rate]]&lt;=1000, "Medium Currency","Weak Currency"))</f>
        <v>Strong Currency</v>
      </c>
      <c r="O460" s="11">
        <f>(Table1[[#This Row],[Living_Cost_Index]]/123.3)*1850</f>
        <v>1017.2749391727493</v>
      </c>
      <c r="P460" s="11">
        <f>Table1[[#This Row],[Monthly_Estimated_Living_cost]]*12</f>
        <v>12207.299270072992</v>
      </c>
      <c r="Q460" s="13">
        <f>Table1[[#This Row],[Tuition_USD]]+Table1[[#This Row],[Rent_USD]]+Table1[[#This Row],[Insurance_USD]]+Table1[[#This Row],[Visa_Fee_USD]]+Table1[[#This Row],[Annual_Estimated_Living_cost]]</f>
        <v>51692.299270072996</v>
      </c>
    </row>
    <row r="461" spans="1:17" x14ac:dyDescent="0.25">
      <c r="A461" s="2" t="s">
        <v>48</v>
      </c>
      <c r="B461" s="1" t="s">
        <v>439</v>
      </c>
      <c r="C461" s="1" t="s">
        <v>440</v>
      </c>
      <c r="D461" s="1" t="s">
        <v>20</v>
      </c>
      <c r="E461" s="1" t="s">
        <v>16</v>
      </c>
      <c r="F461" s="1">
        <v>2</v>
      </c>
      <c r="G461" s="1" t="str">
        <f>CONCATENATE(Table1[[#This Row],[Duration_Years]]," ","years")</f>
        <v>2 years</v>
      </c>
      <c r="H461" s="11">
        <v>1500</v>
      </c>
      <c r="I461" s="1">
        <v>116.5</v>
      </c>
      <c r="J461" s="11">
        <v>1800</v>
      </c>
      <c r="K461" s="11">
        <v>140</v>
      </c>
      <c r="L461" s="11">
        <v>1200</v>
      </c>
      <c r="M461" s="22">
        <v>0.89</v>
      </c>
      <c r="N461" s="3" t="str">
        <f>IF(Table1[[#This Row],[Exchange_Rate]]&lt;5,"Strong Currency", IF(Table1[[#This Row],[Exchange_Rate]]&lt;=1000, "Medium Currency","Weak Currency"))</f>
        <v>Strong Currency</v>
      </c>
      <c r="O461" s="11">
        <f>(Table1[[#This Row],[Living_Cost_Index]]/123.3)*1850</f>
        <v>1747.9724249797243</v>
      </c>
      <c r="P461" s="11">
        <f>Table1[[#This Row],[Monthly_Estimated_Living_cost]]*12</f>
        <v>20975.669099756691</v>
      </c>
      <c r="Q461" s="13">
        <f>Table1[[#This Row],[Tuition_USD]]+Table1[[#This Row],[Rent_USD]]+Table1[[#This Row],[Insurance_USD]]+Table1[[#This Row],[Visa_Fee_USD]]+Table1[[#This Row],[Annual_Estimated_Living_cost]]</f>
        <v>25615.669099756691</v>
      </c>
    </row>
    <row r="462" spans="1:17" x14ac:dyDescent="0.25">
      <c r="A462" s="2" t="s">
        <v>44</v>
      </c>
      <c r="B462" s="1" t="s">
        <v>418</v>
      </c>
      <c r="C462" s="1" t="s">
        <v>645</v>
      </c>
      <c r="D462" s="1" t="s">
        <v>15</v>
      </c>
      <c r="E462" s="1" t="s">
        <v>75</v>
      </c>
      <c r="F462" s="1">
        <v>3</v>
      </c>
      <c r="G462" s="1" t="str">
        <f>CONCATENATE(Table1[[#This Row],[Duration_Years]]," ","years")</f>
        <v>3 years</v>
      </c>
      <c r="H462" s="11">
        <v>4000</v>
      </c>
      <c r="I462" s="1">
        <v>71.2</v>
      </c>
      <c r="J462" s="11">
        <v>900</v>
      </c>
      <c r="K462" s="11">
        <v>99</v>
      </c>
      <c r="L462" s="11">
        <v>850</v>
      </c>
      <c r="M462" s="22">
        <v>0.92</v>
      </c>
      <c r="N462" s="3" t="str">
        <f>IF(Table1[[#This Row],[Exchange_Rate]]&lt;5,"Strong Currency", IF(Table1[[#This Row],[Exchange_Rate]]&lt;=1000, "Medium Currency","Weak Currency"))</f>
        <v>Strong Currency</v>
      </c>
      <c r="O462" s="11">
        <f>(Table1[[#This Row],[Living_Cost_Index]]/123.3)*1850</f>
        <v>1068.2887266828873</v>
      </c>
      <c r="P462" s="11">
        <f>Table1[[#This Row],[Monthly_Estimated_Living_cost]]*12</f>
        <v>12819.464720194646</v>
      </c>
      <c r="Q462" s="13">
        <f>Table1[[#This Row],[Tuition_USD]]+Table1[[#This Row],[Rent_USD]]+Table1[[#This Row],[Insurance_USD]]+Table1[[#This Row],[Visa_Fee_USD]]+Table1[[#This Row],[Annual_Estimated_Living_cost]]</f>
        <v>18668.464720194646</v>
      </c>
    </row>
    <row r="463" spans="1:17" x14ac:dyDescent="0.25">
      <c r="A463" s="2" t="s">
        <v>68</v>
      </c>
      <c r="B463" s="1" t="s">
        <v>163</v>
      </c>
      <c r="C463" s="1" t="s">
        <v>164</v>
      </c>
      <c r="D463" s="1" t="s">
        <v>71</v>
      </c>
      <c r="E463" s="1" t="s">
        <v>16</v>
      </c>
      <c r="F463" s="1">
        <v>2</v>
      </c>
      <c r="G463" s="1" t="str">
        <f>CONCATENATE(Table1[[#This Row],[Duration_Years]]," ","years")</f>
        <v>2 years</v>
      </c>
      <c r="H463" s="11">
        <v>15900</v>
      </c>
      <c r="I463" s="1">
        <v>72.3</v>
      </c>
      <c r="J463" s="11">
        <v>1100</v>
      </c>
      <c r="K463" s="11">
        <v>150</v>
      </c>
      <c r="L463" s="11">
        <v>750</v>
      </c>
      <c r="M463" s="22">
        <v>0.92</v>
      </c>
      <c r="N463" s="3" t="str">
        <f>IF(Table1[[#This Row],[Exchange_Rate]]&lt;5,"Strong Currency", IF(Table1[[#This Row],[Exchange_Rate]]&lt;=1000, "Medium Currency","Weak Currency"))</f>
        <v>Strong Currency</v>
      </c>
      <c r="O463" s="11">
        <f>(Table1[[#This Row],[Living_Cost_Index]]/123.3)*1850</f>
        <v>1084.7931873479317</v>
      </c>
      <c r="P463" s="11">
        <f>Table1[[#This Row],[Monthly_Estimated_Living_cost]]*12</f>
        <v>13017.51824817518</v>
      </c>
      <c r="Q463" s="13">
        <f>Table1[[#This Row],[Tuition_USD]]+Table1[[#This Row],[Rent_USD]]+Table1[[#This Row],[Insurance_USD]]+Table1[[#This Row],[Visa_Fee_USD]]+Table1[[#This Row],[Annual_Estimated_Living_cost]]</f>
        <v>30917.51824817518</v>
      </c>
    </row>
    <row r="464" spans="1:17" x14ac:dyDescent="0.25">
      <c r="A464" s="2" t="s">
        <v>12</v>
      </c>
      <c r="B464" s="1" t="s">
        <v>149</v>
      </c>
      <c r="C464" s="1" t="s">
        <v>150</v>
      </c>
      <c r="D464" s="1" t="s">
        <v>20</v>
      </c>
      <c r="E464" s="1" t="s">
        <v>1353</v>
      </c>
      <c r="F464" s="1">
        <v>4</v>
      </c>
      <c r="G464" s="1" t="str">
        <f>CONCATENATE(Table1[[#This Row],[Duration_Years]]," ","years")</f>
        <v>4 years</v>
      </c>
      <c r="H464" s="11">
        <v>51000</v>
      </c>
      <c r="I464" s="1">
        <v>77.8</v>
      </c>
      <c r="J464" s="11">
        <v>2100</v>
      </c>
      <c r="K464" s="11">
        <v>160</v>
      </c>
      <c r="L464" s="11">
        <v>1500</v>
      </c>
      <c r="M464" s="22">
        <v>1</v>
      </c>
      <c r="N464" s="3" t="str">
        <f>IF(Table1[[#This Row],[Exchange_Rate]]&lt;5,"Strong Currency", IF(Table1[[#This Row],[Exchange_Rate]]&lt;=1000, "Medium Currency","Weak Currency"))</f>
        <v>Strong Currency</v>
      </c>
      <c r="O464" s="11">
        <f>(Table1[[#This Row],[Living_Cost_Index]]/123.3)*1850</f>
        <v>1167.315490673155</v>
      </c>
      <c r="P464" s="11">
        <f>Table1[[#This Row],[Monthly_Estimated_Living_cost]]*12</f>
        <v>14007.785888077859</v>
      </c>
      <c r="Q464" s="13">
        <f>Table1[[#This Row],[Tuition_USD]]+Table1[[#This Row],[Rent_USD]]+Table1[[#This Row],[Insurance_USD]]+Table1[[#This Row],[Visa_Fee_USD]]+Table1[[#This Row],[Annual_Estimated_Living_cost]]</f>
        <v>68767.785888077866</v>
      </c>
    </row>
    <row r="465" spans="1:17" x14ac:dyDescent="0.25">
      <c r="A465" s="2" t="s">
        <v>17</v>
      </c>
      <c r="B465" s="1" t="s">
        <v>296</v>
      </c>
      <c r="C465" s="1" t="s">
        <v>297</v>
      </c>
      <c r="D465" s="1" t="s">
        <v>15</v>
      </c>
      <c r="E465" s="1" t="s">
        <v>16</v>
      </c>
      <c r="F465" s="1">
        <v>1</v>
      </c>
      <c r="G465" s="1" t="str">
        <f>CONCATENATE(Table1[[#This Row],[Duration_Years]]," ","years")</f>
        <v>1 years</v>
      </c>
      <c r="H465" s="11">
        <v>36000</v>
      </c>
      <c r="I465" s="1">
        <v>65.400000000000006</v>
      </c>
      <c r="J465" s="11">
        <v>1100</v>
      </c>
      <c r="K465" s="11">
        <v>485</v>
      </c>
      <c r="L465" s="11">
        <v>800</v>
      </c>
      <c r="M465" s="22">
        <v>0.79</v>
      </c>
      <c r="N465" s="3" t="str">
        <f>IF(Table1[[#This Row],[Exchange_Rate]]&lt;5,"Strong Currency", IF(Table1[[#This Row],[Exchange_Rate]]&lt;=1000, "Medium Currency","Weak Currency"))</f>
        <v>Strong Currency</v>
      </c>
      <c r="O465" s="11">
        <f>(Table1[[#This Row],[Living_Cost_Index]]/123.3)*1850</f>
        <v>981.26520681265208</v>
      </c>
      <c r="P465" s="11">
        <f>Table1[[#This Row],[Monthly_Estimated_Living_cost]]*12</f>
        <v>11775.182481751825</v>
      </c>
      <c r="Q465" s="13">
        <f>Table1[[#This Row],[Tuition_USD]]+Table1[[#This Row],[Rent_USD]]+Table1[[#This Row],[Insurance_USD]]+Table1[[#This Row],[Visa_Fee_USD]]+Table1[[#This Row],[Annual_Estimated_Living_cost]]</f>
        <v>50160.182481751821</v>
      </c>
    </row>
    <row r="466" spans="1:17" x14ac:dyDescent="0.25">
      <c r="A466" s="2" t="s">
        <v>48</v>
      </c>
      <c r="B466" s="1" t="s">
        <v>131</v>
      </c>
      <c r="C466" s="1" t="s">
        <v>452</v>
      </c>
      <c r="D466" s="1" t="s">
        <v>20</v>
      </c>
      <c r="E466" s="1" t="s">
        <v>16</v>
      </c>
      <c r="F466" s="1">
        <v>2</v>
      </c>
      <c r="G466" s="1" t="str">
        <f>CONCATENATE(Table1[[#This Row],[Duration_Years]]," ","years")</f>
        <v>2 years</v>
      </c>
      <c r="H466" s="11">
        <v>1500</v>
      </c>
      <c r="I466" s="1">
        <v>114.3</v>
      </c>
      <c r="J466" s="11">
        <v>1700</v>
      </c>
      <c r="K466" s="11">
        <v>140</v>
      </c>
      <c r="L466" s="11">
        <v>1200</v>
      </c>
      <c r="M466" s="22">
        <v>0.89</v>
      </c>
      <c r="N466" s="3" t="str">
        <f>IF(Table1[[#This Row],[Exchange_Rate]]&lt;5,"Strong Currency", IF(Table1[[#This Row],[Exchange_Rate]]&lt;=1000, "Medium Currency","Weak Currency"))</f>
        <v>Strong Currency</v>
      </c>
      <c r="O466" s="11">
        <f>(Table1[[#This Row],[Living_Cost_Index]]/123.3)*1850</f>
        <v>1714.963503649635</v>
      </c>
      <c r="P466" s="11">
        <f>Table1[[#This Row],[Monthly_Estimated_Living_cost]]*12</f>
        <v>20579.56204379562</v>
      </c>
      <c r="Q466" s="13">
        <f>Table1[[#This Row],[Tuition_USD]]+Table1[[#This Row],[Rent_USD]]+Table1[[#This Row],[Insurance_USD]]+Table1[[#This Row],[Visa_Fee_USD]]+Table1[[#This Row],[Annual_Estimated_Living_cost]]</f>
        <v>25119.56204379562</v>
      </c>
    </row>
    <row r="467" spans="1:17" x14ac:dyDescent="0.25">
      <c r="A467" s="2" t="s">
        <v>44</v>
      </c>
      <c r="B467" s="1" t="s">
        <v>426</v>
      </c>
      <c r="C467" s="1" t="s">
        <v>427</v>
      </c>
      <c r="D467" s="1" t="s">
        <v>71</v>
      </c>
      <c r="E467" s="1" t="s">
        <v>16</v>
      </c>
      <c r="F467" s="1">
        <v>2</v>
      </c>
      <c r="G467" s="1" t="str">
        <f>CONCATENATE(Table1[[#This Row],[Duration_Years]]," ","years")</f>
        <v>2 years</v>
      </c>
      <c r="H467" s="11">
        <v>4300</v>
      </c>
      <c r="I467" s="1">
        <v>72.099999999999994</v>
      </c>
      <c r="J467" s="11">
        <v>1000</v>
      </c>
      <c r="K467" s="11">
        <v>99</v>
      </c>
      <c r="L467" s="11">
        <v>850</v>
      </c>
      <c r="M467" s="22">
        <v>0.92</v>
      </c>
      <c r="N467" s="3" t="str">
        <f>IF(Table1[[#This Row],[Exchange_Rate]]&lt;5,"Strong Currency", IF(Table1[[#This Row],[Exchange_Rate]]&lt;=1000, "Medium Currency","Weak Currency"))</f>
        <v>Strong Currency</v>
      </c>
      <c r="O467" s="11">
        <f>(Table1[[#This Row],[Living_Cost_Index]]/123.3)*1850</f>
        <v>1081.7923763179238</v>
      </c>
      <c r="P467" s="11">
        <f>Table1[[#This Row],[Monthly_Estimated_Living_cost]]*12</f>
        <v>12981.508515815085</v>
      </c>
      <c r="Q467" s="13">
        <f>Table1[[#This Row],[Tuition_USD]]+Table1[[#This Row],[Rent_USD]]+Table1[[#This Row],[Insurance_USD]]+Table1[[#This Row],[Visa_Fee_USD]]+Table1[[#This Row],[Annual_Estimated_Living_cost]]</f>
        <v>19230.508515815083</v>
      </c>
    </row>
    <row r="468" spans="1:17" x14ac:dyDescent="0.25">
      <c r="A468" s="2" t="s">
        <v>68</v>
      </c>
      <c r="B468" s="1" t="s">
        <v>646</v>
      </c>
      <c r="C468" s="1" t="s">
        <v>647</v>
      </c>
      <c r="D468" s="1" t="s">
        <v>15</v>
      </c>
      <c r="E468" s="1" t="s">
        <v>75</v>
      </c>
      <c r="F468" s="1">
        <v>4</v>
      </c>
      <c r="G468" s="1" t="str">
        <f>CONCATENATE(Table1[[#This Row],[Duration_Years]]," ","years")</f>
        <v>4 years</v>
      </c>
      <c r="H468" s="11">
        <v>15400</v>
      </c>
      <c r="I468" s="1">
        <v>71.2</v>
      </c>
      <c r="J468" s="11">
        <v>1000</v>
      </c>
      <c r="K468" s="11">
        <v>150</v>
      </c>
      <c r="L468" s="11">
        <v>750</v>
      </c>
      <c r="M468" s="22">
        <v>0.92</v>
      </c>
      <c r="N468" s="3" t="str">
        <f>IF(Table1[[#This Row],[Exchange_Rate]]&lt;5,"Strong Currency", IF(Table1[[#This Row],[Exchange_Rate]]&lt;=1000, "Medium Currency","Weak Currency"))</f>
        <v>Strong Currency</v>
      </c>
      <c r="O468" s="11">
        <f>(Table1[[#This Row],[Living_Cost_Index]]/123.3)*1850</f>
        <v>1068.2887266828873</v>
      </c>
      <c r="P468" s="11">
        <f>Table1[[#This Row],[Monthly_Estimated_Living_cost]]*12</f>
        <v>12819.464720194646</v>
      </c>
      <c r="Q468" s="13">
        <f>Table1[[#This Row],[Tuition_USD]]+Table1[[#This Row],[Rent_USD]]+Table1[[#This Row],[Insurance_USD]]+Table1[[#This Row],[Visa_Fee_USD]]+Table1[[#This Row],[Annual_Estimated_Living_cost]]</f>
        <v>30119.464720194646</v>
      </c>
    </row>
    <row r="469" spans="1:17" x14ac:dyDescent="0.25">
      <c r="A469" s="2" t="s">
        <v>12</v>
      </c>
      <c r="B469" s="1" t="s">
        <v>94</v>
      </c>
      <c r="C469" s="1" t="s">
        <v>95</v>
      </c>
      <c r="D469" s="1" t="s">
        <v>15</v>
      </c>
      <c r="E469" s="1" t="s">
        <v>16</v>
      </c>
      <c r="F469" s="1">
        <v>2</v>
      </c>
      <c r="G469" s="1" t="str">
        <f>CONCATENATE(Table1[[#This Row],[Duration_Years]]," ","years")</f>
        <v>2 years</v>
      </c>
      <c r="H469" s="11">
        <v>49000</v>
      </c>
      <c r="I469" s="1">
        <v>68.900000000000006</v>
      </c>
      <c r="J469" s="11">
        <v>1800</v>
      </c>
      <c r="K469" s="11">
        <v>160</v>
      </c>
      <c r="L469" s="11">
        <v>1500</v>
      </c>
      <c r="M469" s="22">
        <v>1</v>
      </c>
      <c r="N469" s="3" t="str">
        <f>IF(Table1[[#This Row],[Exchange_Rate]]&lt;5,"Strong Currency", IF(Table1[[#This Row],[Exchange_Rate]]&lt;=1000, "Medium Currency","Weak Currency"))</f>
        <v>Strong Currency</v>
      </c>
      <c r="O469" s="11">
        <f>(Table1[[#This Row],[Living_Cost_Index]]/123.3)*1850</f>
        <v>1033.779399837794</v>
      </c>
      <c r="P469" s="11">
        <f>Table1[[#This Row],[Monthly_Estimated_Living_cost]]*12</f>
        <v>12405.352798053529</v>
      </c>
      <c r="Q469" s="13">
        <f>Table1[[#This Row],[Tuition_USD]]+Table1[[#This Row],[Rent_USD]]+Table1[[#This Row],[Insurance_USD]]+Table1[[#This Row],[Visa_Fee_USD]]+Table1[[#This Row],[Annual_Estimated_Living_cost]]</f>
        <v>64865.352798053529</v>
      </c>
    </row>
    <row r="470" spans="1:17" x14ac:dyDescent="0.25">
      <c r="A470" s="2" t="s">
        <v>17</v>
      </c>
      <c r="B470" s="1" t="s">
        <v>172</v>
      </c>
      <c r="C470" s="1" t="s">
        <v>648</v>
      </c>
      <c r="D470" s="1" t="s">
        <v>20</v>
      </c>
      <c r="E470" s="1" t="s">
        <v>16</v>
      </c>
      <c r="F470" s="1">
        <v>1</v>
      </c>
      <c r="G470" s="1" t="str">
        <f>CONCATENATE(Table1[[#This Row],[Duration_Years]]," ","years")</f>
        <v>1 years</v>
      </c>
      <c r="H470" s="11">
        <v>35000</v>
      </c>
      <c r="I470" s="1">
        <v>65.400000000000006</v>
      </c>
      <c r="J470" s="11">
        <v>1000</v>
      </c>
      <c r="K470" s="11">
        <v>485</v>
      </c>
      <c r="L470" s="11">
        <v>800</v>
      </c>
      <c r="M470" s="22">
        <v>0.79</v>
      </c>
      <c r="N470" s="3" t="str">
        <f>IF(Table1[[#This Row],[Exchange_Rate]]&lt;5,"Strong Currency", IF(Table1[[#This Row],[Exchange_Rate]]&lt;=1000, "Medium Currency","Weak Currency"))</f>
        <v>Strong Currency</v>
      </c>
      <c r="O470" s="11">
        <f>(Table1[[#This Row],[Living_Cost_Index]]/123.3)*1850</f>
        <v>981.26520681265208</v>
      </c>
      <c r="P470" s="11">
        <f>Table1[[#This Row],[Monthly_Estimated_Living_cost]]*12</f>
        <v>11775.182481751825</v>
      </c>
      <c r="Q470" s="13">
        <f>Table1[[#This Row],[Tuition_USD]]+Table1[[#This Row],[Rent_USD]]+Table1[[#This Row],[Insurance_USD]]+Table1[[#This Row],[Visa_Fee_USD]]+Table1[[#This Row],[Annual_Estimated_Living_cost]]</f>
        <v>49060.182481751821</v>
      </c>
    </row>
    <row r="471" spans="1:17" x14ac:dyDescent="0.25">
      <c r="A471" s="2" t="s">
        <v>48</v>
      </c>
      <c r="B471" s="1" t="s">
        <v>443</v>
      </c>
      <c r="C471" s="1" t="s">
        <v>444</v>
      </c>
      <c r="D471" s="1" t="s">
        <v>71</v>
      </c>
      <c r="E471" s="1" t="s">
        <v>16</v>
      </c>
      <c r="F471" s="1">
        <v>2</v>
      </c>
      <c r="G471" s="1" t="str">
        <f>CONCATENATE(Table1[[#This Row],[Duration_Years]]," ","years")</f>
        <v>2 years</v>
      </c>
      <c r="H471" s="11">
        <v>1500</v>
      </c>
      <c r="I471" s="1">
        <v>112.1</v>
      </c>
      <c r="J471" s="11">
        <v>1600</v>
      </c>
      <c r="K471" s="11">
        <v>140</v>
      </c>
      <c r="L471" s="11">
        <v>1200</v>
      </c>
      <c r="M471" s="22">
        <v>0.89</v>
      </c>
      <c r="N471" s="3" t="str">
        <f>IF(Table1[[#This Row],[Exchange_Rate]]&lt;5,"Strong Currency", IF(Table1[[#This Row],[Exchange_Rate]]&lt;=1000, "Medium Currency","Weak Currency"))</f>
        <v>Strong Currency</v>
      </c>
      <c r="O471" s="11">
        <f>(Table1[[#This Row],[Living_Cost_Index]]/123.3)*1850</f>
        <v>1681.9545823195458</v>
      </c>
      <c r="P471" s="11">
        <f>Table1[[#This Row],[Monthly_Estimated_Living_cost]]*12</f>
        <v>20183.45498783455</v>
      </c>
      <c r="Q471" s="13">
        <f>Table1[[#This Row],[Tuition_USD]]+Table1[[#This Row],[Rent_USD]]+Table1[[#This Row],[Insurance_USD]]+Table1[[#This Row],[Visa_Fee_USD]]+Table1[[#This Row],[Annual_Estimated_Living_cost]]</f>
        <v>24623.45498783455</v>
      </c>
    </row>
    <row r="472" spans="1:17" x14ac:dyDescent="0.25">
      <c r="A472" s="2" t="s">
        <v>44</v>
      </c>
      <c r="B472" s="1" t="s">
        <v>424</v>
      </c>
      <c r="C472" s="1" t="s">
        <v>649</v>
      </c>
      <c r="D472" s="1" t="s">
        <v>15</v>
      </c>
      <c r="E472" s="1" t="s">
        <v>16</v>
      </c>
      <c r="F472" s="1">
        <v>2</v>
      </c>
      <c r="G472" s="1" t="str">
        <f>CONCATENATE(Table1[[#This Row],[Duration_Years]]," ","years")</f>
        <v>2 years</v>
      </c>
      <c r="H472" s="11">
        <v>4100</v>
      </c>
      <c r="I472" s="1">
        <v>76.5</v>
      </c>
      <c r="J472" s="11">
        <v>1300</v>
      </c>
      <c r="K472" s="11">
        <v>99</v>
      </c>
      <c r="L472" s="11">
        <v>850</v>
      </c>
      <c r="M472" s="22">
        <v>0.92</v>
      </c>
      <c r="N472" s="3" t="str">
        <f>IF(Table1[[#This Row],[Exchange_Rate]]&lt;5,"Strong Currency", IF(Table1[[#This Row],[Exchange_Rate]]&lt;=1000, "Medium Currency","Weak Currency"))</f>
        <v>Strong Currency</v>
      </c>
      <c r="O472" s="11">
        <f>(Table1[[#This Row],[Living_Cost_Index]]/123.3)*1850</f>
        <v>1147.8102189781023</v>
      </c>
      <c r="P472" s="11">
        <f>Table1[[#This Row],[Monthly_Estimated_Living_cost]]*12</f>
        <v>13773.722627737228</v>
      </c>
      <c r="Q472" s="13">
        <f>Table1[[#This Row],[Tuition_USD]]+Table1[[#This Row],[Rent_USD]]+Table1[[#This Row],[Insurance_USD]]+Table1[[#This Row],[Visa_Fee_USD]]+Table1[[#This Row],[Annual_Estimated_Living_cost]]</f>
        <v>20122.722627737228</v>
      </c>
    </row>
    <row r="473" spans="1:17" x14ac:dyDescent="0.25">
      <c r="A473" s="2" t="s">
        <v>68</v>
      </c>
      <c r="B473" s="1" t="s">
        <v>650</v>
      </c>
      <c r="C473" s="1" t="s">
        <v>651</v>
      </c>
      <c r="D473" s="1" t="s">
        <v>20</v>
      </c>
      <c r="E473" s="1" t="s">
        <v>1353</v>
      </c>
      <c r="F473" s="1">
        <v>4</v>
      </c>
      <c r="G473" s="1" t="str">
        <f>CONCATENATE(Table1[[#This Row],[Duration_Years]]," ","years")</f>
        <v>4 years</v>
      </c>
      <c r="H473" s="11">
        <v>14900</v>
      </c>
      <c r="I473" s="1">
        <v>70.099999999999994</v>
      </c>
      <c r="J473" s="11">
        <v>950</v>
      </c>
      <c r="K473" s="11">
        <v>150</v>
      </c>
      <c r="L473" s="11">
        <v>750</v>
      </c>
      <c r="M473" s="22">
        <v>0.92</v>
      </c>
      <c r="N473" s="3" t="str">
        <f>IF(Table1[[#This Row],[Exchange_Rate]]&lt;5,"Strong Currency", IF(Table1[[#This Row],[Exchange_Rate]]&lt;=1000, "Medium Currency","Weak Currency"))</f>
        <v>Strong Currency</v>
      </c>
      <c r="O473" s="11">
        <f>(Table1[[#This Row],[Living_Cost_Index]]/123.3)*1850</f>
        <v>1051.7842660178426</v>
      </c>
      <c r="P473" s="11">
        <f>Table1[[#This Row],[Monthly_Estimated_Living_cost]]*12</f>
        <v>12621.411192214111</v>
      </c>
      <c r="Q473" s="13">
        <f>Table1[[#This Row],[Tuition_USD]]+Table1[[#This Row],[Rent_USD]]+Table1[[#This Row],[Insurance_USD]]+Table1[[#This Row],[Visa_Fee_USD]]+Table1[[#This Row],[Annual_Estimated_Living_cost]]</f>
        <v>29371.411192214109</v>
      </c>
    </row>
    <row r="474" spans="1:17" x14ac:dyDescent="0.25">
      <c r="A474" s="2" t="s">
        <v>12</v>
      </c>
      <c r="B474" s="1" t="s">
        <v>652</v>
      </c>
      <c r="C474" s="1" t="s">
        <v>653</v>
      </c>
      <c r="D474" s="1" t="s">
        <v>71</v>
      </c>
      <c r="E474" s="1" t="s">
        <v>16</v>
      </c>
      <c r="F474" s="1">
        <v>2</v>
      </c>
      <c r="G474" s="1" t="str">
        <f>CONCATENATE(Table1[[#This Row],[Duration_Years]]," ","years")</f>
        <v>2 years</v>
      </c>
      <c r="H474" s="11">
        <v>47000</v>
      </c>
      <c r="I474" s="1">
        <v>69.8</v>
      </c>
      <c r="J474" s="11">
        <v>1700</v>
      </c>
      <c r="K474" s="11">
        <v>160</v>
      </c>
      <c r="L474" s="11">
        <v>1500</v>
      </c>
      <c r="M474" s="22">
        <v>1</v>
      </c>
      <c r="N474" s="3" t="str">
        <f>IF(Table1[[#This Row],[Exchange_Rate]]&lt;5,"Strong Currency", IF(Table1[[#This Row],[Exchange_Rate]]&lt;=1000, "Medium Currency","Weak Currency"))</f>
        <v>Strong Currency</v>
      </c>
      <c r="O474" s="11">
        <f>(Table1[[#This Row],[Living_Cost_Index]]/123.3)*1850</f>
        <v>1047.2830494728303</v>
      </c>
      <c r="P474" s="11">
        <f>Table1[[#This Row],[Monthly_Estimated_Living_cost]]*12</f>
        <v>12567.396593673962</v>
      </c>
      <c r="Q474" s="13">
        <f>Table1[[#This Row],[Tuition_USD]]+Table1[[#This Row],[Rent_USD]]+Table1[[#This Row],[Insurance_USD]]+Table1[[#This Row],[Visa_Fee_USD]]+Table1[[#This Row],[Annual_Estimated_Living_cost]]</f>
        <v>62927.396593673962</v>
      </c>
    </row>
    <row r="475" spans="1:17" x14ac:dyDescent="0.25">
      <c r="A475" s="2" t="s">
        <v>17</v>
      </c>
      <c r="B475" s="1" t="s">
        <v>290</v>
      </c>
      <c r="C475" s="1" t="s">
        <v>654</v>
      </c>
      <c r="D475" s="1" t="s">
        <v>15</v>
      </c>
      <c r="E475" s="1" t="s">
        <v>75</v>
      </c>
      <c r="F475" s="1">
        <v>3</v>
      </c>
      <c r="G475" s="1" t="str">
        <f>CONCATENATE(Table1[[#This Row],[Duration_Years]]," ","years")</f>
        <v>3 years</v>
      </c>
      <c r="H475" s="11">
        <v>34000</v>
      </c>
      <c r="I475" s="1">
        <v>63.2</v>
      </c>
      <c r="J475" s="11">
        <v>900</v>
      </c>
      <c r="K475" s="11">
        <v>485</v>
      </c>
      <c r="L475" s="11">
        <v>800</v>
      </c>
      <c r="M475" s="22">
        <v>0.79</v>
      </c>
      <c r="N475" s="3" t="str">
        <f>IF(Table1[[#This Row],[Exchange_Rate]]&lt;5,"Strong Currency", IF(Table1[[#This Row],[Exchange_Rate]]&lt;=1000, "Medium Currency","Weak Currency"))</f>
        <v>Strong Currency</v>
      </c>
      <c r="O475" s="11">
        <f>(Table1[[#This Row],[Living_Cost_Index]]/123.3)*1850</f>
        <v>948.25628548256282</v>
      </c>
      <c r="P475" s="11">
        <f>Table1[[#This Row],[Monthly_Estimated_Living_cost]]*12</f>
        <v>11379.075425790754</v>
      </c>
      <c r="Q475" s="13">
        <f>Table1[[#This Row],[Tuition_USD]]+Table1[[#This Row],[Rent_USD]]+Table1[[#This Row],[Insurance_USD]]+Table1[[#This Row],[Visa_Fee_USD]]+Table1[[#This Row],[Annual_Estimated_Living_cost]]</f>
        <v>47564.075425790754</v>
      </c>
    </row>
    <row r="476" spans="1:17" x14ac:dyDescent="0.25">
      <c r="A476" s="2" t="s">
        <v>48</v>
      </c>
      <c r="B476" s="1" t="s">
        <v>441</v>
      </c>
      <c r="C476" s="1" t="s">
        <v>442</v>
      </c>
      <c r="D476" s="1" t="s">
        <v>20</v>
      </c>
      <c r="E476" s="1" t="s">
        <v>16</v>
      </c>
      <c r="F476" s="1">
        <v>2</v>
      </c>
      <c r="G476" s="1" t="str">
        <f>CONCATENATE(Table1[[#This Row],[Duration_Years]]," ","years")</f>
        <v>2 years</v>
      </c>
      <c r="H476" s="11">
        <v>1500</v>
      </c>
      <c r="I476" s="1">
        <v>110.4</v>
      </c>
      <c r="J476" s="11">
        <v>1500</v>
      </c>
      <c r="K476" s="11">
        <v>140</v>
      </c>
      <c r="L476" s="11">
        <v>1200</v>
      </c>
      <c r="M476" s="22">
        <v>0.89</v>
      </c>
      <c r="N476" s="3" t="str">
        <f>IF(Table1[[#This Row],[Exchange_Rate]]&lt;5,"Strong Currency", IF(Table1[[#This Row],[Exchange_Rate]]&lt;=1000, "Medium Currency","Weak Currency"))</f>
        <v>Strong Currency</v>
      </c>
      <c r="O476" s="11">
        <f>(Table1[[#This Row],[Living_Cost_Index]]/123.3)*1850</f>
        <v>1656.4476885644769</v>
      </c>
      <c r="P476" s="11">
        <f>Table1[[#This Row],[Monthly_Estimated_Living_cost]]*12</f>
        <v>19877.372262773722</v>
      </c>
      <c r="Q476" s="13">
        <f>Table1[[#This Row],[Tuition_USD]]+Table1[[#This Row],[Rent_USD]]+Table1[[#This Row],[Insurance_USD]]+Table1[[#This Row],[Visa_Fee_USD]]+Table1[[#This Row],[Annual_Estimated_Living_cost]]</f>
        <v>24217.372262773722</v>
      </c>
    </row>
    <row r="477" spans="1:17" x14ac:dyDescent="0.25">
      <c r="A477" s="2" t="s">
        <v>44</v>
      </c>
      <c r="B477" s="1" t="s">
        <v>428</v>
      </c>
      <c r="C477" s="1" t="s">
        <v>655</v>
      </c>
      <c r="D477" s="1" t="s">
        <v>71</v>
      </c>
      <c r="E477" s="1" t="s">
        <v>1353</v>
      </c>
      <c r="F477" s="1">
        <v>4</v>
      </c>
      <c r="G477" s="1" t="str">
        <f>CONCATENATE(Table1[[#This Row],[Duration_Years]]," ","years")</f>
        <v>4 years</v>
      </c>
      <c r="H477" s="11">
        <v>4200</v>
      </c>
      <c r="I477" s="1">
        <v>69.8</v>
      </c>
      <c r="J477" s="11">
        <v>950</v>
      </c>
      <c r="K477" s="11">
        <v>99</v>
      </c>
      <c r="L477" s="11">
        <v>850</v>
      </c>
      <c r="M477" s="22">
        <v>0.92</v>
      </c>
      <c r="N477" s="3" t="str">
        <f>IF(Table1[[#This Row],[Exchange_Rate]]&lt;5,"Strong Currency", IF(Table1[[#This Row],[Exchange_Rate]]&lt;=1000, "Medium Currency","Weak Currency"))</f>
        <v>Strong Currency</v>
      </c>
      <c r="O477" s="11">
        <f>(Table1[[#This Row],[Living_Cost_Index]]/123.3)*1850</f>
        <v>1047.2830494728303</v>
      </c>
      <c r="P477" s="11">
        <f>Table1[[#This Row],[Monthly_Estimated_Living_cost]]*12</f>
        <v>12567.396593673962</v>
      </c>
      <c r="Q477" s="13">
        <f>Table1[[#This Row],[Tuition_USD]]+Table1[[#This Row],[Rent_USD]]+Table1[[#This Row],[Insurance_USD]]+Table1[[#This Row],[Visa_Fee_USD]]+Table1[[#This Row],[Annual_Estimated_Living_cost]]</f>
        <v>18666.396593673962</v>
      </c>
    </row>
    <row r="478" spans="1:17" x14ac:dyDescent="0.25">
      <c r="A478" s="2" t="s">
        <v>68</v>
      </c>
      <c r="B478" s="1" t="s">
        <v>656</v>
      </c>
      <c r="C478" s="1" t="s">
        <v>657</v>
      </c>
      <c r="D478" s="1" t="s">
        <v>15</v>
      </c>
      <c r="E478" s="1" t="s">
        <v>16</v>
      </c>
      <c r="F478" s="1">
        <v>2</v>
      </c>
      <c r="G478" s="1" t="str">
        <f>CONCATENATE(Table1[[#This Row],[Duration_Years]]," ","years")</f>
        <v>2 years</v>
      </c>
      <c r="H478" s="11">
        <v>14500</v>
      </c>
      <c r="I478" s="1">
        <v>68.900000000000006</v>
      </c>
      <c r="J478" s="11">
        <v>900</v>
      </c>
      <c r="K478" s="11">
        <v>150</v>
      </c>
      <c r="L478" s="11">
        <v>750</v>
      </c>
      <c r="M478" s="22">
        <v>0.92</v>
      </c>
      <c r="N478" s="3" t="str">
        <f>IF(Table1[[#This Row],[Exchange_Rate]]&lt;5,"Strong Currency", IF(Table1[[#This Row],[Exchange_Rate]]&lt;=1000, "Medium Currency","Weak Currency"))</f>
        <v>Strong Currency</v>
      </c>
      <c r="O478" s="11">
        <f>(Table1[[#This Row],[Living_Cost_Index]]/123.3)*1850</f>
        <v>1033.779399837794</v>
      </c>
      <c r="P478" s="11">
        <f>Table1[[#This Row],[Monthly_Estimated_Living_cost]]*12</f>
        <v>12405.352798053529</v>
      </c>
      <c r="Q478" s="13">
        <f>Table1[[#This Row],[Tuition_USD]]+Table1[[#This Row],[Rent_USD]]+Table1[[#This Row],[Insurance_USD]]+Table1[[#This Row],[Visa_Fee_USD]]+Table1[[#This Row],[Annual_Estimated_Living_cost]]</f>
        <v>28705.352798053529</v>
      </c>
    </row>
    <row r="479" spans="1:17" x14ac:dyDescent="0.25">
      <c r="A479" s="2" t="s">
        <v>12</v>
      </c>
      <c r="B479" s="1" t="s">
        <v>658</v>
      </c>
      <c r="C479" s="1" t="s">
        <v>659</v>
      </c>
      <c r="D479" s="1" t="s">
        <v>20</v>
      </c>
      <c r="E479" s="1" t="s">
        <v>16</v>
      </c>
      <c r="F479" s="1">
        <v>2</v>
      </c>
      <c r="G479" s="1" t="str">
        <f>CONCATENATE(Table1[[#This Row],[Duration_Years]]," ","years")</f>
        <v>2 years</v>
      </c>
      <c r="H479" s="11">
        <v>45000</v>
      </c>
      <c r="I479" s="1">
        <v>71.2</v>
      </c>
      <c r="J479" s="11">
        <v>1600</v>
      </c>
      <c r="K479" s="11">
        <v>160</v>
      </c>
      <c r="L479" s="11">
        <v>1500</v>
      </c>
      <c r="M479" s="22">
        <v>1</v>
      </c>
      <c r="N479" s="3" t="str">
        <f>IF(Table1[[#This Row],[Exchange_Rate]]&lt;5,"Strong Currency", IF(Table1[[#This Row],[Exchange_Rate]]&lt;=1000, "Medium Currency","Weak Currency"))</f>
        <v>Strong Currency</v>
      </c>
      <c r="O479" s="11">
        <f>(Table1[[#This Row],[Living_Cost_Index]]/123.3)*1850</f>
        <v>1068.2887266828873</v>
      </c>
      <c r="P479" s="11">
        <f>Table1[[#This Row],[Monthly_Estimated_Living_cost]]*12</f>
        <v>12819.464720194646</v>
      </c>
      <c r="Q479" s="13">
        <f>Table1[[#This Row],[Tuition_USD]]+Table1[[#This Row],[Rent_USD]]+Table1[[#This Row],[Insurance_USD]]+Table1[[#This Row],[Visa_Fee_USD]]+Table1[[#This Row],[Annual_Estimated_Living_cost]]</f>
        <v>61079.46472019465</v>
      </c>
    </row>
    <row r="480" spans="1:17" x14ac:dyDescent="0.25">
      <c r="A480" s="2" t="s">
        <v>17</v>
      </c>
      <c r="B480" s="1" t="s">
        <v>97</v>
      </c>
      <c r="C480" s="1" t="s">
        <v>660</v>
      </c>
      <c r="D480" s="1" t="s">
        <v>15</v>
      </c>
      <c r="E480" s="1" t="s">
        <v>16</v>
      </c>
      <c r="F480" s="1">
        <v>1</v>
      </c>
      <c r="G480" s="1" t="str">
        <f>CONCATENATE(Table1[[#This Row],[Duration_Years]]," ","years")</f>
        <v>1 years</v>
      </c>
      <c r="H480" s="11">
        <v>33000</v>
      </c>
      <c r="I480" s="1">
        <v>68.900000000000006</v>
      </c>
      <c r="J480" s="11">
        <v>1100</v>
      </c>
      <c r="K480" s="11">
        <v>485</v>
      </c>
      <c r="L480" s="11">
        <v>800</v>
      </c>
      <c r="M480" s="22">
        <v>0.79</v>
      </c>
      <c r="N480" s="3" t="str">
        <f>IF(Table1[[#This Row],[Exchange_Rate]]&lt;5,"Strong Currency", IF(Table1[[#This Row],[Exchange_Rate]]&lt;=1000, "Medium Currency","Weak Currency"))</f>
        <v>Strong Currency</v>
      </c>
      <c r="O480" s="11">
        <f>(Table1[[#This Row],[Living_Cost_Index]]/123.3)*1850</f>
        <v>1033.779399837794</v>
      </c>
      <c r="P480" s="11">
        <f>Table1[[#This Row],[Monthly_Estimated_Living_cost]]*12</f>
        <v>12405.352798053529</v>
      </c>
      <c r="Q480" s="13">
        <f>Table1[[#This Row],[Tuition_USD]]+Table1[[#This Row],[Rent_USD]]+Table1[[#This Row],[Insurance_USD]]+Table1[[#This Row],[Visa_Fee_USD]]+Table1[[#This Row],[Annual_Estimated_Living_cost]]</f>
        <v>47790.352798053529</v>
      </c>
    </row>
    <row r="481" spans="1:17" x14ac:dyDescent="0.25">
      <c r="A481" s="2" t="s">
        <v>48</v>
      </c>
      <c r="B481" s="1" t="s">
        <v>446</v>
      </c>
      <c r="C481" s="1" t="s">
        <v>661</v>
      </c>
      <c r="D481" s="1" t="s">
        <v>71</v>
      </c>
      <c r="E481" s="1" t="s">
        <v>16</v>
      </c>
      <c r="F481" s="1">
        <v>2</v>
      </c>
      <c r="G481" s="1" t="str">
        <f>CONCATENATE(Table1[[#This Row],[Duration_Years]]," ","years")</f>
        <v>2 years</v>
      </c>
      <c r="H481" s="11">
        <v>1500</v>
      </c>
      <c r="I481" s="1">
        <v>108.9</v>
      </c>
      <c r="J481" s="11">
        <v>1400</v>
      </c>
      <c r="K481" s="11">
        <v>140</v>
      </c>
      <c r="L481" s="11">
        <v>1200</v>
      </c>
      <c r="M481" s="22">
        <v>0.89</v>
      </c>
      <c r="N481" s="3" t="str">
        <f>IF(Table1[[#This Row],[Exchange_Rate]]&lt;5,"Strong Currency", IF(Table1[[#This Row],[Exchange_Rate]]&lt;=1000, "Medium Currency","Weak Currency"))</f>
        <v>Strong Currency</v>
      </c>
      <c r="O481" s="11">
        <f>(Table1[[#This Row],[Living_Cost_Index]]/123.3)*1850</f>
        <v>1633.9416058394161</v>
      </c>
      <c r="P481" s="11">
        <f>Table1[[#This Row],[Monthly_Estimated_Living_cost]]*12</f>
        <v>19607.299270072992</v>
      </c>
      <c r="Q481" s="13">
        <f>Table1[[#This Row],[Tuition_USD]]+Table1[[#This Row],[Rent_USD]]+Table1[[#This Row],[Insurance_USD]]+Table1[[#This Row],[Visa_Fee_USD]]+Table1[[#This Row],[Annual_Estimated_Living_cost]]</f>
        <v>23847.299270072992</v>
      </c>
    </row>
    <row r="482" spans="1:17" x14ac:dyDescent="0.25">
      <c r="A482" s="2" t="s">
        <v>44</v>
      </c>
      <c r="B482" s="1" t="s">
        <v>432</v>
      </c>
      <c r="C482" s="1" t="s">
        <v>433</v>
      </c>
      <c r="D482" s="1" t="s">
        <v>15</v>
      </c>
      <c r="E482" s="1" t="s">
        <v>16</v>
      </c>
      <c r="F482" s="1">
        <v>2</v>
      </c>
      <c r="G482" s="1" t="str">
        <f>CONCATENATE(Table1[[#This Row],[Duration_Years]]," ","years")</f>
        <v>2 years</v>
      </c>
      <c r="H482" s="11">
        <v>4000</v>
      </c>
      <c r="I482" s="1">
        <v>70.2</v>
      </c>
      <c r="J482" s="11">
        <v>1000</v>
      </c>
      <c r="K482" s="11">
        <v>99</v>
      </c>
      <c r="L482" s="11">
        <v>850</v>
      </c>
      <c r="M482" s="22">
        <v>0.92</v>
      </c>
      <c r="N482" s="3" t="str">
        <f>IF(Table1[[#This Row],[Exchange_Rate]]&lt;5,"Strong Currency", IF(Table1[[#This Row],[Exchange_Rate]]&lt;=1000, "Medium Currency","Weak Currency"))</f>
        <v>Strong Currency</v>
      </c>
      <c r="O482" s="11">
        <f>(Table1[[#This Row],[Living_Cost_Index]]/123.3)*1850</f>
        <v>1053.2846715328469</v>
      </c>
      <c r="P482" s="11">
        <f>Table1[[#This Row],[Monthly_Estimated_Living_cost]]*12</f>
        <v>12639.416058394163</v>
      </c>
      <c r="Q482" s="13">
        <f>Table1[[#This Row],[Tuition_USD]]+Table1[[#This Row],[Rent_USD]]+Table1[[#This Row],[Insurance_USD]]+Table1[[#This Row],[Visa_Fee_USD]]+Table1[[#This Row],[Annual_Estimated_Living_cost]]</f>
        <v>18588.416058394163</v>
      </c>
    </row>
    <row r="483" spans="1:17" x14ac:dyDescent="0.25">
      <c r="A483" s="2" t="s">
        <v>68</v>
      </c>
      <c r="B483" s="1" t="s">
        <v>662</v>
      </c>
      <c r="C483" s="1" t="s">
        <v>663</v>
      </c>
      <c r="D483" s="1" t="s">
        <v>20</v>
      </c>
      <c r="E483" s="1" t="s">
        <v>75</v>
      </c>
      <c r="F483" s="1">
        <v>4</v>
      </c>
      <c r="G483" s="1" t="str">
        <f>CONCATENATE(Table1[[#This Row],[Duration_Years]]," ","years")</f>
        <v>4 years</v>
      </c>
      <c r="H483" s="11">
        <v>14000</v>
      </c>
      <c r="I483" s="1">
        <v>67.5</v>
      </c>
      <c r="J483" s="11">
        <v>850</v>
      </c>
      <c r="K483" s="11">
        <v>150</v>
      </c>
      <c r="L483" s="11">
        <v>750</v>
      </c>
      <c r="M483" s="22">
        <v>0.92</v>
      </c>
      <c r="N483" s="3" t="str">
        <f>IF(Table1[[#This Row],[Exchange_Rate]]&lt;5,"Strong Currency", IF(Table1[[#This Row],[Exchange_Rate]]&lt;=1000, "Medium Currency","Weak Currency"))</f>
        <v>Strong Currency</v>
      </c>
      <c r="O483" s="11">
        <f>(Table1[[#This Row],[Living_Cost_Index]]/123.3)*1850</f>
        <v>1012.7737226277372</v>
      </c>
      <c r="P483" s="11">
        <f>Table1[[#This Row],[Monthly_Estimated_Living_cost]]*12</f>
        <v>12153.284671532847</v>
      </c>
      <c r="Q483" s="13">
        <f>Table1[[#This Row],[Tuition_USD]]+Table1[[#This Row],[Rent_USD]]+Table1[[#This Row],[Insurance_USD]]+Table1[[#This Row],[Visa_Fee_USD]]+Table1[[#This Row],[Annual_Estimated_Living_cost]]</f>
        <v>27903.284671532849</v>
      </c>
    </row>
    <row r="484" spans="1:17" x14ac:dyDescent="0.25">
      <c r="A484" s="2" t="s">
        <v>12</v>
      </c>
      <c r="B484" s="1" t="s">
        <v>285</v>
      </c>
      <c r="C484" s="1" t="s">
        <v>286</v>
      </c>
      <c r="D484" s="1" t="s">
        <v>15</v>
      </c>
      <c r="E484" s="1" t="s">
        <v>1353</v>
      </c>
      <c r="F484" s="1">
        <v>4</v>
      </c>
      <c r="G484" s="1" t="str">
        <f>CONCATENATE(Table1[[#This Row],[Duration_Years]]," ","years")</f>
        <v>4 years</v>
      </c>
      <c r="H484" s="11">
        <v>48000</v>
      </c>
      <c r="I484" s="1">
        <v>72.3</v>
      </c>
      <c r="J484" s="11">
        <v>1700</v>
      </c>
      <c r="K484" s="11">
        <v>160</v>
      </c>
      <c r="L484" s="11">
        <v>1500</v>
      </c>
      <c r="M484" s="22">
        <v>1</v>
      </c>
      <c r="N484" s="3" t="str">
        <f>IF(Table1[[#This Row],[Exchange_Rate]]&lt;5,"Strong Currency", IF(Table1[[#This Row],[Exchange_Rate]]&lt;=1000, "Medium Currency","Weak Currency"))</f>
        <v>Strong Currency</v>
      </c>
      <c r="O484" s="11">
        <f>(Table1[[#This Row],[Living_Cost_Index]]/123.3)*1850</f>
        <v>1084.7931873479317</v>
      </c>
      <c r="P484" s="11">
        <f>Table1[[#This Row],[Monthly_Estimated_Living_cost]]*12</f>
        <v>13017.51824817518</v>
      </c>
      <c r="Q484" s="13">
        <f>Table1[[#This Row],[Tuition_USD]]+Table1[[#This Row],[Rent_USD]]+Table1[[#This Row],[Insurance_USD]]+Table1[[#This Row],[Visa_Fee_USD]]+Table1[[#This Row],[Annual_Estimated_Living_cost]]</f>
        <v>64377.518248175184</v>
      </c>
    </row>
    <row r="485" spans="1:17" x14ac:dyDescent="0.25">
      <c r="A485" s="2" t="s">
        <v>17</v>
      </c>
      <c r="B485" s="1" t="s">
        <v>303</v>
      </c>
      <c r="C485" s="1" t="s">
        <v>304</v>
      </c>
      <c r="D485" s="1" t="s">
        <v>71</v>
      </c>
      <c r="E485" s="1" t="s">
        <v>16</v>
      </c>
      <c r="F485" s="1">
        <v>1</v>
      </c>
      <c r="G485" s="1" t="str">
        <f>CONCATENATE(Table1[[#This Row],[Duration_Years]]," ","years")</f>
        <v>1 years</v>
      </c>
      <c r="H485" s="11">
        <v>34000</v>
      </c>
      <c r="I485" s="1">
        <v>64.5</v>
      </c>
      <c r="J485" s="11">
        <v>950</v>
      </c>
      <c r="K485" s="11">
        <v>485</v>
      </c>
      <c r="L485" s="11">
        <v>800</v>
      </c>
      <c r="M485" s="22">
        <v>0.79</v>
      </c>
      <c r="N485" s="3" t="str">
        <f>IF(Table1[[#This Row],[Exchange_Rate]]&lt;5,"Strong Currency", IF(Table1[[#This Row],[Exchange_Rate]]&lt;=1000, "Medium Currency","Weak Currency"))</f>
        <v>Strong Currency</v>
      </c>
      <c r="O485" s="11">
        <f>(Table1[[#This Row],[Living_Cost_Index]]/123.3)*1850</f>
        <v>967.7615571776156</v>
      </c>
      <c r="P485" s="11">
        <f>Table1[[#This Row],[Monthly_Estimated_Living_cost]]*12</f>
        <v>11613.138686131388</v>
      </c>
      <c r="Q485" s="13">
        <f>Table1[[#This Row],[Tuition_USD]]+Table1[[#This Row],[Rent_USD]]+Table1[[#This Row],[Insurance_USD]]+Table1[[#This Row],[Visa_Fee_USD]]+Table1[[#This Row],[Annual_Estimated_Living_cost]]</f>
        <v>47848.138686131388</v>
      </c>
    </row>
    <row r="486" spans="1:17" x14ac:dyDescent="0.25">
      <c r="A486" s="2" t="s">
        <v>48</v>
      </c>
      <c r="B486" s="1" t="s">
        <v>448</v>
      </c>
      <c r="C486" s="1" t="s">
        <v>449</v>
      </c>
      <c r="D486" s="1" t="s">
        <v>15</v>
      </c>
      <c r="E486" s="1" t="s">
        <v>16</v>
      </c>
      <c r="F486" s="1">
        <v>2</v>
      </c>
      <c r="G486" s="1" t="str">
        <f>CONCATENATE(Table1[[#This Row],[Duration_Years]]," ","years")</f>
        <v>2 years</v>
      </c>
      <c r="H486" s="11">
        <v>1500</v>
      </c>
      <c r="I486" s="1">
        <v>107.8</v>
      </c>
      <c r="J486" s="11">
        <v>1300</v>
      </c>
      <c r="K486" s="11">
        <v>140</v>
      </c>
      <c r="L486" s="11">
        <v>1200</v>
      </c>
      <c r="M486" s="22">
        <v>0.89</v>
      </c>
      <c r="N486" s="3" t="str">
        <f>IF(Table1[[#This Row],[Exchange_Rate]]&lt;5,"Strong Currency", IF(Table1[[#This Row],[Exchange_Rate]]&lt;=1000, "Medium Currency","Weak Currency"))</f>
        <v>Strong Currency</v>
      </c>
      <c r="O486" s="11">
        <f>(Table1[[#This Row],[Living_Cost_Index]]/123.3)*1850</f>
        <v>1617.4371451743714</v>
      </c>
      <c r="P486" s="11">
        <f>Table1[[#This Row],[Monthly_Estimated_Living_cost]]*12</f>
        <v>19409.245742092455</v>
      </c>
      <c r="Q486" s="13">
        <f>Table1[[#This Row],[Tuition_USD]]+Table1[[#This Row],[Rent_USD]]+Table1[[#This Row],[Insurance_USD]]+Table1[[#This Row],[Visa_Fee_USD]]+Table1[[#This Row],[Annual_Estimated_Living_cost]]</f>
        <v>23549.245742092455</v>
      </c>
    </row>
    <row r="487" spans="1:17" x14ac:dyDescent="0.25">
      <c r="A487" s="2" t="s">
        <v>44</v>
      </c>
      <c r="B487" s="1" t="s">
        <v>422</v>
      </c>
      <c r="C487" s="1" t="s">
        <v>423</v>
      </c>
      <c r="D487" s="1" t="s">
        <v>20</v>
      </c>
      <c r="E487" s="1" t="s">
        <v>16</v>
      </c>
      <c r="F487" s="1">
        <v>2</v>
      </c>
      <c r="G487" s="1" t="str">
        <f>CONCATENATE(Table1[[#This Row],[Duration_Years]]," ","years")</f>
        <v>2 years</v>
      </c>
      <c r="H487" s="11">
        <v>4100</v>
      </c>
      <c r="I487" s="1">
        <v>71.5</v>
      </c>
      <c r="J487" s="11">
        <v>1100</v>
      </c>
      <c r="K487" s="11">
        <v>99</v>
      </c>
      <c r="L487" s="11">
        <v>850</v>
      </c>
      <c r="M487" s="22">
        <v>0.92</v>
      </c>
      <c r="N487" s="3" t="str">
        <f>IF(Table1[[#This Row],[Exchange_Rate]]&lt;5,"Strong Currency", IF(Table1[[#This Row],[Exchange_Rate]]&lt;=1000, "Medium Currency","Weak Currency"))</f>
        <v>Strong Currency</v>
      </c>
      <c r="O487" s="11">
        <f>(Table1[[#This Row],[Living_Cost_Index]]/123.3)*1850</f>
        <v>1072.7899432278994</v>
      </c>
      <c r="P487" s="11">
        <f>Table1[[#This Row],[Monthly_Estimated_Living_cost]]*12</f>
        <v>12873.479318734793</v>
      </c>
      <c r="Q487" s="13">
        <f>Table1[[#This Row],[Tuition_USD]]+Table1[[#This Row],[Rent_USD]]+Table1[[#This Row],[Insurance_USD]]+Table1[[#This Row],[Visa_Fee_USD]]+Table1[[#This Row],[Annual_Estimated_Living_cost]]</f>
        <v>19022.479318734793</v>
      </c>
    </row>
    <row r="488" spans="1:17" x14ac:dyDescent="0.25">
      <c r="A488" s="2" t="s">
        <v>68</v>
      </c>
      <c r="B488" s="1" t="s">
        <v>664</v>
      </c>
      <c r="C488" s="1" t="s">
        <v>665</v>
      </c>
      <c r="D488" s="1" t="s">
        <v>71</v>
      </c>
      <c r="E488" s="1" t="s">
        <v>16</v>
      </c>
      <c r="F488" s="1">
        <v>2</v>
      </c>
      <c r="G488" s="1" t="str">
        <f>CONCATENATE(Table1[[#This Row],[Duration_Years]]," ","years")</f>
        <v>2 years</v>
      </c>
      <c r="H488" s="11">
        <v>13800</v>
      </c>
      <c r="I488" s="1">
        <v>66.7</v>
      </c>
      <c r="J488" s="11">
        <v>800</v>
      </c>
      <c r="K488" s="11">
        <v>150</v>
      </c>
      <c r="L488" s="11">
        <v>750</v>
      </c>
      <c r="M488" s="22">
        <v>0.92</v>
      </c>
      <c r="N488" s="3" t="str">
        <f>IF(Table1[[#This Row],[Exchange_Rate]]&lt;5,"Strong Currency", IF(Table1[[#This Row],[Exchange_Rate]]&lt;=1000, "Medium Currency","Weak Currency"))</f>
        <v>Strong Currency</v>
      </c>
      <c r="O488" s="11">
        <f>(Table1[[#This Row],[Living_Cost_Index]]/123.3)*1850</f>
        <v>1000.7704785077049</v>
      </c>
      <c r="P488" s="11">
        <f>Table1[[#This Row],[Monthly_Estimated_Living_cost]]*12</f>
        <v>12009.245742092458</v>
      </c>
      <c r="Q488" s="13">
        <f>Table1[[#This Row],[Tuition_USD]]+Table1[[#This Row],[Rent_USD]]+Table1[[#This Row],[Insurance_USD]]+Table1[[#This Row],[Visa_Fee_USD]]+Table1[[#This Row],[Annual_Estimated_Living_cost]]</f>
        <v>27509.245742092458</v>
      </c>
    </row>
    <row r="489" spans="1:17" x14ac:dyDescent="0.25">
      <c r="A489" s="2" t="s">
        <v>195</v>
      </c>
      <c r="B489" s="1" t="s">
        <v>196</v>
      </c>
      <c r="C489" s="1" t="s">
        <v>197</v>
      </c>
      <c r="D489" s="1" t="s">
        <v>15</v>
      </c>
      <c r="E489" s="1" t="s">
        <v>16</v>
      </c>
      <c r="F489" s="1">
        <v>2</v>
      </c>
      <c r="G489" s="1" t="str">
        <f>CONCATENATE(Table1[[#This Row],[Duration_Years]]," ","years")</f>
        <v>2 years</v>
      </c>
      <c r="H489" s="11">
        <v>0</v>
      </c>
      <c r="I489" s="1">
        <v>83.2</v>
      </c>
      <c r="J489" s="11">
        <v>1400</v>
      </c>
      <c r="K489" s="11">
        <v>275</v>
      </c>
      <c r="L489" s="11">
        <v>700</v>
      </c>
      <c r="M489" s="22">
        <v>10.45</v>
      </c>
      <c r="N489" s="3" t="str">
        <f>IF(Table1[[#This Row],[Exchange_Rate]]&lt;5,"Strong Currency", IF(Table1[[#This Row],[Exchange_Rate]]&lt;=1000, "Medium Currency","Weak Currency"))</f>
        <v>Medium Currency</v>
      </c>
      <c r="O489" s="11">
        <f>(Table1[[#This Row],[Living_Cost_Index]]/123.3)*1850</f>
        <v>1248.3373884833738</v>
      </c>
      <c r="P489" s="11">
        <f>Table1[[#This Row],[Monthly_Estimated_Living_cost]]*12</f>
        <v>14980.048661800487</v>
      </c>
      <c r="Q489" s="13">
        <f>Table1[[#This Row],[Tuition_USD]]+Table1[[#This Row],[Rent_USD]]+Table1[[#This Row],[Insurance_USD]]+Table1[[#This Row],[Visa_Fee_USD]]+Table1[[#This Row],[Annual_Estimated_Living_cost]]</f>
        <v>17355.048661800487</v>
      </c>
    </row>
    <row r="490" spans="1:17" x14ac:dyDescent="0.25">
      <c r="A490" s="2" t="s">
        <v>192</v>
      </c>
      <c r="B490" s="1" t="s">
        <v>193</v>
      </c>
      <c r="C490" s="1" t="s">
        <v>194</v>
      </c>
      <c r="D490" s="1" t="s">
        <v>20</v>
      </c>
      <c r="E490" s="1" t="s">
        <v>16</v>
      </c>
      <c r="F490" s="1">
        <v>2</v>
      </c>
      <c r="G490" s="1" t="str">
        <f>CONCATENATE(Table1[[#This Row],[Duration_Years]]," ","years")</f>
        <v>2 years</v>
      </c>
      <c r="H490" s="11">
        <v>0</v>
      </c>
      <c r="I490" s="1">
        <v>79.400000000000006</v>
      </c>
      <c r="J490" s="11">
        <v>1200</v>
      </c>
      <c r="K490" s="11">
        <v>350</v>
      </c>
      <c r="L490" s="11">
        <v>650</v>
      </c>
      <c r="M490" s="22">
        <v>0.92</v>
      </c>
      <c r="N490" s="3" t="str">
        <f>IF(Table1[[#This Row],[Exchange_Rate]]&lt;5,"Strong Currency", IF(Table1[[#This Row],[Exchange_Rate]]&lt;=1000, "Medium Currency","Weak Currency"))</f>
        <v>Strong Currency</v>
      </c>
      <c r="O490" s="11">
        <f>(Table1[[#This Row],[Living_Cost_Index]]/123.3)*1850</f>
        <v>1191.3219789132199</v>
      </c>
      <c r="P490" s="11">
        <f>Table1[[#This Row],[Monthly_Estimated_Living_cost]]*12</f>
        <v>14295.863746958639</v>
      </c>
      <c r="Q490" s="13">
        <f>Table1[[#This Row],[Tuition_USD]]+Table1[[#This Row],[Rent_USD]]+Table1[[#This Row],[Insurance_USD]]+Table1[[#This Row],[Visa_Fee_USD]]+Table1[[#This Row],[Annual_Estimated_Living_cost]]</f>
        <v>16495.863746958639</v>
      </c>
    </row>
    <row r="491" spans="1:17" x14ac:dyDescent="0.25">
      <c r="A491" s="2" t="s">
        <v>29</v>
      </c>
      <c r="B491" s="1" t="s">
        <v>180</v>
      </c>
      <c r="C491" s="1" t="s">
        <v>666</v>
      </c>
      <c r="D491" s="1" t="s">
        <v>32</v>
      </c>
      <c r="E491" s="1" t="s">
        <v>16</v>
      </c>
      <c r="F491" s="1">
        <v>2</v>
      </c>
      <c r="G491" s="1" t="str">
        <f>CONCATENATE(Table1[[#This Row],[Duration_Years]]," ","years")</f>
        <v>2 years</v>
      </c>
      <c r="H491" s="11">
        <v>0</v>
      </c>
      <c r="I491" s="1">
        <v>68.900000000000006</v>
      </c>
      <c r="J491" s="11">
        <v>1100</v>
      </c>
      <c r="K491" s="11">
        <v>110</v>
      </c>
      <c r="L491" s="11">
        <v>900</v>
      </c>
      <c r="M491" s="22">
        <v>0.92</v>
      </c>
      <c r="N491" s="3" t="str">
        <f>IF(Table1[[#This Row],[Exchange_Rate]]&lt;5,"Strong Currency", IF(Table1[[#This Row],[Exchange_Rate]]&lt;=1000, "Medium Currency","Weak Currency"))</f>
        <v>Strong Currency</v>
      </c>
      <c r="O491" s="11">
        <f>(Table1[[#This Row],[Living_Cost_Index]]/123.3)*1850</f>
        <v>1033.779399837794</v>
      </c>
      <c r="P491" s="11">
        <f>Table1[[#This Row],[Monthly_Estimated_Living_cost]]*12</f>
        <v>12405.352798053529</v>
      </c>
      <c r="Q491" s="13">
        <f>Table1[[#This Row],[Tuition_USD]]+Table1[[#This Row],[Rent_USD]]+Table1[[#This Row],[Insurance_USD]]+Table1[[#This Row],[Visa_Fee_USD]]+Table1[[#This Row],[Annual_Estimated_Living_cost]]</f>
        <v>14515.352798053529</v>
      </c>
    </row>
    <row r="492" spans="1:17" x14ac:dyDescent="0.25">
      <c r="A492" s="2" t="s">
        <v>56</v>
      </c>
      <c r="B492" s="1" t="s">
        <v>57</v>
      </c>
      <c r="C492" s="1" t="s">
        <v>58</v>
      </c>
      <c r="D492" s="1" t="s">
        <v>51</v>
      </c>
      <c r="E492" s="1" t="s">
        <v>1353</v>
      </c>
      <c r="F492" s="1">
        <v>4</v>
      </c>
      <c r="G492" s="1" t="str">
        <f>CONCATENATE(Table1[[#This Row],[Duration_Years]]," ","years")</f>
        <v>4 years</v>
      </c>
      <c r="H492" s="11">
        <v>0</v>
      </c>
      <c r="I492" s="1">
        <v>82.1</v>
      </c>
      <c r="J492" s="11">
        <v>1500</v>
      </c>
      <c r="K492" s="11">
        <v>450</v>
      </c>
      <c r="L492" s="11">
        <v>800</v>
      </c>
      <c r="M492" s="22">
        <v>7.45</v>
      </c>
      <c r="N492" s="3" t="str">
        <f>IF(Table1[[#This Row],[Exchange_Rate]]&lt;5,"Strong Currency", IF(Table1[[#This Row],[Exchange_Rate]]&lt;=1000, "Medium Currency","Weak Currency"))</f>
        <v>Medium Currency</v>
      </c>
      <c r="O492" s="11">
        <f>(Table1[[#This Row],[Living_Cost_Index]]/123.3)*1850</f>
        <v>1231.8329278183292</v>
      </c>
      <c r="P492" s="11">
        <f>Table1[[#This Row],[Monthly_Estimated_Living_cost]]*12</f>
        <v>14781.99513381995</v>
      </c>
      <c r="Q492" s="13">
        <f>Table1[[#This Row],[Tuition_USD]]+Table1[[#This Row],[Rent_USD]]+Table1[[#This Row],[Insurance_USD]]+Table1[[#This Row],[Visa_Fee_USD]]+Table1[[#This Row],[Annual_Estimated_Living_cost]]</f>
        <v>17531.99513381995</v>
      </c>
    </row>
    <row r="493" spans="1:17" x14ac:dyDescent="0.25">
      <c r="A493" s="2" t="s">
        <v>195</v>
      </c>
      <c r="B493" s="1" t="s">
        <v>667</v>
      </c>
      <c r="C493" s="1" t="s">
        <v>668</v>
      </c>
      <c r="D493" s="1" t="s">
        <v>136</v>
      </c>
      <c r="E493" s="1" t="s">
        <v>16</v>
      </c>
      <c r="F493" s="1">
        <v>2</v>
      </c>
      <c r="G493" s="1" t="str">
        <f>CONCATENATE(Table1[[#This Row],[Duration_Years]]," ","years")</f>
        <v>2 years</v>
      </c>
      <c r="H493" s="11">
        <v>0</v>
      </c>
      <c r="I493" s="1">
        <v>75.599999999999994</v>
      </c>
      <c r="J493" s="11">
        <v>1100</v>
      </c>
      <c r="K493" s="11">
        <v>275</v>
      </c>
      <c r="L493" s="11">
        <v>700</v>
      </c>
      <c r="M493" s="22">
        <v>10.45</v>
      </c>
      <c r="N493" s="3" t="str">
        <f>IF(Table1[[#This Row],[Exchange_Rate]]&lt;5,"Strong Currency", IF(Table1[[#This Row],[Exchange_Rate]]&lt;=1000, "Medium Currency","Weak Currency"))</f>
        <v>Medium Currency</v>
      </c>
      <c r="O493" s="11">
        <f>(Table1[[#This Row],[Living_Cost_Index]]/123.3)*1850</f>
        <v>1134.3065693430656</v>
      </c>
      <c r="P493" s="11">
        <f>Table1[[#This Row],[Monthly_Estimated_Living_cost]]*12</f>
        <v>13611.678832116788</v>
      </c>
      <c r="Q493" s="13">
        <f>Table1[[#This Row],[Tuition_USD]]+Table1[[#This Row],[Rent_USD]]+Table1[[#This Row],[Insurance_USD]]+Table1[[#This Row],[Visa_Fee_USD]]+Table1[[#This Row],[Annual_Estimated_Living_cost]]</f>
        <v>15686.678832116788</v>
      </c>
    </row>
    <row r="494" spans="1:17" x14ac:dyDescent="0.25">
      <c r="A494" s="2" t="s">
        <v>192</v>
      </c>
      <c r="B494" s="1" t="s">
        <v>669</v>
      </c>
      <c r="C494" s="1" t="s">
        <v>670</v>
      </c>
      <c r="D494" s="1" t="s">
        <v>63</v>
      </c>
      <c r="E494" s="1" t="s">
        <v>75</v>
      </c>
      <c r="F494" s="1">
        <v>3</v>
      </c>
      <c r="G494" s="1" t="str">
        <f>CONCATENATE(Table1[[#This Row],[Duration_Years]]," ","years")</f>
        <v>3 years</v>
      </c>
      <c r="H494" s="11">
        <v>0</v>
      </c>
      <c r="I494" s="1">
        <v>77.8</v>
      </c>
      <c r="J494" s="11">
        <v>1000</v>
      </c>
      <c r="K494" s="11">
        <v>350</v>
      </c>
      <c r="L494" s="11">
        <v>650</v>
      </c>
      <c r="M494" s="22">
        <v>0.92</v>
      </c>
      <c r="N494" s="3" t="str">
        <f>IF(Table1[[#This Row],[Exchange_Rate]]&lt;5,"Strong Currency", IF(Table1[[#This Row],[Exchange_Rate]]&lt;=1000, "Medium Currency","Weak Currency"))</f>
        <v>Strong Currency</v>
      </c>
      <c r="O494" s="11">
        <f>(Table1[[#This Row],[Living_Cost_Index]]/123.3)*1850</f>
        <v>1167.315490673155</v>
      </c>
      <c r="P494" s="11">
        <f>Table1[[#This Row],[Monthly_Estimated_Living_cost]]*12</f>
        <v>14007.785888077859</v>
      </c>
      <c r="Q494" s="13">
        <f>Table1[[#This Row],[Tuition_USD]]+Table1[[#This Row],[Rent_USD]]+Table1[[#This Row],[Insurance_USD]]+Table1[[#This Row],[Visa_Fee_USD]]+Table1[[#This Row],[Annual_Estimated_Living_cost]]</f>
        <v>16007.785888077859</v>
      </c>
    </row>
    <row r="495" spans="1:17" x14ac:dyDescent="0.25">
      <c r="A495" s="2" t="s">
        <v>29</v>
      </c>
      <c r="B495" s="1" t="s">
        <v>30</v>
      </c>
      <c r="C495" s="1" t="s">
        <v>671</v>
      </c>
      <c r="D495" s="1" t="s">
        <v>99</v>
      </c>
      <c r="E495" s="1" t="s">
        <v>1353</v>
      </c>
      <c r="F495" s="1">
        <v>4</v>
      </c>
      <c r="G495" s="1" t="str">
        <f>CONCATENATE(Table1[[#This Row],[Duration_Years]]," ","years")</f>
        <v>4 years</v>
      </c>
      <c r="H495" s="11">
        <v>0</v>
      </c>
      <c r="I495" s="1">
        <v>71.5</v>
      </c>
      <c r="J495" s="11">
        <v>1300</v>
      </c>
      <c r="K495" s="11">
        <v>110</v>
      </c>
      <c r="L495" s="11">
        <v>900</v>
      </c>
      <c r="M495" s="22">
        <v>0.92</v>
      </c>
      <c r="N495" s="3" t="str">
        <f>IF(Table1[[#This Row],[Exchange_Rate]]&lt;5,"Strong Currency", IF(Table1[[#This Row],[Exchange_Rate]]&lt;=1000, "Medium Currency","Weak Currency"))</f>
        <v>Strong Currency</v>
      </c>
      <c r="O495" s="11">
        <f>(Table1[[#This Row],[Living_Cost_Index]]/123.3)*1850</f>
        <v>1072.7899432278994</v>
      </c>
      <c r="P495" s="11">
        <f>Table1[[#This Row],[Monthly_Estimated_Living_cost]]*12</f>
        <v>12873.479318734793</v>
      </c>
      <c r="Q495" s="13">
        <f>Table1[[#This Row],[Tuition_USD]]+Table1[[#This Row],[Rent_USD]]+Table1[[#This Row],[Insurance_USD]]+Table1[[#This Row],[Visa_Fee_USD]]+Table1[[#This Row],[Annual_Estimated_Living_cost]]</f>
        <v>15183.479318734793</v>
      </c>
    </row>
    <row r="496" spans="1:17" x14ac:dyDescent="0.25">
      <c r="A496" s="2" t="s">
        <v>56</v>
      </c>
      <c r="B496" s="1" t="s">
        <v>459</v>
      </c>
      <c r="C496" s="1" t="s">
        <v>460</v>
      </c>
      <c r="D496" s="1" t="s">
        <v>71</v>
      </c>
      <c r="E496" s="1" t="s">
        <v>16</v>
      </c>
      <c r="F496" s="1">
        <v>2</v>
      </c>
      <c r="G496" s="1" t="str">
        <f>CONCATENATE(Table1[[#This Row],[Duration_Years]]," ","years")</f>
        <v>2 years</v>
      </c>
      <c r="H496" s="11">
        <v>0</v>
      </c>
      <c r="I496" s="1">
        <v>76.5</v>
      </c>
      <c r="J496" s="11">
        <v>1200</v>
      </c>
      <c r="K496" s="11">
        <v>450</v>
      </c>
      <c r="L496" s="11">
        <v>800</v>
      </c>
      <c r="M496" s="22">
        <v>7.45</v>
      </c>
      <c r="N496" s="3" t="str">
        <f>IF(Table1[[#This Row],[Exchange_Rate]]&lt;5,"Strong Currency", IF(Table1[[#This Row],[Exchange_Rate]]&lt;=1000, "Medium Currency","Weak Currency"))</f>
        <v>Medium Currency</v>
      </c>
      <c r="O496" s="11">
        <f>(Table1[[#This Row],[Living_Cost_Index]]/123.3)*1850</f>
        <v>1147.8102189781023</v>
      </c>
      <c r="P496" s="11">
        <f>Table1[[#This Row],[Monthly_Estimated_Living_cost]]*12</f>
        <v>13773.722627737228</v>
      </c>
      <c r="Q496" s="13">
        <f>Table1[[#This Row],[Tuition_USD]]+Table1[[#This Row],[Rent_USD]]+Table1[[#This Row],[Insurance_USD]]+Table1[[#This Row],[Visa_Fee_USD]]+Table1[[#This Row],[Annual_Estimated_Living_cost]]</f>
        <v>16223.722627737228</v>
      </c>
    </row>
    <row r="497" spans="1:17" x14ac:dyDescent="0.25">
      <c r="A497" s="2" t="s">
        <v>195</v>
      </c>
      <c r="B497" s="1" t="s">
        <v>672</v>
      </c>
      <c r="C497" s="1" t="s">
        <v>673</v>
      </c>
      <c r="D497" s="1" t="s">
        <v>40</v>
      </c>
      <c r="E497" s="1" t="s">
        <v>16</v>
      </c>
      <c r="F497" s="1">
        <v>2</v>
      </c>
      <c r="G497" s="1" t="str">
        <f>CONCATENATE(Table1[[#This Row],[Duration_Years]]," ","years")</f>
        <v>2 years</v>
      </c>
      <c r="H497" s="11">
        <v>0</v>
      </c>
      <c r="I497" s="1">
        <v>74.3</v>
      </c>
      <c r="J497" s="11">
        <v>1200</v>
      </c>
      <c r="K497" s="11">
        <v>275</v>
      </c>
      <c r="L497" s="11">
        <v>700</v>
      </c>
      <c r="M497" s="22">
        <v>10.45</v>
      </c>
      <c r="N497" s="3" t="str">
        <f>IF(Table1[[#This Row],[Exchange_Rate]]&lt;5,"Strong Currency", IF(Table1[[#This Row],[Exchange_Rate]]&lt;=1000, "Medium Currency","Weak Currency"))</f>
        <v>Medium Currency</v>
      </c>
      <c r="O497" s="11">
        <f>(Table1[[#This Row],[Living_Cost_Index]]/123.3)*1850</f>
        <v>1114.8012976480129</v>
      </c>
      <c r="P497" s="11">
        <f>Table1[[#This Row],[Monthly_Estimated_Living_cost]]*12</f>
        <v>13377.615571776154</v>
      </c>
      <c r="Q497" s="13">
        <f>Table1[[#This Row],[Tuition_USD]]+Table1[[#This Row],[Rent_USD]]+Table1[[#This Row],[Insurance_USD]]+Table1[[#This Row],[Visa_Fee_USD]]+Table1[[#This Row],[Annual_Estimated_Living_cost]]</f>
        <v>15552.615571776154</v>
      </c>
    </row>
    <row r="498" spans="1:17" x14ac:dyDescent="0.25">
      <c r="A498" s="2" t="s">
        <v>192</v>
      </c>
      <c r="B498" s="1" t="s">
        <v>674</v>
      </c>
      <c r="C498" s="1" t="s">
        <v>675</v>
      </c>
      <c r="D498" s="1" t="s">
        <v>207</v>
      </c>
      <c r="E498" s="1" t="s">
        <v>16</v>
      </c>
      <c r="F498" s="1">
        <v>2</v>
      </c>
      <c r="G498" s="1" t="str">
        <f>CONCATENATE(Table1[[#This Row],[Duration_Years]]," ","years")</f>
        <v>2 years</v>
      </c>
      <c r="H498" s="11">
        <v>0</v>
      </c>
      <c r="I498" s="1">
        <v>72.099999999999994</v>
      </c>
      <c r="J498" s="11">
        <v>900</v>
      </c>
      <c r="K498" s="11">
        <v>350</v>
      </c>
      <c r="L498" s="11">
        <v>650</v>
      </c>
      <c r="M498" s="22">
        <v>0.92</v>
      </c>
      <c r="N498" s="3" t="str">
        <f>IF(Table1[[#This Row],[Exchange_Rate]]&lt;5,"Strong Currency", IF(Table1[[#This Row],[Exchange_Rate]]&lt;=1000, "Medium Currency","Weak Currency"))</f>
        <v>Strong Currency</v>
      </c>
      <c r="O498" s="11">
        <f>(Table1[[#This Row],[Living_Cost_Index]]/123.3)*1850</f>
        <v>1081.7923763179238</v>
      </c>
      <c r="P498" s="11">
        <f>Table1[[#This Row],[Monthly_Estimated_Living_cost]]*12</f>
        <v>12981.508515815085</v>
      </c>
      <c r="Q498" s="13">
        <f>Table1[[#This Row],[Tuition_USD]]+Table1[[#This Row],[Rent_USD]]+Table1[[#This Row],[Insurance_USD]]+Table1[[#This Row],[Visa_Fee_USD]]+Table1[[#This Row],[Annual_Estimated_Living_cost]]</f>
        <v>14881.508515815085</v>
      </c>
    </row>
    <row r="499" spans="1:17" x14ac:dyDescent="0.25">
      <c r="A499" s="2" t="s">
        <v>29</v>
      </c>
      <c r="B499" s="1" t="s">
        <v>245</v>
      </c>
      <c r="C499" s="1" t="s">
        <v>246</v>
      </c>
      <c r="D499" s="1" t="s">
        <v>15</v>
      </c>
      <c r="E499" s="1" t="s">
        <v>75</v>
      </c>
      <c r="F499" s="1">
        <v>3</v>
      </c>
      <c r="G499" s="1" t="str">
        <f>CONCATENATE(Table1[[#This Row],[Duration_Years]]," ","years")</f>
        <v>3 years</v>
      </c>
      <c r="H499" s="11">
        <v>0</v>
      </c>
      <c r="I499" s="1">
        <v>65.400000000000006</v>
      </c>
      <c r="J499" s="11">
        <v>900</v>
      </c>
      <c r="K499" s="11">
        <v>110</v>
      </c>
      <c r="L499" s="11">
        <v>900</v>
      </c>
      <c r="M499" s="22">
        <v>0.92</v>
      </c>
      <c r="N499" s="3" t="str">
        <f>IF(Table1[[#This Row],[Exchange_Rate]]&lt;5,"Strong Currency", IF(Table1[[#This Row],[Exchange_Rate]]&lt;=1000, "Medium Currency","Weak Currency"))</f>
        <v>Strong Currency</v>
      </c>
      <c r="O499" s="11">
        <f>(Table1[[#This Row],[Living_Cost_Index]]/123.3)*1850</f>
        <v>981.26520681265208</v>
      </c>
      <c r="P499" s="11">
        <f>Table1[[#This Row],[Monthly_Estimated_Living_cost]]*12</f>
        <v>11775.182481751825</v>
      </c>
      <c r="Q499" s="13">
        <f>Table1[[#This Row],[Tuition_USD]]+Table1[[#This Row],[Rent_USD]]+Table1[[#This Row],[Insurance_USD]]+Table1[[#This Row],[Visa_Fee_USD]]+Table1[[#This Row],[Annual_Estimated_Living_cost]]</f>
        <v>13685.182481751825</v>
      </c>
    </row>
    <row r="500" spans="1:17" x14ac:dyDescent="0.25">
      <c r="A500" s="2" t="s">
        <v>56</v>
      </c>
      <c r="B500" s="1" t="s">
        <v>676</v>
      </c>
      <c r="C500" s="1" t="s">
        <v>677</v>
      </c>
      <c r="D500" s="1" t="s">
        <v>630</v>
      </c>
      <c r="E500" s="1" t="s">
        <v>16</v>
      </c>
      <c r="F500" s="1">
        <v>2</v>
      </c>
      <c r="G500" s="1" t="str">
        <f>CONCATENATE(Table1[[#This Row],[Duration_Years]]," ","years")</f>
        <v>2 years</v>
      </c>
      <c r="H500" s="11">
        <v>0</v>
      </c>
      <c r="I500" s="1">
        <v>73.2</v>
      </c>
      <c r="J500" s="11">
        <v>1100</v>
      </c>
      <c r="K500" s="11">
        <v>450</v>
      </c>
      <c r="L500" s="11">
        <v>800</v>
      </c>
      <c r="M500" s="22">
        <v>7.45</v>
      </c>
      <c r="N500" s="3" t="str">
        <f>IF(Table1[[#This Row],[Exchange_Rate]]&lt;5,"Strong Currency", IF(Table1[[#This Row],[Exchange_Rate]]&lt;=1000, "Medium Currency","Weak Currency"))</f>
        <v>Medium Currency</v>
      </c>
      <c r="O500" s="11">
        <f>(Table1[[#This Row],[Living_Cost_Index]]/123.3)*1850</f>
        <v>1098.2968369829684</v>
      </c>
      <c r="P500" s="11">
        <f>Table1[[#This Row],[Monthly_Estimated_Living_cost]]*12</f>
        <v>13179.56204379562</v>
      </c>
      <c r="Q500" s="13">
        <f>Table1[[#This Row],[Tuition_USD]]+Table1[[#This Row],[Rent_USD]]+Table1[[#This Row],[Insurance_USD]]+Table1[[#This Row],[Visa_Fee_USD]]+Table1[[#This Row],[Annual_Estimated_Living_cost]]</f>
        <v>15529.56204379562</v>
      </c>
    </row>
    <row r="501" spans="1:17" x14ac:dyDescent="0.25">
      <c r="A501" s="2" t="s">
        <v>195</v>
      </c>
      <c r="B501" s="1" t="s">
        <v>678</v>
      </c>
      <c r="C501" s="1" t="s">
        <v>679</v>
      </c>
      <c r="D501" s="1" t="s">
        <v>680</v>
      </c>
      <c r="E501" s="1" t="s">
        <v>1353</v>
      </c>
      <c r="F501" s="1">
        <v>4</v>
      </c>
      <c r="G501" s="1" t="str">
        <f>CONCATENATE(Table1[[#This Row],[Duration_Years]]," ","years")</f>
        <v>4 years</v>
      </c>
      <c r="H501" s="11">
        <v>0</v>
      </c>
      <c r="I501" s="1">
        <v>71.2</v>
      </c>
      <c r="J501" s="11">
        <v>1000</v>
      </c>
      <c r="K501" s="11">
        <v>275</v>
      </c>
      <c r="L501" s="11">
        <v>700</v>
      </c>
      <c r="M501" s="22">
        <v>10.45</v>
      </c>
      <c r="N501" s="3" t="str">
        <f>IF(Table1[[#This Row],[Exchange_Rate]]&lt;5,"Strong Currency", IF(Table1[[#This Row],[Exchange_Rate]]&lt;=1000, "Medium Currency","Weak Currency"))</f>
        <v>Medium Currency</v>
      </c>
      <c r="O501" s="11">
        <f>(Table1[[#This Row],[Living_Cost_Index]]/123.3)*1850</f>
        <v>1068.2887266828873</v>
      </c>
      <c r="P501" s="11">
        <f>Table1[[#This Row],[Monthly_Estimated_Living_cost]]*12</f>
        <v>12819.464720194646</v>
      </c>
      <c r="Q501" s="13">
        <f>Table1[[#This Row],[Tuition_USD]]+Table1[[#This Row],[Rent_USD]]+Table1[[#This Row],[Insurance_USD]]+Table1[[#This Row],[Visa_Fee_USD]]+Table1[[#This Row],[Annual_Estimated_Living_cost]]</f>
        <v>14794.464720194646</v>
      </c>
    </row>
    <row r="502" spans="1:17" x14ac:dyDescent="0.25">
      <c r="A502" s="2" t="s">
        <v>192</v>
      </c>
      <c r="B502" s="1" t="s">
        <v>681</v>
      </c>
      <c r="C502" s="1" t="s">
        <v>682</v>
      </c>
      <c r="D502" s="1" t="s">
        <v>59</v>
      </c>
      <c r="E502" s="1" t="s">
        <v>16</v>
      </c>
      <c r="F502" s="1">
        <v>2</v>
      </c>
      <c r="G502" s="1" t="str">
        <f>CONCATENATE(Table1[[#This Row],[Duration_Years]]," ","years")</f>
        <v>2 years</v>
      </c>
      <c r="H502" s="11">
        <v>0</v>
      </c>
      <c r="I502" s="1">
        <v>71.8</v>
      </c>
      <c r="J502" s="11">
        <v>850</v>
      </c>
      <c r="K502" s="11">
        <v>350</v>
      </c>
      <c r="L502" s="11">
        <v>650</v>
      </c>
      <c r="M502" s="22">
        <v>0.92</v>
      </c>
      <c r="N502" s="3" t="str">
        <f>IF(Table1[[#This Row],[Exchange_Rate]]&lt;5,"Strong Currency", IF(Table1[[#This Row],[Exchange_Rate]]&lt;=1000, "Medium Currency","Weak Currency"))</f>
        <v>Strong Currency</v>
      </c>
      <c r="O502" s="11">
        <f>(Table1[[#This Row],[Living_Cost_Index]]/123.3)*1850</f>
        <v>1077.2911597729117</v>
      </c>
      <c r="P502" s="11">
        <f>Table1[[#This Row],[Monthly_Estimated_Living_cost]]*12</f>
        <v>12927.49391727494</v>
      </c>
      <c r="Q502" s="13">
        <f>Table1[[#This Row],[Tuition_USD]]+Table1[[#This Row],[Rent_USD]]+Table1[[#This Row],[Insurance_USD]]+Table1[[#This Row],[Visa_Fee_USD]]+Table1[[#This Row],[Annual_Estimated_Living_cost]]</f>
        <v>14777.49391727494</v>
      </c>
    </row>
    <row r="503" spans="1:17" x14ac:dyDescent="0.25">
      <c r="A503" s="2" t="s">
        <v>29</v>
      </c>
      <c r="B503" s="1" t="s">
        <v>249</v>
      </c>
      <c r="C503" s="1" t="s">
        <v>250</v>
      </c>
      <c r="D503" s="1" t="s">
        <v>124</v>
      </c>
      <c r="E503" s="1" t="s">
        <v>16</v>
      </c>
      <c r="F503" s="1">
        <v>2</v>
      </c>
      <c r="G503" s="1" t="str">
        <f>CONCATENATE(Table1[[#This Row],[Duration_Years]]," ","years")</f>
        <v>2 years</v>
      </c>
      <c r="H503" s="11">
        <v>0</v>
      </c>
      <c r="I503" s="1">
        <v>69.8</v>
      </c>
      <c r="J503" s="11">
        <v>1200</v>
      </c>
      <c r="K503" s="11">
        <v>110</v>
      </c>
      <c r="L503" s="11">
        <v>900</v>
      </c>
      <c r="M503" s="22">
        <v>0.92</v>
      </c>
      <c r="N503" s="3" t="str">
        <f>IF(Table1[[#This Row],[Exchange_Rate]]&lt;5,"Strong Currency", IF(Table1[[#This Row],[Exchange_Rate]]&lt;=1000, "Medium Currency","Weak Currency"))</f>
        <v>Strong Currency</v>
      </c>
      <c r="O503" s="11">
        <f>(Table1[[#This Row],[Living_Cost_Index]]/123.3)*1850</f>
        <v>1047.2830494728303</v>
      </c>
      <c r="P503" s="11">
        <f>Table1[[#This Row],[Monthly_Estimated_Living_cost]]*12</f>
        <v>12567.396593673962</v>
      </c>
      <c r="Q503" s="13">
        <f>Table1[[#This Row],[Tuition_USD]]+Table1[[#This Row],[Rent_USD]]+Table1[[#This Row],[Insurance_USD]]+Table1[[#This Row],[Visa_Fee_USD]]+Table1[[#This Row],[Annual_Estimated_Living_cost]]</f>
        <v>14777.396593673962</v>
      </c>
    </row>
    <row r="504" spans="1:17" x14ac:dyDescent="0.25">
      <c r="A504" s="2" t="s">
        <v>56</v>
      </c>
      <c r="B504" s="1" t="s">
        <v>158</v>
      </c>
      <c r="C504" s="1" t="s">
        <v>159</v>
      </c>
      <c r="D504" s="1" t="s">
        <v>683</v>
      </c>
      <c r="E504" s="1" t="s">
        <v>75</v>
      </c>
      <c r="F504" s="1">
        <v>3</v>
      </c>
      <c r="G504" s="1" t="str">
        <f>CONCATENATE(Table1[[#This Row],[Duration_Years]]," ","years")</f>
        <v>3 years</v>
      </c>
      <c r="H504" s="11">
        <v>0</v>
      </c>
      <c r="I504" s="1">
        <v>71.5</v>
      </c>
      <c r="J504" s="11">
        <v>1000</v>
      </c>
      <c r="K504" s="11">
        <v>450</v>
      </c>
      <c r="L504" s="11">
        <v>800</v>
      </c>
      <c r="M504" s="22">
        <v>7.45</v>
      </c>
      <c r="N504" s="3" t="str">
        <f>IF(Table1[[#This Row],[Exchange_Rate]]&lt;5,"Strong Currency", IF(Table1[[#This Row],[Exchange_Rate]]&lt;=1000, "Medium Currency","Weak Currency"))</f>
        <v>Medium Currency</v>
      </c>
      <c r="O504" s="11">
        <f>(Table1[[#This Row],[Living_Cost_Index]]/123.3)*1850</f>
        <v>1072.7899432278994</v>
      </c>
      <c r="P504" s="11">
        <f>Table1[[#This Row],[Monthly_Estimated_Living_cost]]*12</f>
        <v>12873.479318734793</v>
      </c>
      <c r="Q504" s="13">
        <f>Table1[[#This Row],[Tuition_USD]]+Table1[[#This Row],[Rent_USD]]+Table1[[#This Row],[Insurance_USD]]+Table1[[#This Row],[Visa_Fee_USD]]+Table1[[#This Row],[Annual_Estimated_Living_cost]]</f>
        <v>15123.479318734793</v>
      </c>
    </row>
    <row r="505" spans="1:17" x14ac:dyDescent="0.25">
      <c r="A505" s="2" t="s">
        <v>195</v>
      </c>
      <c r="B505" s="1" t="s">
        <v>684</v>
      </c>
      <c r="C505" s="1" t="s">
        <v>685</v>
      </c>
      <c r="D505" s="1" t="s">
        <v>686</v>
      </c>
      <c r="E505" s="1" t="s">
        <v>16</v>
      </c>
      <c r="F505" s="1">
        <v>2</v>
      </c>
      <c r="G505" s="1" t="str">
        <f>CONCATENATE(Table1[[#This Row],[Duration_Years]]," ","years")</f>
        <v>2 years</v>
      </c>
      <c r="H505" s="11">
        <v>0</v>
      </c>
      <c r="I505" s="1">
        <v>72.400000000000006</v>
      </c>
      <c r="J505" s="11">
        <v>1100</v>
      </c>
      <c r="K505" s="11">
        <v>275</v>
      </c>
      <c r="L505" s="11">
        <v>700</v>
      </c>
      <c r="M505" s="22">
        <v>10.45</v>
      </c>
      <c r="N505" s="3" t="str">
        <f>IF(Table1[[#This Row],[Exchange_Rate]]&lt;5,"Strong Currency", IF(Table1[[#This Row],[Exchange_Rate]]&lt;=1000, "Medium Currency","Weak Currency"))</f>
        <v>Medium Currency</v>
      </c>
      <c r="O505" s="11">
        <f>(Table1[[#This Row],[Living_Cost_Index]]/123.3)*1850</f>
        <v>1086.2935928629361</v>
      </c>
      <c r="P505" s="11">
        <f>Table1[[#This Row],[Monthly_Estimated_Living_cost]]*12</f>
        <v>13035.523114355234</v>
      </c>
      <c r="Q505" s="13">
        <f>Table1[[#This Row],[Tuition_USD]]+Table1[[#This Row],[Rent_USD]]+Table1[[#This Row],[Insurance_USD]]+Table1[[#This Row],[Visa_Fee_USD]]+Table1[[#This Row],[Annual_Estimated_Living_cost]]</f>
        <v>15110.523114355234</v>
      </c>
    </row>
    <row r="506" spans="1:17" x14ac:dyDescent="0.25">
      <c r="A506" s="2" t="s">
        <v>192</v>
      </c>
      <c r="B506" s="1" t="s">
        <v>687</v>
      </c>
      <c r="C506" s="1" t="s">
        <v>688</v>
      </c>
      <c r="D506" s="1" t="s">
        <v>15</v>
      </c>
      <c r="E506" s="1" t="s">
        <v>1353</v>
      </c>
      <c r="F506" s="1">
        <v>4</v>
      </c>
      <c r="G506" s="1" t="str">
        <f>CONCATENATE(Table1[[#This Row],[Duration_Years]]," ","years")</f>
        <v>4 years</v>
      </c>
      <c r="H506" s="11">
        <v>0</v>
      </c>
      <c r="I506" s="1">
        <v>70.2</v>
      </c>
      <c r="J506" s="11">
        <v>800</v>
      </c>
      <c r="K506" s="11">
        <v>350</v>
      </c>
      <c r="L506" s="11">
        <v>650</v>
      </c>
      <c r="M506" s="22">
        <v>0.92</v>
      </c>
      <c r="N506" s="3" t="str">
        <f>IF(Table1[[#This Row],[Exchange_Rate]]&lt;5,"Strong Currency", IF(Table1[[#This Row],[Exchange_Rate]]&lt;=1000, "Medium Currency","Weak Currency"))</f>
        <v>Strong Currency</v>
      </c>
      <c r="O506" s="11">
        <f>(Table1[[#This Row],[Living_Cost_Index]]/123.3)*1850</f>
        <v>1053.2846715328469</v>
      </c>
      <c r="P506" s="11">
        <f>Table1[[#This Row],[Monthly_Estimated_Living_cost]]*12</f>
        <v>12639.416058394163</v>
      </c>
      <c r="Q506" s="13">
        <f>Table1[[#This Row],[Tuition_USD]]+Table1[[#This Row],[Rent_USD]]+Table1[[#This Row],[Insurance_USD]]+Table1[[#This Row],[Visa_Fee_USD]]+Table1[[#This Row],[Annual_Estimated_Living_cost]]</f>
        <v>14439.416058394163</v>
      </c>
    </row>
    <row r="507" spans="1:17" x14ac:dyDescent="0.25">
      <c r="A507" s="2" t="s">
        <v>29</v>
      </c>
      <c r="B507" s="1" t="s">
        <v>247</v>
      </c>
      <c r="C507" s="1" t="s">
        <v>248</v>
      </c>
      <c r="D507" s="1" t="s">
        <v>90</v>
      </c>
      <c r="E507" s="1" t="s">
        <v>16</v>
      </c>
      <c r="F507" s="1">
        <v>2</v>
      </c>
      <c r="G507" s="1" t="str">
        <f>CONCATENATE(Table1[[#This Row],[Duration_Years]]," ","years")</f>
        <v>2 years</v>
      </c>
      <c r="H507" s="11">
        <v>0</v>
      </c>
      <c r="I507" s="1">
        <v>68.7</v>
      </c>
      <c r="J507" s="11">
        <v>1100</v>
      </c>
      <c r="K507" s="11">
        <v>110</v>
      </c>
      <c r="L507" s="11">
        <v>900</v>
      </c>
      <c r="M507" s="22">
        <v>0.92</v>
      </c>
      <c r="N507" s="3" t="str">
        <f>IF(Table1[[#This Row],[Exchange_Rate]]&lt;5,"Strong Currency", IF(Table1[[#This Row],[Exchange_Rate]]&lt;=1000, "Medium Currency","Weak Currency"))</f>
        <v>Strong Currency</v>
      </c>
      <c r="O507" s="11">
        <f>(Table1[[#This Row],[Living_Cost_Index]]/123.3)*1850</f>
        <v>1030.7785888077858</v>
      </c>
      <c r="P507" s="11">
        <f>Table1[[#This Row],[Monthly_Estimated_Living_cost]]*12</f>
        <v>12369.343065693429</v>
      </c>
      <c r="Q507" s="13">
        <f>Table1[[#This Row],[Tuition_USD]]+Table1[[#This Row],[Rent_USD]]+Table1[[#This Row],[Insurance_USD]]+Table1[[#This Row],[Visa_Fee_USD]]+Table1[[#This Row],[Annual_Estimated_Living_cost]]</f>
        <v>14479.343065693429</v>
      </c>
    </row>
    <row r="508" spans="1:17" x14ac:dyDescent="0.25">
      <c r="A508" s="2" t="s">
        <v>56</v>
      </c>
      <c r="B508" s="1" t="s">
        <v>689</v>
      </c>
      <c r="C508" s="1" t="s">
        <v>690</v>
      </c>
      <c r="D508" s="1" t="s">
        <v>198</v>
      </c>
      <c r="E508" s="1" t="s">
        <v>16</v>
      </c>
      <c r="F508" s="1">
        <v>2</v>
      </c>
      <c r="G508" s="1" t="str">
        <f>CONCATENATE(Table1[[#This Row],[Duration_Years]]," ","years")</f>
        <v>2 years</v>
      </c>
      <c r="H508" s="11">
        <v>0</v>
      </c>
      <c r="I508" s="1">
        <v>70.8</v>
      </c>
      <c r="J508" s="11">
        <v>1000</v>
      </c>
      <c r="K508" s="11">
        <v>450</v>
      </c>
      <c r="L508" s="11">
        <v>800</v>
      </c>
      <c r="M508" s="22">
        <v>7.45</v>
      </c>
      <c r="N508" s="3" t="str">
        <f>IF(Table1[[#This Row],[Exchange_Rate]]&lt;5,"Strong Currency", IF(Table1[[#This Row],[Exchange_Rate]]&lt;=1000, "Medium Currency","Weak Currency"))</f>
        <v>Medium Currency</v>
      </c>
      <c r="O508" s="11">
        <f>(Table1[[#This Row],[Living_Cost_Index]]/123.3)*1850</f>
        <v>1062.2871046228711</v>
      </c>
      <c r="P508" s="11">
        <f>Table1[[#This Row],[Monthly_Estimated_Living_cost]]*12</f>
        <v>12747.445255474453</v>
      </c>
      <c r="Q508" s="13">
        <f>Table1[[#This Row],[Tuition_USD]]+Table1[[#This Row],[Rent_USD]]+Table1[[#This Row],[Insurance_USD]]+Table1[[#This Row],[Visa_Fee_USD]]+Table1[[#This Row],[Annual_Estimated_Living_cost]]</f>
        <v>14997.445255474453</v>
      </c>
    </row>
    <row r="509" spans="1:17" x14ac:dyDescent="0.25">
      <c r="A509" s="2" t="s">
        <v>195</v>
      </c>
      <c r="B509" s="1" t="s">
        <v>691</v>
      </c>
      <c r="C509" s="1" t="s">
        <v>692</v>
      </c>
      <c r="D509" s="1" t="s">
        <v>630</v>
      </c>
      <c r="E509" s="1" t="s">
        <v>16</v>
      </c>
      <c r="F509" s="1">
        <v>2</v>
      </c>
      <c r="G509" s="1" t="str">
        <f>CONCATENATE(Table1[[#This Row],[Duration_Years]]," ","years")</f>
        <v>2 years</v>
      </c>
      <c r="H509" s="11">
        <v>0</v>
      </c>
      <c r="I509" s="1">
        <v>70.5</v>
      </c>
      <c r="J509" s="11">
        <v>900</v>
      </c>
      <c r="K509" s="11">
        <v>275</v>
      </c>
      <c r="L509" s="11">
        <v>700</v>
      </c>
      <c r="M509" s="22">
        <v>10.45</v>
      </c>
      <c r="N509" s="3" t="str">
        <f>IF(Table1[[#This Row],[Exchange_Rate]]&lt;5,"Strong Currency", IF(Table1[[#This Row],[Exchange_Rate]]&lt;=1000, "Medium Currency","Weak Currency"))</f>
        <v>Medium Currency</v>
      </c>
      <c r="O509" s="11">
        <f>(Table1[[#This Row],[Living_Cost_Index]]/123.3)*1850</f>
        <v>1057.7858880778588</v>
      </c>
      <c r="P509" s="11">
        <f>Table1[[#This Row],[Monthly_Estimated_Living_cost]]*12</f>
        <v>12693.430656934306</v>
      </c>
      <c r="Q509" s="13">
        <f>Table1[[#This Row],[Tuition_USD]]+Table1[[#This Row],[Rent_USD]]+Table1[[#This Row],[Insurance_USD]]+Table1[[#This Row],[Visa_Fee_USD]]+Table1[[#This Row],[Annual_Estimated_Living_cost]]</f>
        <v>14568.430656934306</v>
      </c>
    </row>
    <row r="510" spans="1:17" x14ac:dyDescent="0.25">
      <c r="A510" s="2" t="s">
        <v>192</v>
      </c>
      <c r="B510" s="1" t="s">
        <v>693</v>
      </c>
      <c r="C510" s="1" t="s">
        <v>694</v>
      </c>
      <c r="D510" s="1" t="s">
        <v>695</v>
      </c>
      <c r="E510" s="1" t="s">
        <v>16</v>
      </c>
      <c r="F510" s="1">
        <v>2</v>
      </c>
      <c r="G510" s="1" t="str">
        <f>CONCATENATE(Table1[[#This Row],[Duration_Years]]," ","years")</f>
        <v>2 years</v>
      </c>
      <c r="H510" s="11">
        <v>0</v>
      </c>
      <c r="I510" s="1">
        <v>69.8</v>
      </c>
      <c r="J510" s="11">
        <v>800</v>
      </c>
      <c r="K510" s="11">
        <v>350</v>
      </c>
      <c r="L510" s="11">
        <v>650</v>
      </c>
      <c r="M510" s="22">
        <v>0.92</v>
      </c>
      <c r="N510" s="3" t="str">
        <f>IF(Table1[[#This Row],[Exchange_Rate]]&lt;5,"Strong Currency", IF(Table1[[#This Row],[Exchange_Rate]]&lt;=1000, "Medium Currency","Weak Currency"))</f>
        <v>Strong Currency</v>
      </c>
      <c r="O510" s="11">
        <f>(Table1[[#This Row],[Living_Cost_Index]]/123.3)*1850</f>
        <v>1047.2830494728303</v>
      </c>
      <c r="P510" s="11">
        <f>Table1[[#This Row],[Monthly_Estimated_Living_cost]]*12</f>
        <v>12567.396593673962</v>
      </c>
      <c r="Q510" s="13">
        <f>Table1[[#This Row],[Tuition_USD]]+Table1[[#This Row],[Rent_USD]]+Table1[[#This Row],[Insurance_USD]]+Table1[[#This Row],[Visa_Fee_USD]]+Table1[[#This Row],[Annual_Estimated_Living_cost]]</f>
        <v>14367.396593673962</v>
      </c>
    </row>
    <row r="511" spans="1:17" x14ac:dyDescent="0.25">
      <c r="A511" s="2" t="s">
        <v>29</v>
      </c>
      <c r="B511" s="1" t="s">
        <v>254</v>
      </c>
      <c r="C511" s="1" t="s">
        <v>255</v>
      </c>
      <c r="D511" s="1" t="s">
        <v>696</v>
      </c>
      <c r="E511" s="1" t="s">
        <v>1353</v>
      </c>
      <c r="F511" s="1">
        <v>4</v>
      </c>
      <c r="G511" s="1" t="str">
        <f>CONCATENATE(Table1[[#This Row],[Duration_Years]]," ","years")</f>
        <v>4 years</v>
      </c>
      <c r="H511" s="11">
        <v>0</v>
      </c>
      <c r="I511" s="1">
        <v>67.900000000000006</v>
      </c>
      <c r="J511" s="11">
        <v>1000</v>
      </c>
      <c r="K511" s="11">
        <v>110</v>
      </c>
      <c r="L511" s="11">
        <v>900</v>
      </c>
      <c r="M511" s="22">
        <v>0.92</v>
      </c>
      <c r="N511" s="3" t="str">
        <f>IF(Table1[[#This Row],[Exchange_Rate]]&lt;5,"Strong Currency", IF(Table1[[#This Row],[Exchange_Rate]]&lt;=1000, "Medium Currency","Weak Currency"))</f>
        <v>Strong Currency</v>
      </c>
      <c r="O511" s="11">
        <f>(Table1[[#This Row],[Living_Cost_Index]]/123.3)*1850</f>
        <v>1018.7753446877535</v>
      </c>
      <c r="P511" s="11">
        <f>Table1[[#This Row],[Monthly_Estimated_Living_cost]]*12</f>
        <v>12225.304136253042</v>
      </c>
      <c r="Q511" s="13">
        <f>Table1[[#This Row],[Tuition_USD]]+Table1[[#This Row],[Rent_USD]]+Table1[[#This Row],[Insurance_USD]]+Table1[[#This Row],[Visa_Fee_USD]]+Table1[[#This Row],[Annual_Estimated_Living_cost]]</f>
        <v>14235.304136253042</v>
      </c>
    </row>
    <row r="512" spans="1:17" x14ac:dyDescent="0.25">
      <c r="A512" s="2" t="s">
        <v>56</v>
      </c>
      <c r="B512" s="1" t="s">
        <v>697</v>
      </c>
      <c r="C512" s="1" t="s">
        <v>698</v>
      </c>
      <c r="D512" s="1" t="s">
        <v>699</v>
      </c>
      <c r="E512" s="1" t="s">
        <v>16</v>
      </c>
      <c r="F512" s="1">
        <v>2</v>
      </c>
      <c r="G512" s="1" t="str">
        <f>CONCATENATE(Table1[[#This Row],[Duration_Years]]," ","years")</f>
        <v>2 years</v>
      </c>
      <c r="H512" s="11">
        <v>0</v>
      </c>
      <c r="I512" s="1">
        <v>81.2</v>
      </c>
      <c r="J512" s="11">
        <v>1400</v>
      </c>
      <c r="K512" s="11">
        <v>450</v>
      </c>
      <c r="L512" s="11">
        <v>800</v>
      </c>
      <c r="M512" s="22">
        <v>7.45</v>
      </c>
      <c r="N512" s="3" t="str">
        <f>IF(Table1[[#This Row],[Exchange_Rate]]&lt;5,"Strong Currency", IF(Table1[[#This Row],[Exchange_Rate]]&lt;=1000, "Medium Currency","Weak Currency"))</f>
        <v>Medium Currency</v>
      </c>
      <c r="O512" s="11">
        <f>(Table1[[#This Row],[Living_Cost_Index]]/123.3)*1850</f>
        <v>1218.3292781832929</v>
      </c>
      <c r="P512" s="11">
        <f>Table1[[#This Row],[Monthly_Estimated_Living_cost]]*12</f>
        <v>14619.951338199515</v>
      </c>
      <c r="Q512" s="13">
        <f>Table1[[#This Row],[Tuition_USD]]+Table1[[#This Row],[Rent_USD]]+Table1[[#This Row],[Insurance_USD]]+Table1[[#This Row],[Visa_Fee_USD]]+Table1[[#This Row],[Annual_Estimated_Living_cost]]</f>
        <v>17269.951338199513</v>
      </c>
    </row>
    <row r="513" spans="1:17" x14ac:dyDescent="0.25">
      <c r="A513" s="2" t="s">
        <v>195</v>
      </c>
      <c r="B513" s="1" t="s">
        <v>700</v>
      </c>
      <c r="C513" s="1" t="s">
        <v>701</v>
      </c>
      <c r="D513" s="1" t="s">
        <v>79</v>
      </c>
      <c r="E513" s="1" t="s">
        <v>75</v>
      </c>
      <c r="F513" s="1">
        <v>3</v>
      </c>
      <c r="G513" s="1" t="str">
        <f>CONCATENATE(Table1[[#This Row],[Duration_Years]]," ","years")</f>
        <v>3 years</v>
      </c>
      <c r="H513" s="11">
        <v>0</v>
      </c>
      <c r="I513" s="1">
        <v>69.400000000000006</v>
      </c>
      <c r="J513" s="11">
        <v>850</v>
      </c>
      <c r="K513" s="11">
        <v>275</v>
      </c>
      <c r="L513" s="11">
        <v>700</v>
      </c>
      <c r="M513" s="22">
        <v>10.45</v>
      </c>
      <c r="N513" s="3" t="str">
        <f>IF(Table1[[#This Row],[Exchange_Rate]]&lt;5,"Strong Currency", IF(Table1[[#This Row],[Exchange_Rate]]&lt;=1000, "Medium Currency","Weak Currency"))</f>
        <v>Medium Currency</v>
      </c>
      <c r="O513" s="11">
        <f>(Table1[[#This Row],[Living_Cost_Index]]/123.3)*1850</f>
        <v>1041.2814274128143</v>
      </c>
      <c r="P513" s="11">
        <f>Table1[[#This Row],[Monthly_Estimated_Living_cost]]*12</f>
        <v>12495.377128953773</v>
      </c>
      <c r="Q513" s="13">
        <f>Table1[[#This Row],[Tuition_USD]]+Table1[[#This Row],[Rent_USD]]+Table1[[#This Row],[Insurance_USD]]+Table1[[#This Row],[Visa_Fee_USD]]+Table1[[#This Row],[Annual_Estimated_Living_cost]]</f>
        <v>14320.377128953773</v>
      </c>
    </row>
    <row r="514" spans="1:17" x14ac:dyDescent="0.25">
      <c r="A514" s="2" t="s">
        <v>192</v>
      </c>
      <c r="B514" s="1" t="s">
        <v>702</v>
      </c>
      <c r="C514" s="1" t="s">
        <v>703</v>
      </c>
      <c r="D514" s="1" t="s">
        <v>20</v>
      </c>
      <c r="E514" s="1" t="s">
        <v>16</v>
      </c>
      <c r="F514" s="1">
        <v>2</v>
      </c>
      <c r="G514" s="1" t="str">
        <f>CONCATENATE(Table1[[#This Row],[Duration_Years]]," ","years")</f>
        <v>2 years</v>
      </c>
      <c r="H514" s="11">
        <v>0</v>
      </c>
      <c r="I514" s="1">
        <v>68.7</v>
      </c>
      <c r="J514" s="11">
        <v>750</v>
      </c>
      <c r="K514" s="11">
        <v>350</v>
      </c>
      <c r="L514" s="11">
        <v>650</v>
      </c>
      <c r="M514" s="22">
        <v>0.92</v>
      </c>
      <c r="N514" s="3" t="str">
        <f>IF(Table1[[#This Row],[Exchange_Rate]]&lt;5,"Strong Currency", IF(Table1[[#This Row],[Exchange_Rate]]&lt;=1000, "Medium Currency","Weak Currency"))</f>
        <v>Strong Currency</v>
      </c>
      <c r="O514" s="11">
        <f>(Table1[[#This Row],[Living_Cost_Index]]/123.3)*1850</f>
        <v>1030.7785888077858</v>
      </c>
      <c r="P514" s="11">
        <f>Table1[[#This Row],[Monthly_Estimated_Living_cost]]*12</f>
        <v>12369.343065693429</v>
      </c>
      <c r="Q514" s="13">
        <f>Table1[[#This Row],[Tuition_USD]]+Table1[[#This Row],[Rent_USD]]+Table1[[#This Row],[Insurance_USD]]+Table1[[#This Row],[Visa_Fee_USD]]+Table1[[#This Row],[Annual_Estimated_Living_cost]]</f>
        <v>14119.343065693429</v>
      </c>
    </row>
    <row r="515" spans="1:17" x14ac:dyDescent="0.25">
      <c r="A515" s="2" t="s">
        <v>29</v>
      </c>
      <c r="B515" s="1" t="s">
        <v>256</v>
      </c>
      <c r="C515" s="1" t="s">
        <v>257</v>
      </c>
      <c r="D515" s="1" t="s">
        <v>63</v>
      </c>
      <c r="E515" s="1" t="s">
        <v>16</v>
      </c>
      <c r="F515" s="1">
        <v>2</v>
      </c>
      <c r="G515" s="1" t="str">
        <f>CONCATENATE(Table1[[#This Row],[Duration_Years]]," ","years")</f>
        <v>2 years</v>
      </c>
      <c r="H515" s="11">
        <v>0</v>
      </c>
      <c r="I515" s="1">
        <v>66.8</v>
      </c>
      <c r="J515" s="11">
        <v>950</v>
      </c>
      <c r="K515" s="11">
        <v>110</v>
      </c>
      <c r="L515" s="11">
        <v>900</v>
      </c>
      <c r="M515" s="22">
        <v>0.92</v>
      </c>
      <c r="N515" s="3" t="str">
        <f>IF(Table1[[#This Row],[Exchange_Rate]]&lt;5,"Strong Currency", IF(Table1[[#This Row],[Exchange_Rate]]&lt;=1000, "Medium Currency","Weak Currency"))</f>
        <v>Strong Currency</v>
      </c>
      <c r="O515" s="11">
        <f>(Table1[[#This Row],[Living_Cost_Index]]/123.3)*1850</f>
        <v>1002.2708840227087</v>
      </c>
      <c r="P515" s="11">
        <f>Table1[[#This Row],[Monthly_Estimated_Living_cost]]*12</f>
        <v>12027.250608272505</v>
      </c>
      <c r="Q515" s="13">
        <f>Table1[[#This Row],[Tuition_USD]]+Table1[[#This Row],[Rent_USD]]+Table1[[#This Row],[Insurance_USD]]+Table1[[#This Row],[Visa_Fee_USD]]+Table1[[#This Row],[Annual_Estimated_Living_cost]]</f>
        <v>13987.250608272505</v>
      </c>
    </row>
    <row r="516" spans="1:17" x14ac:dyDescent="0.25">
      <c r="A516" s="2" t="s">
        <v>56</v>
      </c>
      <c r="B516" s="1" t="s">
        <v>704</v>
      </c>
      <c r="C516" s="1" t="s">
        <v>677</v>
      </c>
      <c r="D516" s="1" t="s">
        <v>207</v>
      </c>
      <c r="E516" s="1" t="s">
        <v>1353</v>
      </c>
      <c r="F516" s="1">
        <v>4</v>
      </c>
      <c r="G516" s="1" t="str">
        <f>CONCATENATE(Table1[[#This Row],[Duration_Years]]," ","years")</f>
        <v>4 years</v>
      </c>
      <c r="H516" s="11">
        <v>0</v>
      </c>
      <c r="I516" s="1">
        <v>69.5</v>
      </c>
      <c r="J516" s="11">
        <v>900</v>
      </c>
      <c r="K516" s="11">
        <v>450</v>
      </c>
      <c r="L516" s="11">
        <v>800</v>
      </c>
      <c r="M516" s="22">
        <v>7.45</v>
      </c>
      <c r="N516" s="3" t="str">
        <f>IF(Table1[[#This Row],[Exchange_Rate]]&lt;5,"Strong Currency", IF(Table1[[#This Row],[Exchange_Rate]]&lt;=1000, "Medium Currency","Weak Currency"))</f>
        <v>Medium Currency</v>
      </c>
      <c r="O516" s="11">
        <f>(Table1[[#This Row],[Living_Cost_Index]]/123.3)*1850</f>
        <v>1042.7818329278184</v>
      </c>
      <c r="P516" s="11">
        <f>Table1[[#This Row],[Monthly_Estimated_Living_cost]]*12</f>
        <v>12513.381995133821</v>
      </c>
      <c r="Q516" s="13">
        <f>Table1[[#This Row],[Tuition_USD]]+Table1[[#This Row],[Rent_USD]]+Table1[[#This Row],[Insurance_USD]]+Table1[[#This Row],[Visa_Fee_USD]]+Table1[[#This Row],[Annual_Estimated_Living_cost]]</f>
        <v>14663.381995133821</v>
      </c>
    </row>
    <row r="517" spans="1:17" x14ac:dyDescent="0.25">
      <c r="A517" s="2" t="s">
        <v>195</v>
      </c>
      <c r="B517" s="1" t="s">
        <v>705</v>
      </c>
      <c r="C517" s="1" t="s">
        <v>706</v>
      </c>
      <c r="D517" s="1" t="s">
        <v>502</v>
      </c>
      <c r="E517" s="1" t="s">
        <v>16</v>
      </c>
      <c r="F517" s="1">
        <v>2</v>
      </c>
      <c r="G517" s="1" t="str">
        <f>CONCATENATE(Table1[[#This Row],[Duration_Years]]," ","years")</f>
        <v>2 years</v>
      </c>
      <c r="H517" s="11">
        <v>0</v>
      </c>
      <c r="I517" s="1">
        <v>68.900000000000006</v>
      </c>
      <c r="J517" s="11">
        <v>800</v>
      </c>
      <c r="K517" s="11">
        <v>275</v>
      </c>
      <c r="L517" s="11">
        <v>700</v>
      </c>
      <c r="M517" s="22">
        <v>10.45</v>
      </c>
      <c r="N517" s="3" t="str">
        <f>IF(Table1[[#This Row],[Exchange_Rate]]&lt;5,"Strong Currency", IF(Table1[[#This Row],[Exchange_Rate]]&lt;=1000, "Medium Currency","Weak Currency"))</f>
        <v>Medium Currency</v>
      </c>
      <c r="O517" s="11">
        <f>(Table1[[#This Row],[Living_Cost_Index]]/123.3)*1850</f>
        <v>1033.779399837794</v>
      </c>
      <c r="P517" s="11">
        <f>Table1[[#This Row],[Monthly_Estimated_Living_cost]]*12</f>
        <v>12405.352798053529</v>
      </c>
      <c r="Q517" s="13">
        <f>Table1[[#This Row],[Tuition_USD]]+Table1[[#This Row],[Rent_USD]]+Table1[[#This Row],[Insurance_USD]]+Table1[[#This Row],[Visa_Fee_USD]]+Table1[[#This Row],[Annual_Estimated_Living_cost]]</f>
        <v>14180.352798053529</v>
      </c>
    </row>
    <row r="518" spans="1:17" x14ac:dyDescent="0.25">
      <c r="A518" s="2" t="s">
        <v>192</v>
      </c>
      <c r="B518" s="1" t="s">
        <v>707</v>
      </c>
      <c r="C518" s="1" t="s">
        <v>708</v>
      </c>
      <c r="D518" s="1" t="s">
        <v>93</v>
      </c>
      <c r="E518" s="1" t="s">
        <v>16</v>
      </c>
      <c r="F518" s="1">
        <v>2</v>
      </c>
      <c r="G518" s="1" t="str">
        <f>CONCATENATE(Table1[[#This Row],[Duration_Years]]," ","years")</f>
        <v>2 years</v>
      </c>
      <c r="H518" s="11">
        <v>0</v>
      </c>
      <c r="I518" s="1">
        <v>67.5</v>
      </c>
      <c r="J518" s="11">
        <v>700</v>
      </c>
      <c r="K518" s="11">
        <v>350</v>
      </c>
      <c r="L518" s="11">
        <v>650</v>
      </c>
      <c r="M518" s="22">
        <v>0.92</v>
      </c>
      <c r="N518" s="3" t="str">
        <f>IF(Table1[[#This Row],[Exchange_Rate]]&lt;5,"Strong Currency", IF(Table1[[#This Row],[Exchange_Rate]]&lt;=1000, "Medium Currency","Weak Currency"))</f>
        <v>Strong Currency</v>
      </c>
      <c r="O518" s="11">
        <f>(Table1[[#This Row],[Living_Cost_Index]]/123.3)*1850</f>
        <v>1012.7737226277372</v>
      </c>
      <c r="P518" s="11">
        <f>Table1[[#This Row],[Monthly_Estimated_Living_cost]]*12</f>
        <v>12153.284671532847</v>
      </c>
      <c r="Q518" s="13">
        <f>Table1[[#This Row],[Tuition_USD]]+Table1[[#This Row],[Rent_USD]]+Table1[[#This Row],[Insurance_USD]]+Table1[[#This Row],[Visa_Fee_USD]]+Table1[[#This Row],[Annual_Estimated_Living_cost]]</f>
        <v>13853.284671532847</v>
      </c>
    </row>
    <row r="519" spans="1:17" x14ac:dyDescent="0.25">
      <c r="A519" s="2" t="s">
        <v>29</v>
      </c>
      <c r="B519" s="1" t="s">
        <v>709</v>
      </c>
      <c r="C519" s="1" t="s">
        <v>710</v>
      </c>
      <c r="D519" s="1" t="s">
        <v>136</v>
      </c>
      <c r="E519" s="1" t="s">
        <v>16</v>
      </c>
      <c r="F519" s="1">
        <v>2</v>
      </c>
      <c r="G519" s="1" t="str">
        <f>CONCATENATE(Table1[[#This Row],[Duration_Years]]," ","years")</f>
        <v>2 years</v>
      </c>
      <c r="H519" s="11">
        <v>0</v>
      </c>
      <c r="I519" s="1">
        <v>66.5</v>
      </c>
      <c r="J519" s="11">
        <v>900</v>
      </c>
      <c r="K519" s="11">
        <v>110</v>
      </c>
      <c r="L519" s="11">
        <v>900</v>
      </c>
      <c r="M519" s="22">
        <v>0.92</v>
      </c>
      <c r="N519" s="3" t="str">
        <f>IF(Table1[[#This Row],[Exchange_Rate]]&lt;5,"Strong Currency", IF(Table1[[#This Row],[Exchange_Rate]]&lt;=1000, "Medium Currency","Weak Currency"))</f>
        <v>Strong Currency</v>
      </c>
      <c r="O519" s="11">
        <f>(Table1[[#This Row],[Living_Cost_Index]]/123.3)*1850</f>
        <v>997.76966747769666</v>
      </c>
      <c r="P519" s="11">
        <f>Table1[[#This Row],[Monthly_Estimated_Living_cost]]*12</f>
        <v>11973.23600973236</v>
      </c>
      <c r="Q519" s="13">
        <f>Table1[[#This Row],[Tuition_USD]]+Table1[[#This Row],[Rent_USD]]+Table1[[#This Row],[Insurance_USD]]+Table1[[#This Row],[Visa_Fee_USD]]+Table1[[#This Row],[Annual_Estimated_Living_cost]]</f>
        <v>13883.23600973236</v>
      </c>
    </row>
    <row r="520" spans="1:17" x14ac:dyDescent="0.25">
      <c r="A520" s="2" t="s">
        <v>56</v>
      </c>
      <c r="B520" s="1" t="s">
        <v>711</v>
      </c>
      <c r="C520" s="1" t="s">
        <v>677</v>
      </c>
      <c r="D520" s="1" t="s">
        <v>712</v>
      </c>
      <c r="E520" s="1" t="s">
        <v>16</v>
      </c>
      <c r="F520" s="1">
        <v>2</v>
      </c>
      <c r="G520" s="1" t="str">
        <f>CONCATENATE(Table1[[#This Row],[Duration_Years]]," ","years")</f>
        <v>2 years</v>
      </c>
      <c r="H520" s="11">
        <v>0</v>
      </c>
      <c r="I520" s="1">
        <v>68.400000000000006</v>
      </c>
      <c r="J520" s="11">
        <v>850</v>
      </c>
      <c r="K520" s="11">
        <v>450</v>
      </c>
      <c r="L520" s="11">
        <v>800</v>
      </c>
      <c r="M520" s="22">
        <v>7.45</v>
      </c>
      <c r="N520" s="3" t="str">
        <f>IF(Table1[[#This Row],[Exchange_Rate]]&lt;5,"Strong Currency", IF(Table1[[#This Row],[Exchange_Rate]]&lt;=1000, "Medium Currency","Weak Currency"))</f>
        <v>Medium Currency</v>
      </c>
      <c r="O520" s="11">
        <f>(Table1[[#This Row],[Living_Cost_Index]]/123.3)*1850</f>
        <v>1026.277372262774</v>
      </c>
      <c r="P520" s="11">
        <f>Table1[[#This Row],[Monthly_Estimated_Living_cost]]*12</f>
        <v>12315.328467153287</v>
      </c>
      <c r="Q520" s="13">
        <f>Table1[[#This Row],[Tuition_USD]]+Table1[[#This Row],[Rent_USD]]+Table1[[#This Row],[Insurance_USD]]+Table1[[#This Row],[Visa_Fee_USD]]+Table1[[#This Row],[Annual_Estimated_Living_cost]]</f>
        <v>14415.328467153287</v>
      </c>
    </row>
    <row r="521" spans="1:17" x14ac:dyDescent="0.25">
      <c r="A521" s="2" t="s">
        <v>195</v>
      </c>
      <c r="B521" s="1" t="s">
        <v>713</v>
      </c>
      <c r="C521" s="1" t="s">
        <v>714</v>
      </c>
      <c r="D521" s="1" t="s">
        <v>715</v>
      </c>
      <c r="E521" s="1" t="s">
        <v>1353</v>
      </c>
      <c r="F521" s="1">
        <v>4</v>
      </c>
      <c r="G521" s="1" t="str">
        <f>CONCATENATE(Table1[[#This Row],[Duration_Years]]," ","years")</f>
        <v>4 years</v>
      </c>
      <c r="H521" s="11">
        <v>0</v>
      </c>
      <c r="I521" s="1">
        <v>67.8</v>
      </c>
      <c r="J521" s="11">
        <v>850</v>
      </c>
      <c r="K521" s="11">
        <v>275</v>
      </c>
      <c r="L521" s="11">
        <v>700</v>
      </c>
      <c r="M521" s="22">
        <v>10.45</v>
      </c>
      <c r="N521" s="3" t="str">
        <f>IF(Table1[[#This Row],[Exchange_Rate]]&lt;5,"Strong Currency", IF(Table1[[#This Row],[Exchange_Rate]]&lt;=1000, "Medium Currency","Weak Currency"))</f>
        <v>Medium Currency</v>
      </c>
      <c r="O521" s="11">
        <f>(Table1[[#This Row],[Living_Cost_Index]]/123.3)*1850</f>
        <v>1017.2749391727493</v>
      </c>
      <c r="P521" s="11">
        <f>Table1[[#This Row],[Monthly_Estimated_Living_cost]]*12</f>
        <v>12207.299270072992</v>
      </c>
      <c r="Q521" s="13">
        <f>Table1[[#This Row],[Tuition_USD]]+Table1[[#This Row],[Rent_USD]]+Table1[[#This Row],[Insurance_USD]]+Table1[[#This Row],[Visa_Fee_USD]]+Table1[[#This Row],[Annual_Estimated_Living_cost]]</f>
        <v>14032.299270072992</v>
      </c>
    </row>
    <row r="522" spans="1:17" x14ac:dyDescent="0.25">
      <c r="A522" s="2" t="s">
        <v>192</v>
      </c>
      <c r="B522" s="1" t="s">
        <v>716</v>
      </c>
      <c r="C522" s="1" t="s">
        <v>717</v>
      </c>
      <c r="D522" s="1" t="s">
        <v>198</v>
      </c>
      <c r="E522" s="1" t="s">
        <v>75</v>
      </c>
      <c r="F522" s="1">
        <v>3</v>
      </c>
      <c r="G522" s="1" t="str">
        <f>CONCATENATE(Table1[[#This Row],[Duration_Years]]," ","years")</f>
        <v>3 years</v>
      </c>
      <c r="H522" s="11">
        <v>0</v>
      </c>
      <c r="I522" s="1">
        <v>66.900000000000006</v>
      </c>
      <c r="J522" s="11">
        <v>700</v>
      </c>
      <c r="K522" s="11">
        <v>350</v>
      </c>
      <c r="L522" s="11">
        <v>650</v>
      </c>
      <c r="M522" s="22">
        <v>0.92</v>
      </c>
      <c r="N522" s="3" t="str">
        <f>IF(Table1[[#This Row],[Exchange_Rate]]&lt;5,"Strong Currency", IF(Table1[[#This Row],[Exchange_Rate]]&lt;=1000, "Medium Currency","Weak Currency"))</f>
        <v>Strong Currency</v>
      </c>
      <c r="O522" s="11">
        <f>(Table1[[#This Row],[Living_Cost_Index]]/123.3)*1850</f>
        <v>1003.7712895377128</v>
      </c>
      <c r="P522" s="11">
        <f>Table1[[#This Row],[Monthly_Estimated_Living_cost]]*12</f>
        <v>12045.255474452555</v>
      </c>
      <c r="Q522" s="13">
        <f>Table1[[#This Row],[Tuition_USD]]+Table1[[#This Row],[Rent_USD]]+Table1[[#This Row],[Insurance_USD]]+Table1[[#This Row],[Visa_Fee_USD]]+Table1[[#This Row],[Annual_Estimated_Living_cost]]</f>
        <v>13745.255474452555</v>
      </c>
    </row>
    <row r="523" spans="1:17" x14ac:dyDescent="0.25">
      <c r="A523" s="2" t="s">
        <v>29</v>
      </c>
      <c r="B523" s="1" t="s">
        <v>252</v>
      </c>
      <c r="C523" s="1" t="s">
        <v>253</v>
      </c>
      <c r="D523" s="1" t="s">
        <v>718</v>
      </c>
      <c r="E523" s="1" t="s">
        <v>16</v>
      </c>
      <c r="F523" s="1">
        <v>2</v>
      </c>
      <c r="G523" s="1" t="str">
        <f>CONCATENATE(Table1[[#This Row],[Duration_Years]]," ","years")</f>
        <v>2 years</v>
      </c>
      <c r="H523" s="11">
        <v>0</v>
      </c>
      <c r="I523" s="1">
        <v>68.900000000000006</v>
      </c>
      <c r="J523" s="11">
        <v>1000</v>
      </c>
      <c r="K523" s="11">
        <v>110</v>
      </c>
      <c r="L523" s="11">
        <v>900</v>
      </c>
      <c r="M523" s="22">
        <v>0.92</v>
      </c>
      <c r="N523" s="3" t="str">
        <f>IF(Table1[[#This Row],[Exchange_Rate]]&lt;5,"Strong Currency", IF(Table1[[#This Row],[Exchange_Rate]]&lt;=1000, "Medium Currency","Weak Currency"))</f>
        <v>Strong Currency</v>
      </c>
      <c r="O523" s="11">
        <f>(Table1[[#This Row],[Living_Cost_Index]]/123.3)*1850</f>
        <v>1033.779399837794</v>
      </c>
      <c r="P523" s="11">
        <f>Table1[[#This Row],[Monthly_Estimated_Living_cost]]*12</f>
        <v>12405.352798053529</v>
      </c>
      <c r="Q523" s="13">
        <f>Table1[[#This Row],[Tuition_USD]]+Table1[[#This Row],[Rent_USD]]+Table1[[#This Row],[Insurance_USD]]+Table1[[#This Row],[Visa_Fee_USD]]+Table1[[#This Row],[Annual_Estimated_Living_cost]]</f>
        <v>14415.352798053529</v>
      </c>
    </row>
    <row r="524" spans="1:17" x14ac:dyDescent="0.25">
      <c r="A524" s="2" t="s">
        <v>56</v>
      </c>
      <c r="B524" s="1" t="s">
        <v>719</v>
      </c>
      <c r="C524" s="1" t="s">
        <v>58</v>
      </c>
      <c r="D524" s="1" t="s">
        <v>59</v>
      </c>
      <c r="E524" s="1" t="s">
        <v>16</v>
      </c>
      <c r="F524" s="1">
        <v>2</v>
      </c>
      <c r="G524" s="1" t="str">
        <f>CONCATENATE(Table1[[#This Row],[Duration_Years]]," ","years")</f>
        <v>2 years</v>
      </c>
      <c r="H524" s="11">
        <v>0</v>
      </c>
      <c r="I524" s="1">
        <v>67.5</v>
      </c>
      <c r="J524" s="11">
        <v>900</v>
      </c>
      <c r="K524" s="11">
        <v>450</v>
      </c>
      <c r="L524" s="11">
        <v>800</v>
      </c>
      <c r="M524" s="22">
        <v>7.45</v>
      </c>
      <c r="N524" s="3" t="str">
        <f>IF(Table1[[#This Row],[Exchange_Rate]]&lt;5,"Strong Currency", IF(Table1[[#This Row],[Exchange_Rate]]&lt;=1000, "Medium Currency","Weak Currency"))</f>
        <v>Medium Currency</v>
      </c>
      <c r="O524" s="11">
        <f>(Table1[[#This Row],[Living_Cost_Index]]/123.3)*1850</f>
        <v>1012.7737226277372</v>
      </c>
      <c r="P524" s="11">
        <f>Table1[[#This Row],[Monthly_Estimated_Living_cost]]*12</f>
        <v>12153.284671532847</v>
      </c>
      <c r="Q524" s="13">
        <f>Table1[[#This Row],[Tuition_USD]]+Table1[[#This Row],[Rent_USD]]+Table1[[#This Row],[Insurance_USD]]+Table1[[#This Row],[Visa_Fee_USD]]+Table1[[#This Row],[Annual_Estimated_Living_cost]]</f>
        <v>14303.284671532847</v>
      </c>
    </row>
    <row r="525" spans="1:17" x14ac:dyDescent="0.25">
      <c r="A525" s="2" t="s">
        <v>195</v>
      </c>
      <c r="B525" s="1" t="s">
        <v>720</v>
      </c>
      <c r="C525" s="1" t="s">
        <v>721</v>
      </c>
      <c r="D525" s="1" t="s">
        <v>722</v>
      </c>
      <c r="E525" s="1" t="s">
        <v>16</v>
      </c>
      <c r="F525" s="1">
        <v>2</v>
      </c>
      <c r="G525" s="1" t="str">
        <f>CONCATENATE(Table1[[#This Row],[Duration_Years]]," ","years")</f>
        <v>2 years</v>
      </c>
      <c r="H525" s="11">
        <v>0</v>
      </c>
      <c r="I525" s="1">
        <v>66.7</v>
      </c>
      <c r="J525" s="11">
        <v>800</v>
      </c>
      <c r="K525" s="11">
        <v>275</v>
      </c>
      <c r="L525" s="11">
        <v>700</v>
      </c>
      <c r="M525" s="22">
        <v>10.45</v>
      </c>
      <c r="N525" s="3" t="str">
        <f>IF(Table1[[#This Row],[Exchange_Rate]]&lt;5,"Strong Currency", IF(Table1[[#This Row],[Exchange_Rate]]&lt;=1000, "Medium Currency","Weak Currency"))</f>
        <v>Medium Currency</v>
      </c>
      <c r="O525" s="11">
        <f>(Table1[[#This Row],[Living_Cost_Index]]/123.3)*1850</f>
        <v>1000.7704785077049</v>
      </c>
      <c r="P525" s="11">
        <f>Table1[[#This Row],[Monthly_Estimated_Living_cost]]*12</f>
        <v>12009.245742092458</v>
      </c>
      <c r="Q525" s="13">
        <f>Table1[[#This Row],[Tuition_USD]]+Table1[[#This Row],[Rent_USD]]+Table1[[#This Row],[Insurance_USD]]+Table1[[#This Row],[Visa_Fee_USD]]+Table1[[#This Row],[Annual_Estimated_Living_cost]]</f>
        <v>13784.245742092458</v>
      </c>
    </row>
    <row r="526" spans="1:17" x14ac:dyDescent="0.25">
      <c r="A526" s="2" t="s">
        <v>192</v>
      </c>
      <c r="B526" s="1" t="s">
        <v>723</v>
      </c>
      <c r="C526" s="1" t="s">
        <v>717</v>
      </c>
      <c r="D526" s="1" t="s">
        <v>724</v>
      </c>
      <c r="E526" s="1" t="s">
        <v>1353</v>
      </c>
      <c r="F526" s="1">
        <v>4</v>
      </c>
      <c r="G526" s="1" t="str">
        <f>CONCATENATE(Table1[[#This Row],[Duration_Years]]," ","years")</f>
        <v>4 years</v>
      </c>
      <c r="H526" s="11">
        <v>0</v>
      </c>
      <c r="I526" s="1">
        <v>65.8</v>
      </c>
      <c r="J526" s="11">
        <v>650</v>
      </c>
      <c r="K526" s="11">
        <v>350</v>
      </c>
      <c r="L526" s="11">
        <v>650</v>
      </c>
      <c r="M526" s="22">
        <v>0.92</v>
      </c>
      <c r="N526" s="3" t="str">
        <f>IF(Table1[[#This Row],[Exchange_Rate]]&lt;5,"Strong Currency", IF(Table1[[#This Row],[Exchange_Rate]]&lt;=1000, "Medium Currency","Weak Currency"))</f>
        <v>Strong Currency</v>
      </c>
      <c r="O526" s="11">
        <f>(Table1[[#This Row],[Living_Cost_Index]]/123.3)*1850</f>
        <v>987.26682887266816</v>
      </c>
      <c r="P526" s="11">
        <f>Table1[[#This Row],[Monthly_Estimated_Living_cost]]*12</f>
        <v>11847.201946472018</v>
      </c>
      <c r="Q526" s="13">
        <f>Table1[[#This Row],[Tuition_USD]]+Table1[[#This Row],[Rent_USD]]+Table1[[#This Row],[Insurance_USD]]+Table1[[#This Row],[Visa_Fee_USD]]+Table1[[#This Row],[Annual_Estimated_Living_cost]]</f>
        <v>13497.201946472018</v>
      </c>
    </row>
    <row r="527" spans="1:17" x14ac:dyDescent="0.25">
      <c r="A527" s="2" t="s">
        <v>29</v>
      </c>
      <c r="B527" s="1" t="s">
        <v>261</v>
      </c>
      <c r="C527" s="1" t="s">
        <v>262</v>
      </c>
      <c r="D527" s="1" t="s">
        <v>725</v>
      </c>
      <c r="E527" s="1" t="s">
        <v>16</v>
      </c>
      <c r="F527" s="1">
        <v>2</v>
      </c>
      <c r="G527" s="1" t="str">
        <f>CONCATENATE(Table1[[#This Row],[Duration_Years]]," ","years")</f>
        <v>2 years</v>
      </c>
      <c r="H527" s="11">
        <v>0</v>
      </c>
      <c r="I527" s="1">
        <v>65.400000000000006</v>
      </c>
      <c r="J527" s="11">
        <v>850</v>
      </c>
      <c r="K527" s="11">
        <v>110</v>
      </c>
      <c r="L527" s="11">
        <v>900</v>
      </c>
      <c r="M527" s="22">
        <v>0.92</v>
      </c>
      <c r="N527" s="3" t="str">
        <f>IF(Table1[[#This Row],[Exchange_Rate]]&lt;5,"Strong Currency", IF(Table1[[#This Row],[Exchange_Rate]]&lt;=1000, "Medium Currency","Weak Currency"))</f>
        <v>Strong Currency</v>
      </c>
      <c r="O527" s="11">
        <f>(Table1[[#This Row],[Living_Cost_Index]]/123.3)*1850</f>
        <v>981.26520681265208</v>
      </c>
      <c r="P527" s="11">
        <f>Table1[[#This Row],[Monthly_Estimated_Living_cost]]*12</f>
        <v>11775.182481751825</v>
      </c>
      <c r="Q527" s="13">
        <f>Table1[[#This Row],[Tuition_USD]]+Table1[[#This Row],[Rent_USD]]+Table1[[#This Row],[Insurance_USD]]+Table1[[#This Row],[Visa_Fee_USD]]+Table1[[#This Row],[Annual_Estimated_Living_cost]]</f>
        <v>13635.182481751825</v>
      </c>
    </row>
    <row r="528" spans="1:17" x14ac:dyDescent="0.25">
      <c r="A528" s="2" t="s">
        <v>56</v>
      </c>
      <c r="B528" s="1" t="s">
        <v>726</v>
      </c>
      <c r="C528" s="1" t="s">
        <v>460</v>
      </c>
      <c r="D528" s="1" t="s">
        <v>727</v>
      </c>
      <c r="E528" s="1" t="s">
        <v>16</v>
      </c>
      <c r="F528" s="1">
        <v>2</v>
      </c>
      <c r="G528" s="1" t="str">
        <f>CONCATENATE(Table1[[#This Row],[Duration_Years]]," ","years")</f>
        <v>2 years</v>
      </c>
      <c r="H528" s="11">
        <v>0</v>
      </c>
      <c r="I528" s="1">
        <v>66.2</v>
      </c>
      <c r="J528" s="11">
        <v>800</v>
      </c>
      <c r="K528" s="11">
        <v>450</v>
      </c>
      <c r="L528" s="11">
        <v>800</v>
      </c>
      <c r="M528" s="22">
        <v>7.45</v>
      </c>
      <c r="N528" s="3" t="str">
        <f>IF(Table1[[#This Row],[Exchange_Rate]]&lt;5,"Strong Currency", IF(Table1[[#This Row],[Exchange_Rate]]&lt;=1000, "Medium Currency","Weak Currency"))</f>
        <v>Medium Currency</v>
      </c>
      <c r="O528" s="11">
        <f>(Table1[[#This Row],[Living_Cost_Index]]/123.3)*1850</f>
        <v>993.26845093268469</v>
      </c>
      <c r="P528" s="11">
        <f>Table1[[#This Row],[Monthly_Estimated_Living_cost]]*12</f>
        <v>11919.221411192217</v>
      </c>
      <c r="Q528" s="13">
        <f>Table1[[#This Row],[Tuition_USD]]+Table1[[#This Row],[Rent_USD]]+Table1[[#This Row],[Insurance_USD]]+Table1[[#This Row],[Visa_Fee_USD]]+Table1[[#This Row],[Annual_Estimated_Living_cost]]</f>
        <v>13969.221411192217</v>
      </c>
    </row>
    <row r="529" spans="1:17" x14ac:dyDescent="0.25">
      <c r="A529" s="2" t="s">
        <v>76</v>
      </c>
      <c r="B529" s="1" t="s">
        <v>77</v>
      </c>
      <c r="C529" s="1" t="s">
        <v>78</v>
      </c>
      <c r="D529" s="1" t="s">
        <v>15</v>
      </c>
      <c r="E529" s="1" t="s">
        <v>16</v>
      </c>
      <c r="F529" s="1">
        <v>2</v>
      </c>
      <c r="G529" s="1" t="str">
        <f>CONCATENATE(Table1[[#This Row],[Duration_Years]]," ","years")</f>
        <v>2 years</v>
      </c>
      <c r="H529" s="11">
        <v>32000</v>
      </c>
      <c r="I529" s="1">
        <v>79.5</v>
      </c>
      <c r="J529" s="11">
        <v>1200</v>
      </c>
      <c r="K529" s="11">
        <v>330</v>
      </c>
      <c r="L529" s="11">
        <v>600</v>
      </c>
      <c r="M529" s="22">
        <v>1.65</v>
      </c>
      <c r="N529" s="3" t="str">
        <f>IF(Table1[[#This Row],[Exchange_Rate]]&lt;5,"Strong Currency", IF(Table1[[#This Row],[Exchange_Rate]]&lt;=1000, "Medium Currency","Weak Currency"))</f>
        <v>Strong Currency</v>
      </c>
      <c r="O529" s="11">
        <f>(Table1[[#This Row],[Living_Cost_Index]]/123.3)*1850</f>
        <v>1192.8223844282238</v>
      </c>
      <c r="P529" s="11">
        <f>Table1[[#This Row],[Monthly_Estimated_Living_cost]]*12</f>
        <v>14313.868613138686</v>
      </c>
      <c r="Q529" s="13">
        <f>Table1[[#This Row],[Tuition_USD]]+Table1[[#This Row],[Rent_USD]]+Table1[[#This Row],[Insurance_USD]]+Table1[[#This Row],[Visa_Fee_USD]]+Table1[[#This Row],[Annual_Estimated_Living_cost]]</f>
        <v>48443.868613138686</v>
      </c>
    </row>
    <row r="530" spans="1:17" x14ac:dyDescent="0.25">
      <c r="A530" s="2" t="s">
        <v>12</v>
      </c>
      <c r="B530" s="1" t="s">
        <v>122</v>
      </c>
      <c r="C530" s="1" t="s">
        <v>644</v>
      </c>
      <c r="D530" s="1" t="s">
        <v>20</v>
      </c>
      <c r="E530" s="1" t="s">
        <v>16</v>
      </c>
      <c r="F530" s="1">
        <v>2</v>
      </c>
      <c r="G530" s="1" t="str">
        <f>CONCATENATE(Table1[[#This Row],[Duration_Years]]," ","years")</f>
        <v>2 years</v>
      </c>
      <c r="H530" s="11">
        <v>54000</v>
      </c>
      <c r="I530" s="1">
        <v>82.1</v>
      </c>
      <c r="J530" s="11">
        <v>2000</v>
      </c>
      <c r="K530" s="11">
        <v>160</v>
      </c>
      <c r="L530" s="11">
        <v>1500</v>
      </c>
      <c r="M530" s="22">
        <v>1</v>
      </c>
      <c r="N530" s="3" t="str">
        <f>IF(Table1[[#This Row],[Exchange_Rate]]&lt;5,"Strong Currency", IF(Table1[[#This Row],[Exchange_Rate]]&lt;=1000, "Medium Currency","Weak Currency"))</f>
        <v>Strong Currency</v>
      </c>
      <c r="O530" s="11">
        <f>(Table1[[#This Row],[Living_Cost_Index]]/123.3)*1850</f>
        <v>1231.8329278183292</v>
      </c>
      <c r="P530" s="11">
        <f>Table1[[#This Row],[Monthly_Estimated_Living_cost]]*12</f>
        <v>14781.99513381995</v>
      </c>
      <c r="Q530" s="13">
        <f>Table1[[#This Row],[Tuition_USD]]+Table1[[#This Row],[Rent_USD]]+Table1[[#This Row],[Insurance_USD]]+Table1[[#This Row],[Visa_Fee_USD]]+Table1[[#This Row],[Annual_Estimated_Living_cost]]</f>
        <v>72441.995133819946</v>
      </c>
    </row>
    <row r="531" spans="1:17" x14ac:dyDescent="0.25">
      <c r="A531" s="2" t="s">
        <v>52</v>
      </c>
      <c r="B531" s="1" t="s">
        <v>53</v>
      </c>
      <c r="C531" s="1" t="s">
        <v>54</v>
      </c>
      <c r="D531" s="1" t="s">
        <v>728</v>
      </c>
      <c r="E531" s="1" t="s">
        <v>16</v>
      </c>
      <c r="F531" s="1">
        <v>2</v>
      </c>
      <c r="G531" s="1" t="str">
        <f>CONCATENATE(Table1[[#This Row],[Duration_Years]]," ","years")</f>
        <v>2 years</v>
      </c>
      <c r="H531" s="11">
        <v>0</v>
      </c>
      <c r="I531" s="1">
        <v>78.400000000000006</v>
      </c>
      <c r="J531" s="11">
        <v>1100</v>
      </c>
      <c r="K531" s="11">
        <v>120</v>
      </c>
      <c r="L531" s="11">
        <v>750</v>
      </c>
      <c r="M531" s="22">
        <v>10.45</v>
      </c>
      <c r="N531" s="3" t="str">
        <f>IF(Table1[[#This Row],[Exchange_Rate]]&lt;5,"Strong Currency", IF(Table1[[#This Row],[Exchange_Rate]]&lt;=1000, "Medium Currency","Weak Currency"))</f>
        <v>Medium Currency</v>
      </c>
      <c r="O531" s="11">
        <f>(Table1[[#This Row],[Living_Cost_Index]]/123.3)*1850</f>
        <v>1176.3179237631794</v>
      </c>
      <c r="P531" s="11">
        <f>Table1[[#This Row],[Monthly_Estimated_Living_cost]]*12</f>
        <v>14115.815085158152</v>
      </c>
      <c r="Q531" s="13">
        <f>Table1[[#This Row],[Tuition_USD]]+Table1[[#This Row],[Rent_USD]]+Table1[[#This Row],[Insurance_USD]]+Table1[[#This Row],[Visa_Fee_USD]]+Table1[[#This Row],[Annual_Estimated_Living_cost]]</f>
        <v>16085.815085158152</v>
      </c>
    </row>
    <row r="532" spans="1:17" x14ac:dyDescent="0.25">
      <c r="A532" s="2" t="s">
        <v>37</v>
      </c>
      <c r="B532" s="1" t="s">
        <v>38</v>
      </c>
      <c r="C532" s="1" t="s">
        <v>39</v>
      </c>
      <c r="D532" s="1" t="s">
        <v>40</v>
      </c>
      <c r="E532" s="1" t="s">
        <v>1353</v>
      </c>
      <c r="F532" s="1">
        <v>4</v>
      </c>
      <c r="G532" s="1" t="str">
        <f>CONCATENATE(Table1[[#This Row],[Duration_Years]]," ","years")</f>
        <v>4 years</v>
      </c>
      <c r="H532" s="11">
        <v>15000</v>
      </c>
      <c r="I532" s="1">
        <v>81.2</v>
      </c>
      <c r="J532" s="11">
        <v>1300</v>
      </c>
      <c r="K532" s="11">
        <v>171</v>
      </c>
      <c r="L532" s="11">
        <v>720</v>
      </c>
      <c r="M532" s="22">
        <v>0.92</v>
      </c>
      <c r="N532" s="3" t="str">
        <f>IF(Table1[[#This Row],[Exchange_Rate]]&lt;5,"Strong Currency", IF(Table1[[#This Row],[Exchange_Rate]]&lt;=1000, "Medium Currency","Weak Currency"))</f>
        <v>Strong Currency</v>
      </c>
      <c r="O532" s="11">
        <f>(Table1[[#This Row],[Living_Cost_Index]]/123.3)*1850</f>
        <v>1218.3292781832929</v>
      </c>
      <c r="P532" s="11">
        <f>Table1[[#This Row],[Monthly_Estimated_Living_cost]]*12</f>
        <v>14619.951338199515</v>
      </c>
      <c r="Q532" s="13">
        <f>Table1[[#This Row],[Tuition_USD]]+Table1[[#This Row],[Rent_USD]]+Table1[[#This Row],[Insurance_USD]]+Table1[[#This Row],[Visa_Fee_USD]]+Table1[[#This Row],[Annual_Estimated_Living_cost]]</f>
        <v>31810.951338199513</v>
      </c>
    </row>
    <row r="533" spans="1:17" x14ac:dyDescent="0.25">
      <c r="A533" s="2" t="s">
        <v>105</v>
      </c>
      <c r="B533" s="1" t="s">
        <v>106</v>
      </c>
      <c r="C533" s="1" t="s">
        <v>107</v>
      </c>
      <c r="D533" s="1" t="s">
        <v>63</v>
      </c>
      <c r="E533" s="1" t="s">
        <v>16</v>
      </c>
      <c r="F533" s="1">
        <v>2</v>
      </c>
      <c r="G533" s="1" t="str">
        <f>CONCATENATE(Table1[[#This Row],[Duration_Years]]," ","years")</f>
        <v>2 years</v>
      </c>
      <c r="H533" s="11">
        <v>7000</v>
      </c>
      <c r="I533" s="1">
        <v>65.8</v>
      </c>
      <c r="J533" s="11">
        <v>800</v>
      </c>
      <c r="K533" s="11">
        <v>75</v>
      </c>
      <c r="L533" s="11">
        <v>400</v>
      </c>
      <c r="M533" s="22">
        <v>0.92</v>
      </c>
      <c r="N533" s="3" t="str">
        <f>IF(Table1[[#This Row],[Exchange_Rate]]&lt;5,"Strong Currency", IF(Table1[[#This Row],[Exchange_Rate]]&lt;=1000, "Medium Currency","Weak Currency"))</f>
        <v>Strong Currency</v>
      </c>
      <c r="O533" s="11">
        <f>(Table1[[#This Row],[Living_Cost_Index]]/123.3)*1850</f>
        <v>987.26682887266816</v>
      </c>
      <c r="P533" s="11">
        <f>Table1[[#This Row],[Monthly_Estimated_Living_cost]]*12</f>
        <v>11847.201946472018</v>
      </c>
      <c r="Q533" s="13">
        <f>Table1[[#This Row],[Tuition_USD]]+Table1[[#This Row],[Rent_USD]]+Table1[[#This Row],[Insurance_USD]]+Table1[[#This Row],[Visa_Fee_USD]]+Table1[[#This Row],[Annual_Estimated_Living_cost]]</f>
        <v>20122.201946472018</v>
      </c>
    </row>
    <row r="534" spans="1:17" x14ac:dyDescent="0.25">
      <c r="A534" s="2" t="s">
        <v>76</v>
      </c>
      <c r="B534" s="1" t="s">
        <v>729</v>
      </c>
      <c r="C534" s="1" t="s">
        <v>730</v>
      </c>
      <c r="D534" s="1" t="s">
        <v>71</v>
      </c>
      <c r="E534" s="1" t="s">
        <v>16</v>
      </c>
      <c r="F534" s="1">
        <v>2</v>
      </c>
      <c r="G534" s="1" t="str">
        <f>CONCATENATE(Table1[[#This Row],[Duration_Years]]," ","years")</f>
        <v>2 years</v>
      </c>
      <c r="H534" s="11">
        <v>30000</v>
      </c>
      <c r="I534" s="1">
        <v>75.599999999999994</v>
      </c>
      <c r="J534" s="11">
        <v>1100</v>
      </c>
      <c r="K534" s="11">
        <v>330</v>
      </c>
      <c r="L534" s="11">
        <v>600</v>
      </c>
      <c r="M534" s="22">
        <v>1.65</v>
      </c>
      <c r="N534" s="3" t="str">
        <f>IF(Table1[[#This Row],[Exchange_Rate]]&lt;5,"Strong Currency", IF(Table1[[#This Row],[Exchange_Rate]]&lt;=1000, "Medium Currency","Weak Currency"))</f>
        <v>Strong Currency</v>
      </c>
      <c r="O534" s="11">
        <f>(Table1[[#This Row],[Living_Cost_Index]]/123.3)*1850</f>
        <v>1134.3065693430656</v>
      </c>
      <c r="P534" s="11">
        <f>Table1[[#This Row],[Monthly_Estimated_Living_cost]]*12</f>
        <v>13611.678832116788</v>
      </c>
      <c r="Q534" s="13">
        <f>Table1[[#This Row],[Tuition_USD]]+Table1[[#This Row],[Rent_USD]]+Table1[[#This Row],[Insurance_USD]]+Table1[[#This Row],[Visa_Fee_USD]]+Table1[[#This Row],[Annual_Estimated_Living_cost]]</f>
        <v>45641.678832116784</v>
      </c>
    </row>
    <row r="535" spans="1:17" x14ac:dyDescent="0.25">
      <c r="A535" s="2" t="s">
        <v>12</v>
      </c>
      <c r="B535" s="1" t="s">
        <v>94</v>
      </c>
      <c r="C535" s="1" t="s">
        <v>95</v>
      </c>
      <c r="D535" s="1" t="s">
        <v>136</v>
      </c>
      <c r="E535" s="1" t="s">
        <v>1353</v>
      </c>
      <c r="F535" s="1">
        <v>5</v>
      </c>
      <c r="G535" s="1" t="str">
        <f>CONCATENATE(Table1[[#This Row],[Duration_Years]]," ","years")</f>
        <v>5 years</v>
      </c>
      <c r="H535" s="11">
        <v>48000</v>
      </c>
      <c r="I535" s="1">
        <v>68.900000000000006</v>
      </c>
      <c r="J535" s="11">
        <v>1600</v>
      </c>
      <c r="K535" s="11">
        <v>160</v>
      </c>
      <c r="L535" s="11">
        <v>1500</v>
      </c>
      <c r="M535" s="22">
        <v>1</v>
      </c>
      <c r="N535" s="3" t="str">
        <f>IF(Table1[[#This Row],[Exchange_Rate]]&lt;5,"Strong Currency", IF(Table1[[#This Row],[Exchange_Rate]]&lt;=1000, "Medium Currency","Weak Currency"))</f>
        <v>Strong Currency</v>
      </c>
      <c r="O535" s="11">
        <f>(Table1[[#This Row],[Living_Cost_Index]]/123.3)*1850</f>
        <v>1033.779399837794</v>
      </c>
      <c r="P535" s="11">
        <f>Table1[[#This Row],[Monthly_Estimated_Living_cost]]*12</f>
        <v>12405.352798053529</v>
      </c>
      <c r="Q535" s="13">
        <f>Table1[[#This Row],[Tuition_USD]]+Table1[[#This Row],[Rent_USD]]+Table1[[#This Row],[Insurance_USD]]+Table1[[#This Row],[Visa_Fee_USD]]+Table1[[#This Row],[Annual_Estimated_Living_cost]]</f>
        <v>63665.352798053529</v>
      </c>
    </row>
    <row r="536" spans="1:17" x14ac:dyDescent="0.25">
      <c r="A536" s="2" t="s">
        <v>52</v>
      </c>
      <c r="B536" s="1" t="s">
        <v>731</v>
      </c>
      <c r="C536" s="1" t="s">
        <v>732</v>
      </c>
      <c r="D536" s="1" t="s">
        <v>99</v>
      </c>
      <c r="E536" s="1" t="s">
        <v>75</v>
      </c>
      <c r="F536" s="1">
        <v>3</v>
      </c>
      <c r="G536" s="1" t="str">
        <f>CONCATENATE(Table1[[#This Row],[Duration_Years]]," ","years")</f>
        <v>3 years</v>
      </c>
      <c r="H536" s="11">
        <v>0</v>
      </c>
      <c r="I536" s="1">
        <v>72.3</v>
      </c>
      <c r="J536" s="11">
        <v>900</v>
      </c>
      <c r="K536" s="11">
        <v>120</v>
      </c>
      <c r="L536" s="11">
        <v>750</v>
      </c>
      <c r="M536" s="22">
        <v>10.45</v>
      </c>
      <c r="N536" s="3" t="str">
        <f>IF(Table1[[#This Row],[Exchange_Rate]]&lt;5,"Strong Currency", IF(Table1[[#This Row],[Exchange_Rate]]&lt;=1000, "Medium Currency","Weak Currency"))</f>
        <v>Medium Currency</v>
      </c>
      <c r="O536" s="11">
        <f>(Table1[[#This Row],[Living_Cost_Index]]/123.3)*1850</f>
        <v>1084.7931873479317</v>
      </c>
      <c r="P536" s="11">
        <f>Table1[[#This Row],[Monthly_Estimated_Living_cost]]*12</f>
        <v>13017.51824817518</v>
      </c>
      <c r="Q536" s="13">
        <f>Table1[[#This Row],[Tuition_USD]]+Table1[[#This Row],[Rent_USD]]+Table1[[#This Row],[Insurance_USD]]+Table1[[#This Row],[Visa_Fee_USD]]+Table1[[#This Row],[Annual_Estimated_Living_cost]]</f>
        <v>14787.51824817518</v>
      </c>
    </row>
    <row r="537" spans="1:17" x14ac:dyDescent="0.25">
      <c r="A537" s="2" t="s">
        <v>37</v>
      </c>
      <c r="B537" s="1" t="s">
        <v>190</v>
      </c>
      <c r="C537" s="1" t="s">
        <v>191</v>
      </c>
      <c r="D537" s="1" t="s">
        <v>24</v>
      </c>
      <c r="E537" s="1" t="s">
        <v>16</v>
      </c>
      <c r="F537" s="1">
        <v>2</v>
      </c>
      <c r="G537" s="1" t="str">
        <f>CONCATENATE(Table1[[#This Row],[Duration_Years]]," ","years")</f>
        <v>2 years</v>
      </c>
      <c r="H537" s="11">
        <v>14500</v>
      </c>
      <c r="I537" s="1">
        <v>77.8</v>
      </c>
      <c r="J537" s="11">
        <v>1200</v>
      </c>
      <c r="K537" s="11">
        <v>171</v>
      </c>
      <c r="L537" s="11">
        <v>720</v>
      </c>
      <c r="M537" s="22">
        <v>0.92</v>
      </c>
      <c r="N537" s="3" t="str">
        <f>IF(Table1[[#This Row],[Exchange_Rate]]&lt;5,"Strong Currency", IF(Table1[[#This Row],[Exchange_Rate]]&lt;=1000, "Medium Currency","Weak Currency"))</f>
        <v>Strong Currency</v>
      </c>
      <c r="O537" s="11">
        <f>(Table1[[#This Row],[Living_Cost_Index]]/123.3)*1850</f>
        <v>1167.315490673155</v>
      </c>
      <c r="P537" s="11">
        <f>Table1[[#This Row],[Monthly_Estimated_Living_cost]]*12</f>
        <v>14007.785888077859</v>
      </c>
      <c r="Q537" s="13">
        <f>Table1[[#This Row],[Tuition_USD]]+Table1[[#This Row],[Rent_USD]]+Table1[[#This Row],[Insurance_USD]]+Table1[[#This Row],[Visa_Fee_USD]]+Table1[[#This Row],[Annual_Estimated_Living_cost]]</f>
        <v>30598.785888077859</v>
      </c>
    </row>
    <row r="538" spans="1:17" x14ac:dyDescent="0.25">
      <c r="A538" s="2" t="s">
        <v>105</v>
      </c>
      <c r="B538" s="1" t="s">
        <v>733</v>
      </c>
      <c r="C538" s="1" t="s">
        <v>734</v>
      </c>
      <c r="D538" s="1" t="s">
        <v>207</v>
      </c>
      <c r="E538" s="1" t="s">
        <v>16</v>
      </c>
      <c r="F538" s="1">
        <v>2</v>
      </c>
      <c r="G538" s="1" t="str">
        <f>CONCATENATE(Table1[[#This Row],[Duration_Years]]," ","years")</f>
        <v>2 years</v>
      </c>
      <c r="H538" s="11">
        <v>6500</v>
      </c>
      <c r="I538" s="1">
        <v>62.4</v>
      </c>
      <c r="J538" s="11">
        <v>700</v>
      </c>
      <c r="K538" s="11">
        <v>75</v>
      </c>
      <c r="L538" s="11">
        <v>400</v>
      </c>
      <c r="M538" s="22">
        <v>0.92</v>
      </c>
      <c r="N538" s="3" t="str">
        <f>IF(Table1[[#This Row],[Exchange_Rate]]&lt;5,"Strong Currency", IF(Table1[[#This Row],[Exchange_Rate]]&lt;=1000, "Medium Currency","Weak Currency"))</f>
        <v>Strong Currency</v>
      </c>
      <c r="O538" s="11">
        <f>(Table1[[#This Row],[Living_Cost_Index]]/123.3)*1850</f>
        <v>936.25304136253055</v>
      </c>
      <c r="P538" s="11">
        <f>Table1[[#This Row],[Monthly_Estimated_Living_cost]]*12</f>
        <v>11235.036496350367</v>
      </c>
      <c r="Q538" s="13">
        <f>Table1[[#This Row],[Tuition_USD]]+Table1[[#This Row],[Rent_USD]]+Table1[[#This Row],[Insurance_USD]]+Table1[[#This Row],[Visa_Fee_USD]]+Table1[[#This Row],[Annual_Estimated_Living_cost]]</f>
        <v>18910.036496350367</v>
      </c>
    </row>
    <row r="539" spans="1:17" x14ac:dyDescent="0.25">
      <c r="A539" s="2" t="s">
        <v>76</v>
      </c>
      <c r="B539" s="1" t="s">
        <v>735</v>
      </c>
      <c r="C539" s="1" t="s">
        <v>736</v>
      </c>
      <c r="D539" s="1" t="s">
        <v>32</v>
      </c>
      <c r="E539" s="1" t="s">
        <v>1353</v>
      </c>
      <c r="F539" s="1">
        <v>4</v>
      </c>
      <c r="G539" s="1" t="str">
        <f>CONCATENATE(Table1[[#This Row],[Duration_Years]]," ","years")</f>
        <v>4 years</v>
      </c>
      <c r="H539" s="11">
        <v>31000</v>
      </c>
      <c r="I539" s="1">
        <v>72.400000000000006</v>
      </c>
      <c r="J539" s="11">
        <v>950</v>
      </c>
      <c r="K539" s="11">
        <v>330</v>
      </c>
      <c r="L539" s="11">
        <v>600</v>
      </c>
      <c r="M539" s="22">
        <v>1.65</v>
      </c>
      <c r="N539" s="3" t="str">
        <f>IF(Table1[[#This Row],[Exchange_Rate]]&lt;5,"Strong Currency", IF(Table1[[#This Row],[Exchange_Rate]]&lt;=1000, "Medium Currency","Weak Currency"))</f>
        <v>Strong Currency</v>
      </c>
      <c r="O539" s="11">
        <f>(Table1[[#This Row],[Living_Cost_Index]]/123.3)*1850</f>
        <v>1086.2935928629361</v>
      </c>
      <c r="P539" s="11">
        <f>Table1[[#This Row],[Monthly_Estimated_Living_cost]]*12</f>
        <v>13035.523114355234</v>
      </c>
      <c r="Q539" s="13">
        <f>Table1[[#This Row],[Tuition_USD]]+Table1[[#This Row],[Rent_USD]]+Table1[[#This Row],[Insurance_USD]]+Table1[[#This Row],[Visa_Fee_USD]]+Table1[[#This Row],[Annual_Estimated_Living_cost]]</f>
        <v>45915.523114355237</v>
      </c>
    </row>
    <row r="540" spans="1:17" x14ac:dyDescent="0.25">
      <c r="A540" s="2" t="s">
        <v>12</v>
      </c>
      <c r="B540" s="1" t="s">
        <v>147</v>
      </c>
      <c r="C540" s="1" t="s">
        <v>148</v>
      </c>
      <c r="D540" s="1" t="s">
        <v>630</v>
      </c>
      <c r="E540" s="1" t="s">
        <v>16</v>
      </c>
      <c r="F540" s="1">
        <v>2</v>
      </c>
      <c r="G540" s="1" t="str">
        <f>CONCATENATE(Table1[[#This Row],[Duration_Years]]," ","years")</f>
        <v>2 years</v>
      </c>
      <c r="H540" s="11">
        <v>49000</v>
      </c>
      <c r="I540" s="1">
        <v>75.599999999999994</v>
      </c>
      <c r="J540" s="11">
        <v>1900</v>
      </c>
      <c r="K540" s="11">
        <v>160</v>
      </c>
      <c r="L540" s="11">
        <v>1500</v>
      </c>
      <c r="M540" s="22">
        <v>1</v>
      </c>
      <c r="N540" s="3" t="str">
        <f>IF(Table1[[#This Row],[Exchange_Rate]]&lt;5,"Strong Currency", IF(Table1[[#This Row],[Exchange_Rate]]&lt;=1000, "Medium Currency","Weak Currency"))</f>
        <v>Strong Currency</v>
      </c>
      <c r="O540" s="11">
        <f>(Table1[[#This Row],[Living_Cost_Index]]/123.3)*1850</f>
        <v>1134.3065693430656</v>
      </c>
      <c r="P540" s="11">
        <f>Table1[[#This Row],[Monthly_Estimated_Living_cost]]*12</f>
        <v>13611.678832116788</v>
      </c>
      <c r="Q540" s="13">
        <f>Table1[[#This Row],[Tuition_USD]]+Table1[[#This Row],[Rent_USD]]+Table1[[#This Row],[Insurance_USD]]+Table1[[#This Row],[Visa_Fee_USD]]+Table1[[#This Row],[Annual_Estimated_Living_cost]]</f>
        <v>66171.678832116784</v>
      </c>
    </row>
    <row r="541" spans="1:17" x14ac:dyDescent="0.25">
      <c r="A541" s="2" t="s">
        <v>52</v>
      </c>
      <c r="B541" s="1" t="s">
        <v>737</v>
      </c>
      <c r="C541" s="1" t="s">
        <v>738</v>
      </c>
      <c r="D541" s="1" t="s">
        <v>739</v>
      </c>
      <c r="E541" s="1" t="s">
        <v>16</v>
      </c>
      <c r="F541" s="1">
        <v>2</v>
      </c>
      <c r="G541" s="1" t="str">
        <f>CONCATENATE(Table1[[#This Row],[Duration_Years]]," ","years")</f>
        <v>2 years</v>
      </c>
      <c r="H541" s="11">
        <v>0</v>
      </c>
      <c r="I541" s="1">
        <v>71.2</v>
      </c>
      <c r="J541" s="11">
        <v>950</v>
      </c>
      <c r="K541" s="11">
        <v>120</v>
      </c>
      <c r="L541" s="11">
        <v>750</v>
      </c>
      <c r="M541" s="22">
        <v>10.45</v>
      </c>
      <c r="N541" s="3" t="str">
        <f>IF(Table1[[#This Row],[Exchange_Rate]]&lt;5,"Strong Currency", IF(Table1[[#This Row],[Exchange_Rate]]&lt;=1000, "Medium Currency","Weak Currency"))</f>
        <v>Medium Currency</v>
      </c>
      <c r="O541" s="11">
        <f>(Table1[[#This Row],[Living_Cost_Index]]/123.3)*1850</f>
        <v>1068.2887266828873</v>
      </c>
      <c r="P541" s="11">
        <f>Table1[[#This Row],[Monthly_Estimated_Living_cost]]*12</f>
        <v>12819.464720194646</v>
      </c>
      <c r="Q541" s="13">
        <f>Table1[[#This Row],[Tuition_USD]]+Table1[[#This Row],[Rent_USD]]+Table1[[#This Row],[Insurance_USD]]+Table1[[#This Row],[Visa_Fee_USD]]+Table1[[#This Row],[Annual_Estimated_Living_cost]]</f>
        <v>14639.464720194646</v>
      </c>
    </row>
    <row r="542" spans="1:17" x14ac:dyDescent="0.25">
      <c r="A542" s="2" t="s">
        <v>37</v>
      </c>
      <c r="B542" s="1" t="s">
        <v>134</v>
      </c>
      <c r="C542" s="1" t="s">
        <v>135</v>
      </c>
      <c r="D542" s="1" t="s">
        <v>15</v>
      </c>
      <c r="E542" s="1" t="s">
        <v>16</v>
      </c>
      <c r="F542" s="1">
        <v>2</v>
      </c>
      <c r="G542" s="1" t="str">
        <f>CONCATENATE(Table1[[#This Row],[Duration_Years]]," ","years")</f>
        <v>2 years</v>
      </c>
      <c r="H542" s="11">
        <v>15500</v>
      </c>
      <c r="I542" s="1">
        <v>76.5</v>
      </c>
      <c r="J542" s="11">
        <v>1100</v>
      </c>
      <c r="K542" s="11">
        <v>171</v>
      </c>
      <c r="L542" s="11">
        <v>720</v>
      </c>
      <c r="M542" s="22">
        <v>0.92</v>
      </c>
      <c r="N542" s="3" t="str">
        <f>IF(Table1[[#This Row],[Exchange_Rate]]&lt;5,"Strong Currency", IF(Table1[[#This Row],[Exchange_Rate]]&lt;=1000, "Medium Currency","Weak Currency"))</f>
        <v>Strong Currency</v>
      </c>
      <c r="O542" s="11">
        <f>(Table1[[#This Row],[Living_Cost_Index]]/123.3)*1850</f>
        <v>1147.8102189781023</v>
      </c>
      <c r="P542" s="11">
        <f>Table1[[#This Row],[Monthly_Estimated_Living_cost]]*12</f>
        <v>13773.722627737228</v>
      </c>
      <c r="Q542" s="13">
        <f>Table1[[#This Row],[Tuition_USD]]+Table1[[#This Row],[Rent_USD]]+Table1[[#This Row],[Insurance_USD]]+Table1[[#This Row],[Visa_Fee_USD]]+Table1[[#This Row],[Annual_Estimated_Living_cost]]</f>
        <v>31264.722627737228</v>
      </c>
    </row>
    <row r="543" spans="1:17" x14ac:dyDescent="0.25">
      <c r="A543" s="2" t="s">
        <v>105</v>
      </c>
      <c r="B543" s="1" t="s">
        <v>740</v>
      </c>
      <c r="C543" s="1" t="s">
        <v>741</v>
      </c>
      <c r="D543" s="1" t="s">
        <v>20</v>
      </c>
      <c r="E543" s="1" t="s">
        <v>75</v>
      </c>
      <c r="F543" s="1">
        <v>3</v>
      </c>
      <c r="G543" s="1" t="str">
        <f>CONCATENATE(Table1[[#This Row],[Duration_Years]]," ","years")</f>
        <v>3 years</v>
      </c>
      <c r="H543" s="11">
        <v>6000</v>
      </c>
      <c r="I543" s="1">
        <v>58.9</v>
      </c>
      <c r="J543" s="11">
        <v>600</v>
      </c>
      <c r="K543" s="11">
        <v>75</v>
      </c>
      <c r="L543" s="11">
        <v>400</v>
      </c>
      <c r="M543" s="22">
        <v>0.92</v>
      </c>
      <c r="N543" s="3" t="str">
        <f>IF(Table1[[#This Row],[Exchange_Rate]]&lt;5,"Strong Currency", IF(Table1[[#This Row],[Exchange_Rate]]&lt;=1000, "Medium Currency","Weak Currency"))</f>
        <v>Strong Currency</v>
      </c>
      <c r="O543" s="11">
        <f>(Table1[[#This Row],[Living_Cost_Index]]/123.3)*1850</f>
        <v>883.7388483373885</v>
      </c>
      <c r="P543" s="11">
        <f>Table1[[#This Row],[Monthly_Estimated_Living_cost]]*12</f>
        <v>10604.866180048662</v>
      </c>
      <c r="Q543" s="13">
        <f>Table1[[#This Row],[Tuition_USD]]+Table1[[#This Row],[Rent_USD]]+Table1[[#This Row],[Insurance_USD]]+Table1[[#This Row],[Visa_Fee_USD]]+Table1[[#This Row],[Annual_Estimated_Living_cost]]</f>
        <v>17679.866180048662</v>
      </c>
    </row>
    <row r="544" spans="1:17" x14ac:dyDescent="0.25">
      <c r="A544" s="2" t="s">
        <v>76</v>
      </c>
      <c r="B544" s="1" t="s">
        <v>742</v>
      </c>
      <c r="C544" s="1" t="s">
        <v>743</v>
      </c>
      <c r="D544" s="1" t="s">
        <v>215</v>
      </c>
      <c r="E544" s="1" t="s">
        <v>16</v>
      </c>
      <c r="F544" s="1">
        <v>2</v>
      </c>
      <c r="G544" s="1" t="str">
        <f>CONCATENATE(Table1[[#This Row],[Duration_Years]]," ","years")</f>
        <v>2 years</v>
      </c>
      <c r="H544" s="11">
        <v>29000</v>
      </c>
      <c r="I544" s="1">
        <v>70.2</v>
      </c>
      <c r="J544" s="11">
        <v>900</v>
      </c>
      <c r="K544" s="11">
        <v>330</v>
      </c>
      <c r="L544" s="11">
        <v>600</v>
      </c>
      <c r="M544" s="22">
        <v>1.65</v>
      </c>
      <c r="N544" s="3" t="str">
        <f>IF(Table1[[#This Row],[Exchange_Rate]]&lt;5,"Strong Currency", IF(Table1[[#This Row],[Exchange_Rate]]&lt;=1000, "Medium Currency","Weak Currency"))</f>
        <v>Strong Currency</v>
      </c>
      <c r="O544" s="11">
        <f>(Table1[[#This Row],[Living_Cost_Index]]/123.3)*1850</f>
        <v>1053.2846715328469</v>
      </c>
      <c r="P544" s="11">
        <f>Table1[[#This Row],[Monthly_Estimated_Living_cost]]*12</f>
        <v>12639.416058394163</v>
      </c>
      <c r="Q544" s="13">
        <f>Table1[[#This Row],[Tuition_USD]]+Table1[[#This Row],[Rent_USD]]+Table1[[#This Row],[Insurance_USD]]+Table1[[#This Row],[Visa_Fee_USD]]+Table1[[#This Row],[Annual_Estimated_Living_cost]]</f>
        <v>43469.416058394163</v>
      </c>
    </row>
    <row r="545" spans="1:17" x14ac:dyDescent="0.25">
      <c r="A545" s="2" t="s">
        <v>12</v>
      </c>
      <c r="B545" s="1" t="s">
        <v>149</v>
      </c>
      <c r="C545" s="1" t="s">
        <v>150</v>
      </c>
      <c r="D545" s="1" t="s">
        <v>63</v>
      </c>
      <c r="E545" s="1" t="s">
        <v>16</v>
      </c>
      <c r="F545" s="1">
        <v>2</v>
      </c>
      <c r="G545" s="1" t="str">
        <f>CONCATENATE(Table1[[#This Row],[Duration_Years]]," ","years")</f>
        <v>2 years</v>
      </c>
      <c r="H545" s="11">
        <v>51000</v>
      </c>
      <c r="I545" s="1">
        <v>77.8</v>
      </c>
      <c r="J545" s="11">
        <v>2100</v>
      </c>
      <c r="K545" s="11">
        <v>160</v>
      </c>
      <c r="L545" s="11">
        <v>1500</v>
      </c>
      <c r="M545" s="22">
        <v>1</v>
      </c>
      <c r="N545" s="3" t="str">
        <f>IF(Table1[[#This Row],[Exchange_Rate]]&lt;5,"Strong Currency", IF(Table1[[#This Row],[Exchange_Rate]]&lt;=1000, "Medium Currency","Weak Currency"))</f>
        <v>Strong Currency</v>
      </c>
      <c r="O545" s="11">
        <f>(Table1[[#This Row],[Living_Cost_Index]]/123.3)*1850</f>
        <v>1167.315490673155</v>
      </c>
      <c r="P545" s="11">
        <f>Table1[[#This Row],[Monthly_Estimated_Living_cost]]*12</f>
        <v>14007.785888077859</v>
      </c>
      <c r="Q545" s="13">
        <f>Table1[[#This Row],[Tuition_USD]]+Table1[[#This Row],[Rent_USD]]+Table1[[#This Row],[Insurance_USD]]+Table1[[#This Row],[Visa_Fee_USD]]+Table1[[#This Row],[Annual_Estimated_Living_cost]]</f>
        <v>68767.785888077866</v>
      </c>
    </row>
    <row r="546" spans="1:17" x14ac:dyDescent="0.25">
      <c r="A546" s="2" t="s">
        <v>52</v>
      </c>
      <c r="B546" s="1" t="s">
        <v>144</v>
      </c>
      <c r="C546" s="1" t="s">
        <v>145</v>
      </c>
      <c r="D546" s="1" t="s">
        <v>51</v>
      </c>
      <c r="E546" s="1" t="s">
        <v>1353</v>
      </c>
      <c r="F546" s="1">
        <v>4</v>
      </c>
      <c r="G546" s="1" t="str">
        <f>CONCATENATE(Table1[[#This Row],[Duration_Years]]," ","years")</f>
        <v>4 years</v>
      </c>
      <c r="H546" s="11">
        <v>0</v>
      </c>
      <c r="I546" s="1">
        <v>73.400000000000006</v>
      </c>
      <c r="J546" s="11">
        <v>1000</v>
      </c>
      <c r="K546" s="11">
        <v>120</v>
      </c>
      <c r="L546" s="11">
        <v>750</v>
      </c>
      <c r="M546" s="22">
        <v>10.45</v>
      </c>
      <c r="N546" s="3" t="str">
        <f>IF(Table1[[#This Row],[Exchange_Rate]]&lt;5,"Strong Currency", IF(Table1[[#This Row],[Exchange_Rate]]&lt;=1000, "Medium Currency","Weak Currency"))</f>
        <v>Medium Currency</v>
      </c>
      <c r="O546" s="11">
        <f>(Table1[[#This Row],[Living_Cost_Index]]/123.3)*1850</f>
        <v>1101.2976480129764</v>
      </c>
      <c r="P546" s="11">
        <f>Table1[[#This Row],[Monthly_Estimated_Living_cost]]*12</f>
        <v>13215.571776155717</v>
      </c>
      <c r="Q546" s="13">
        <f>Table1[[#This Row],[Tuition_USD]]+Table1[[#This Row],[Rent_USD]]+Table1[[#This Row],[Insurance_USD]]+Table1[[#This Row],[Visa_Fee_USD]]+Table1[[#This Row],[Annual_Estimated_Living_cost]]</f>
        <v>15085.571776155717</v>
      </c>
    </row>
    <row r="547" spans="1:17" x14ac:dyDescent="0.25">
      <c r="A547" s="2" t="s">
        <v>37</v>
      </c>
      <c r="B547" s="1" t="s">
        <v>384</v>
      </c>
      <c r="C547" s="1" t="s">
        <v>385</v>
      </c>
      <c r="D547" s="1" t="s">
        <v>40</v>
      </c>
      <c r="E547" s="1" t="s">
        <v>16</v>
      </c>
      <c r="F547" s="1">
        <v>2</v>
      </c>
      <c r="G547" s="1" t="str">
        <f>CONCATENATE(Table1[[#This Row],[Duration_Years]]," ","years")</f>
        <v>2 years</v>
      </c>
      <c r="H547" s="11">
        <v>14800</v>
      </c>
      <c r="I547" s="1">
        <v>72.3</v>
      </c>
      <c r="J547" s="11">
        <v>950</v>
      </c>
      <c r="K547" s="11">
        <v>171</v>
      </c>
      <c r="L547" s="11">
        <v>720</v>
      </c>
      <c r="M547" s="22">
        <v>0.92</v>
      </c>
      <c r="N547" s="3" t="str">
        <f>IF(Table1[[#This Row],[Exchange_Rate]]&lt;5,"Strong Currency", IF(Table1[[#This Row],[Exchange_Rate]]&lt;=1000, "Medium Currency","Weak Currency"))</f>
        <v>Strong Currency</v>
      </c>
      <c r="O547" s="11">
        <f>(Table1[[#This Row],[Living_Cost_Index]]/123.3)*1850</f>
        <v>1084.7931873479317</v>
      </c>
      <c r="P547" s="11">
        <f>Table1[[#This Row],[Monthly_Estimated_Living_cost]]*12</f>
        <v>13017.51824817518</v>
      </c>
      <c r="Q547" s="13">
        <f>Table1[[#This Row],[Tuition_USD]]+Table1[[#This Row],[Rent_USD]]+Table1[[#This Row],[Insurance_USD]]+Table1[[#This Row],[Visa_Fee_USD]]+Table1[[#This Row],[Annual_Estimated_Living_cost]]</f>
        <v>29658.51824817518</v>
      </c>
    </row>
    <row r="548" spans="1:17" x14ac:dyDescent="0.25">
      <c r="A548" s="2" t="s">
        <v>105</v>
      </c>
      <c r="B548" s="1" t="s">
        <v>744</v>
      </c>
      <c r="C548" s="1" t="s">
        <v>745</v>
      </c>
      <c r="D548" s="1" t="s">
        <v>15</v>
      </c>
      <c r="E548" s="1" t="s">
        <v>16</v>
      </c>
      <c r="F548" s="1">
        <v>2</v>
      </c>
      <c r="G548" s="1" t="str">
        <f>CONCATENATE(Table1[[#This Row],[Duration_Years]]," ","years")</f>
        <v>2 years</v>
      </c>
      <c r="H548" s="11">
        <v>6200</v>
      </c>
      <c r="I548" s="1">
        <v>57.8</v>
      </c>
      <c r="J548" s="11">
        <v>550</v>
      </c>
      <c r="K548" s="11">
        <v>75</v>
      </c>
      <c r="L548" s="11">
        <v>400</v>
      </c>
      <c r="M548" s="22">
        <v>0.92</v>
      </c>
      <c r="N548" s="3" t="str">
        <f>IF(Table1[[#This Row],[Exchange_Rate]]&lt;5,"Strong Currency", IF(Table1[[#This Row],[Exchange_Rate]]&lt;=1000, "Medium Currency","Weak Currency"))</f>
        <v>Strong Currency</v>
      </c>
      <c r="O548" s="11">
        <f>(Table1[[#This Row],[Living_Cost_Index]]/123.3)*1850</f>
        <v>867.23438767234393</v>
      </c>
      <c r="P548" s="11">
        <f>Table1[[#This Row],[Monthly_Estimated_Living_cost]]*12</f>
        <v>10406.812652068127</v>
      </c>
      <c r="Q548" s="13">
        <f>Table1[[#This Row],[Tuition_USD]]+Table1[[#This Row],[Rent_USD]]+Table1[[#This Row],[Insurance_USD]]+Table1[[#This Row],[Visa_Fee_USD]]+Table1[[#This Row],[Annual_Estimated_Living_cost]]</f>
        <v>17631.812652068125</v>
      </c>
    </row>
    <row r="549" spans="1:17" x14ac:dyDescent="0.25">
      <c r="A549" s="2" t="s">
        <v>76</v>
      </c>
      <c r="B549" s="1" t="s">
        <v>309</v>
      </c>
      <c r="C549" s="1" t="s">
        <v>746</v>
      </c>
      <c r="D549" s="1" t="s">
        <v>198</v>
      </c>
      <c r="E549" s="1" t="s">
        <v>16</v>
      </c>
      <c r="F549" s="1">
        <v>2</v>
      </c>
      <c r="G549" s="1" t="str">
        <f>CONCATENATE(Table1[[#This Row],[Duration_Years]]," ","years")</f>
        <v>2 years</v>
      </c>
      <c r="H549" s="11">
        <v>28500</v>
      </c>
      <c r="I549" s="1">
        <v>68.900000000000006</v>
      </c>
      <c r="J549" s="11">
        <v>850</v>
      </c>
      <c r="K549" s="11">
        <v>330</v>
      </c>
      <c r="L549" s="11">
        <v>600</v>
      </c>
      <c r="M549" s="22">
        <v>1.65</v>
      </c>
      <c r="N549" s="3" t="str">
        <f>IF(Table1[[#This Row],[Exchange_Rate]]&lt;5,"Strong Currency", IF(Table1[[#This Row],[Exchange_Rate]]&lt;=1000, "Medium Currency","Weak Currency"))</f>
        <v>Strong Currency</v>
      </c>
      <c r="O549" s="11">
        <f>(Table1[[#This Row],[Living_Cost_Index]]/123.3)*1850</f>
        <v>1033.779399837794</v>
      </c>
      <c r="P549" s="11">
        <f>Table1[[#This Row],[Monthly_Estimated_Living_cost]]*12</f>
        <v>12405.352798053529</v>
      </c>
      <c r="Q549" s="13">
        <f>Table1[[#This Row],[Tuition_USD]]+Table1[[#This Row],[Rent_USD]]+Table1[[#This Row],[Insurance_USD]]+Table1[[#This Row],[Visa_Fee_USD]]+Table1[[#This Row],[Annual_Estimated_Living_cost]]</f>
        <v>42685.352798053529</v>
      </c>
    </row>
    <row r="550" spans="1:17" x14ac:dyDescent="0.25">
      <c r="A550" s="2" t="s">
        <v>12</v>
      </c>
      <c r="B550" s="1" t="s">
        <v>91</v>
      </c>
      <c r="C550" s="1" t="s">
        <v>92</v>
      </c>
      <c r="D550" s="1" t="s">
        <v>747</v>
      </c>
      <c r="E550" s="1" t="s">
        <v>1353</v>
      </c>
      <c r="F550" s="1">
        <v>5</v>
      </c>
      <c r="G550" s="1" t="str">
        <f>CONCATENATE(Table1[[#This Row],[Duration_Years]]," ","years")</f>
        <v>5 years</v>
      </c>
      <c r="H550" s="11">
        <v>48000</v>
      </c>
      <c r="I550" s="1">
        <v>71.2</v>
      </c>
      <c r="J550" s="11">
        <v>1700</v>
      </c>
      <c r="K550" s="11">
        <v>160</v>
      </c>
      <c r="L550" s="11">
        <v>1500</v>
      </c>
      <c r="M550" s="22">
        <v>1</v>
      </c>
      <c r="N550" s="3" t="str">
        <f>IF(Table1[[#This Row],[Exchange_Rate]]&lt;5,"Strong Currency", IF(Table1[[#This Row],[Exchange_Rate]]&lt;=1000, "Medium Currency","Weak Currency"))</f>
        <v>Strong Currency</v>
      </c>
      <c r="O550" s="11">
        <f>(Table1[[#This Row],[Living_Cost_Index]]/123.3)*1850</f>
        <v>1068.2887266828873</v>
      </c>
      <c r="P550" s="11">
        <f>Table1[[#This Row],[Monthly_Estimated_Living_cost]]*12</f>
        <v>12819.464720194646</v>
      </c>
      <c r="Q550" s="13">
        <f>Table1[[#This Row],[Tuition_USD]]+Table1[[#This Row],[Rent_USD]]+Table1[[#This Row],[Insurance_USD]]+Table1[[#This Row],[Visa_Fee_USD]]+Table1[[#This Row],[Annual_Estimated_Living_cost]]</f>
        <v>64179.46472019465</v>
      </c>
    </row>
    <row r="551" spans="1:17" x14ac:dyDescent="0.25">
      <c r="A551" s="2" t="s">
        <v>52</v>
      </c>
      <c r="B551" s="1" t="s">
        <v>748</v>
      </c>
      <c r="C551" s="1" t="s">
        <v>749</v>
      </c>
      <c r="D551" s="1" t="s">
        <v>15</v>
      </c>
      <c r="E551" s="1" t="s">
        <v>16</v>
      </c>
      <c r="F551" s="1">
        <v>2</v>
      </c>
      <c r="G551" s="1" t="str">
        <f>CONCATENATE(Table1[[#This Row],[Duration_Years]]," ","years")</f>
        <v>2 years</v>
      </c>
      <c r="H551" s="11">
        <v>0</v>
      </c>
      <c r="I551" s="1">
        <v>69.8</v>
      </c>
      <c r="J551" s="11">
        <v>850</v>
      </c>
      <c r="K551" s="11">
        <v>120</v>
      </c>
      <c r="L551" s="11">
        <v>750</v>
      </c>
      <c r="M551" s="22">
        <v>10.45</v>
      </c>
      <c r="N551" s="3" t="str">
        <f>IF(Table1[[#This Row],[Exchange_Rate]]&lt;5,"Strong Currency", IF(Table1[[#This Row],[Exchange_Rate]]&lt;=1000, "Medium Currency","Weak Currency"))</f>
        <v>Medium Currency</v>
      </c>
      <c r="O551" s="11">
        <f>(Table1[[#This Row],[Living_Cost_Index]]/123.3)*1850</f>
        <v>1047.2830494728303</v>
      </c>
      <c r="P551" s="11">
        <f>Table1[[#This Row],[Monthly_Estimated_Living_cost]]*12</f>
        <v>12567.396593673962</v>
      </c>
      <c r="Q551" s="13">
        <f>Table1[[#This Row],[Tuition_USD]]+Table1[[#This Row],[Rent_USD]]+Table1[[#This Row],[Insurance_USD]]+Table1[[#This Row],[Visa_Fee_USD]]+Table1[[#This Row],[Annual_Estimated_Living_cost]]</f>
        <v>14287.396593673962</v>
      </c>
    </row>
    <row r="552" spans="1:17" x14ac:dyDescent="0.25">
      <c r="A552" s="2" t="s">
        <v>37</v>
      </c>
      <c r="B552" s="1" t="s">
        <v>397</v>
      </c>
      <c r="C552" s="1" t="s">
        <v>398</v>
      </c>
      <c r="D552" s="1" t="s">
        <v>20</v>
      </c>
      <c r="E552" s="1" t="s">
        <v>75</v>
      </c>
      <c r="F552" s="1">
        <v>3</v>
      </c>
      <c r="G552" s="1" t="str">
        <f>CONCATENATE(Table1[[#This Row],[Duration_Years]]," ","years")</f>
        <v>3 years</v>
      </c>
      <c r="H552" s="11">
        <v>13900</v>
      </c>
      <c r="I552" s="1">
        <v>75.400000000000006</v>
      </c>
      <c r="J552" s="11">
        <v>1100</v>
      </c>
      <c r="K552" s="11">
        <v>171</v>
      </c>
      <c r="L552" s="11">
        <v>720</v>
      </c>
      <c r="M552" s="22">
        <v>0.92</v>
      </c>
      <c r="N552" s="3" t="str">
        <f>IF(Table1[[#This Row],[Exchange_Rate]]&lt;5,"Strong Currency", IF(Table1[[#This Row],[Exchange_Rate]]&lt;=1000, "Medium Currency","Weak Currency"))</f>
        <v>Strong Currency</v>
      </c>
      <c r="O552" s="11">
        <f>(Table1[[#This Row],[Living_Cost_Index]]/123.3)*1850</f>
        <v>1131.3057583130576</v>
      </c>
      <c r="P552" s="11">
        <f>Table1[[#This Row],[Monthly_Estimated_Living_cost]]*12</f>
        <v>13575.669099756691</v>
      </c>
      <c r="Q552" s="13">
        <f>Table1[[#This Row],[Tuition_USD]]+Table1[[#This Row],[Rent_USD]]+Table1[[#This Row],[Insurance_USD]]+Table1[[#This Row],[Visa_Fee_USD]]+Table1[[#This Row],[Annual_Estimated_Living_cost]]</f>
        <v>29466.669099756691</v>
      </c>
    </row>
    <row r="553" spans="1:17" x14ac:dyDescent="0.25">
      <c r="A553" s="2" t="s">
        <v>105</v>
      </c>
      <c r="B553" s="1" t="s">
        <v>750</v>
      </c>
      <c r="C553" s="1" t="s">
        <v>751</v>
      </c>
      <c r="D553" s="1" t="s">
        <v>136</v>
      </c>
      <c r="E553" s="1" t="s">
        <v>1353</v>
      </c>
      <c r="F553" s="1">
        <v>4</v>
      </c>
      <c r="G553" s="1" t="str">
        <f>CONCATENATE(Table1[[#This Row],[Duration_Years]]," ","years")</f>
        <v>4 years</v>
      </c>
      <c r="H553" s="11">
        <v>6800</v>
      </c>
      <c r="I553" s="1">
        <v>56.7</v>
      </c>
      <c r="J553" s="11">
        <v>500</v>
      </c>
      <c r="K553" s="11">
        <v>75</v>
      </c>
      <c r="L553" s="11">
        <v>400</v>
      </c>
      <c r="M553" s="22">
        <v>0.92</v>
      </c>
      <c r="N553" s="3" t="str">
        <f>IF(Table1[[#This Row],[Exchange_Rate]]&lt;5,"Strong Currency", IF(Table1[[#This Row],[Exchange_Rate]]&lt;=1000, "Medium Currency","Weak Currency"))</f>
        <v>Strong Currency</v>
      </c>
      <c r="O553" s="11">
        <f>(Table1[[#This Row],[Living_Cost_Index]]/123.3)*1850</f>
        <v>850.72992700729935</v>
      </c>
      <c r="P553" s="11">
        <f>Table1[[#This Row],[Monthly_Estimated_Living_cost]]*12</f>
        <v>10208.759124087592</v>
      </c>
      <c r="Q553" s="13">
        <f>Table1[[#This Row],[Tuition_USD]]+Table1[[#This Row],[Rent_USD]]+Table1[[#This Row],[Insurance_USD]]+Table1[[#This Row],[Visa_Fee_USD]]+Table1[[#This Row],[Annual_Estimated_Living_cost]]</f>
        <v>17983.759124087592</v>
      </c>
    </row>
    <row r="554" spans="1:17" x14ac:dyDescent="0.25">
      <c r="A554" s="2" t="s">
        <v>76</v>
      </c>
      <c r="B554" s="1" t="s">
        <v>752</v>
      </c>
      <c r="C554" s="1" t="s">
        <v>753</v>
      </c>
      <c r="D554" s="1" t="s">
        <v>63</v>
      </c>
      <c r="E554" s="1" t="s">
        <v>75</v>
      </c>
      <c r="F554" s="1">
        <v>3</v>
      </c>
      <c r="G554" s="1" t="str">
        <f>CONCATENATE(Table1[[#This Row],[Duration_Years]]," ","years")</f>
        <v>3 years</v>
      </c>
      <c r="H554" s="11">
        <v>27500</v>
      </c>
      <c r="I554" s="1">
        <v>67.5</v>
      </c>
      <c r="J554" s="11">
        <v>800</v>
      </c>
      <c r="K554" s="11">
        <v>330</v>
      </c>
      <c r="L554" s="11">
        <v>600</v>
      </c>
      <c r="M554" s="22">
        <v>1.65</v>
      </c>
      <c r="N554" s="3" t="str">
        <f>IF(Table1[[#This Row],[Exchange_Rate]]&lt;5,"Strong Currency", IF(Table1[[#This Row],[Exchange_Rate]]&lt;=1000, "Medium Currency","Weak Currency"))</f>
        <v>Strong Currency</v>
      </c>
      <c r="O554" s="11">
        <f>(Table1[[#This Row],[Living_Cost_Index]]/123.3)*1850</f>
        <v>1012.7737226277372</v>
      </c>
      <c r="P554" s="11">
        <f>Table1[[#This Row],[Monthly_Estimated_Living_cost]]*12</f>
        <v>12153.284671532847</v>
      </c>
      <c r="Q554" s="13">
        <f>Table1[[#This Row],[Tuition_USD]]+Table1[[#This Row],[Rent_USD]]+Table1[[#This Row],[Insurance_USD]]+Table1[[#This Row],[Visa_Fee_USD]]+Table1[[#This Row],[Annual_Estimated_Living_cost]]</f>
        <v>41383.284671532849</v>
      </c>
    </row>
    <row r="555" spans="1:17" x14ac:dyDescent="0.25">
      <c r="A555" s="2" t="s">
        <v>12</v>
      </c>
      <c r="B555" s="1" t="s">
        <v>329</v>
      </c>
      <c r="C555" s="1" t="s">
        <v>330</v>
      </c>
      <c r="D555" s="1" t="s">
        <v>207</v>
      </c>
      <c r="E555" s="1" t="s">
        <v>16</v>
      </c>
      <c r="F555" s="1">
        <v>2</v>
      </c>
      <c r="G555" s="1" t="str">
        <f>CONCATENATE(Table1[[#This Row],[Duration_Years]]," ","years")</f>
        <v>2 years</v>
      </c>
      <c r="H555" s="11">
        <v>56000</v>
      </c>
      <c r="I555" s="1">
        <v>65.400000000000006</v>
      </c>
      <c r="J555" s="11">
        <v>1500</v>
      </c>
      <c r="K555" s="11">
        <v>160</v>
      </c>
      <c r="L555" s="11">
        <v>1500</v>
      </c>
      <c r="M555" s="22">
        <v>1</v>
      </c>
      <c r="N555" s="3" t="str">
        <f>IF(Table1[[#This Row],[Exchange_Rate]]&lt;5,"Strong Currency", IF(Table1[[#This Row],[Exchange_Rate]]&lt;=1000, "Medium Currency","Weak Currency"))</f>
        <v>Strong Currency</v>
      </c>
      <c r="O555" s="11">
        <f>(Table1[[#This Row],[Living_Cost_Index]]/123.3)*1850</f>
        <v>981.26520681265208</v>
      </c>
      <c r="P555" s="11">
        <f>Table1[[#This Row],[Monthly_Estimated_Living_cost]]*12</f>
        <v>11775.182481751825</v>
      </c>
      <c r="Q555" s="13">
        <f>Table1[[#This Row],[Tuition_USD]]+Table1[[#This Row],[Rent_USD]]+Table1[[#This Row],[Insurance_USD]]+Table1[[#This Row],[Visa_Fee_USD]]+Table1[[#This Row],[Annual_Estimated_Living_cost]]</f>
        <v>70935.182481751821</v>
      </c>
    </row>
    <row r="556" spans="1:17" x14ac:dyDescent="0.25">
      <c r="A556" s="2" t="s">
        <v>52</v>
      </c>
      <c r="B556" s="1" t="s">
        <v>754</v>
      </c>
      <c r="C556" s="1" t="s">
        <v>755</v>
      </c>
      <c r="D556" s="1" t="s">
        <v>40</v>
      </c>
      <c r="E556" s="1" t="s">
        <v>16</v>
      </c>
      <c r="F556" s="1">
        <v>2</v>
      </c>
      <c r="G556" s="1" t="str">
        <f>CONCATENATE(Table1[[#This Row],[Duration_Years]]," ","years")</f>
        <v>2 years</v>
      </c>
      <c r="H556" s="11">
        <v>0</v>
      </c>
      <c r="I556" s="1">
        <v>68.5</v>
      </c>
      <c r="J556" s="11">
        <v>800</v>
      </c>
      <c r="K556" s="11">
        <v>120</v>
      </c>
      <c r="L556" s="11">
        <v>750</v>
      </c>
      <c r="M556" s="22">
        <v>10.45</v>
      </c>
      <c r="N556" s="3" t="str">
        <f>IF(Table1[[#This Row],[Exchange_Rate]]&lt;5,"Strong Currency", IF(Table1[[#This Row],[Exchange_Rate]]&lt;=1000, "Medium Currency","Weak Currency"))</f>
        <v>Medium Currency</v>
      </c>
      <c r="O556" s="11">
        <f>(Table1[[#This Row],[Living_Cost_Index]]/123.3)*1850</f>
        <v>1027.7777777777778</v>
      </c>
      <c r="P556" s="11">
        <f>Table1[[#This Row],[Monthly_Estimated_Living_cost]]*12</f>
        <v>12333.333333333334</v>
      </c>
      <c r="Q556" s="13">
        <f>Table1[[#This Row],[Tuition_USD]]+Table1[[#This Row],[Rent_USD]]+Table1[[#This Row],[Insurance_USD]]+Table1[[#This Row],[Visa_Fee_USD]]+Table1[[#This Row],[Annual_Estimated_Living_cost]]</f>
        <v>14003.333333333334</v>
      </c>
    </row>
    <row r="557" spans="1:17" x14ac:dyDescent="0.25">
      <c r="A557" s="2" t="s">
        <v>37</v>
      </c>
      <c r="B557" s="1" t="s">
        <v>388</v>
      </c>
      <c r="C557" s="1" t="s">
        <v>389</v>
      </c>
      <c r="D557" s="1" t="s">
        <v>244</v>
      </c>
      <c r="E557" s="1" t="s">
        <v>1353</v>
      </c>
      <c r="F557" s="1">
        <v>4</v>
      </c>
      <c r="G557" s="1" t="str">
        <f>CONCATENATE(Table1[[#This Row],[Duration_Years]]," ","years")</f>
        <v>4 years</v>
      </c>
      <c r="H557" s="11">
        <v>14200</v>
      </c>
      <c r="I557" s="1">
        <v>71.2</v>
      </c>
      <c r="J557" s="11">
        <v>900</v>
      </c>
      <c r="K557" s="11">
        <v>171</v>
      </c>
      <c r="L557" s="11">
        <v>720</v>
      </c>
      <c r="M557" s="22">
        <v>0.92</v>
      </c>
      <c r="N557" s="3" t="str">
        <f>IF(Table1[[#This Row],[Exchange_Rate]]&lt;5,"Strong Currency", IF(Table1[[#This Row],[Exchange_Rate]]&lt;=1000, "Medium Currency","Weak Currency"))</f>
        <v>Strong Currency</v>
      </c>
      <c r="O557" s="11">
        <f>(Table1[[#This Row],[Living_Cost_Index]]/123.3)*1850</f>
        <v>1068.2887266828873</v>
      </c>
      <c r="P557" s="11">
        <f>Table1[[#This Row],[Monthly_Estimated_Living_cost]]*12</f>
        <v>12819.464720194646</v>
      </c>
      <c r="Q557" s="13">
        <f>Table1[[#This Row],[Tuition_USD]]+Table1[[#This Row],[Rent_USD]]+Table1[[#This Row],[Insurance_USD]]+Table1[[#This Row],[Visa_Fee_USD]]+Table1[[#This Row],[Annual_Estimated_Living_cost]]</f>
        <v>28810.464720194646</v>
      </c>
    </row>
    <row r="558" spans="1:17" x14ac:dyDescent="0.25">
      <c r="A558" s="2" t="s">
        <v>105</v>
      </c>
      <c r="B558" s="1" t="s">
        <v>756</v>
      </c>
      <c r="C558" s="1" t="s">
        <v>757</v>
      </c>
      <c r="D558" s="1" t="s">
        <v>215</v>
      </c>
      <c r="E558" s="1" t="s">
        <v>16</v>
      </c>
      <c r="F558" s="1">
        <v>2</v>
      </c>
      <c r="G558" s="1" t="str">
        <f>CONCATENATE(Table1[[#This Row],[Duration_Years]]," ","years")</f>
        <v>2 years</v>
      </c>
      <c r="H558" s="11">
        <v>5900</v>
      </c>
      <c r="I558" s="1">
        <v>55.4</v>
      </c>
      <c r="J558" s="11">
        <v>480</v>
      </c>
      <c r="K558" s="11">
        <v>75</v>
      </c>
      <c r="L558" s="11">
        <v>400</v>
      </c>
      <c r="M558" s="22">
        <v>0.92</v>
      </c>
      <c r="N558" s="3" t="str">
        <f>IF(Table1[[#This Row],[Exchange_Rate]]&lt;5,"Strong Currency", IF(Table1[[#This Row],[Exchange_Rate]]&lt;=1000, "Medium Currency","Weak Currency"))</f>
        <v>Strong Currency</v>
      </c>
      <c r="O558" s="11">
        <f>(Table1[[#This Row],[Living_Cost_Index]]/123.3)*1850</f>
        <v>831.22465531224657</v>
      </c>
      <c r="P558" s="11">
        <f>Table1[[#This Row],[Monthly_Estimated_Living_cost]]*12</f>
        <v>9974.6958637469579</v>
      </c>
      <c r="Q558" s="13">
        <f>Table1[[#This Row],[Tuition_USD]]+Table1[[#This Row],[Rent_USD]]+Table1[[#This Row],[Insurance_USD]]+Table1[[#This Row],[Visa_Fee_USD]]+Table1[[#This Row],[Annual_Estimated_Living_cost]]</f>
        <v>16829.695863746958</v>
      </c>
    </row>
    <row r="559" spans="1:17" x14ac:dyDescent="0.25">
      <c r="A559" s="2" t="s">
        <v>76</v>
      </c>
      <c r="B559" s="1" t="s">
        <v>77</v>
      </c>
      <c r="C559" s="1" t="s">
        <v>758</v>
      </c>
      <c r="D559" s="1" t="s">
        <v>71</v>
      </c>
      <c r="E559" s="1" t="s">
        <v>16</v>
      </c>
      <c r="F559" s="1">
        <v>2</v>
      </c>
      <c r="G559" s="1" t="str">
        <f>CONCATENATE(Table1[[#This Row],[Duration_Years]]," ","years")</f>
        <v>2 years</v>
      </c>
      <c r="H559" s="11">
        <v>29500</v>
      </c>
      <c r="I559" s="1">
        <v>79.5</v>
      </c>
      <c r="J559" s="11">
        <v>1150</v>
      </c>
      <c r="K559" s="11">
        <v>330</v>
      </c>
      <c r="L559" s="11">
        <v>600</v>
      </c>
      <c r="M559" s="22">
        <v>1.65</v>
      </c>
      <c r="N559" s="3" t="str">
        <f>IF(Table1[[#This Row],[Exchange_Rate]]&lt;5,"Strong Currency", IF(Table1[[#This Row],[Exchange_Rate]]&lt;=1000, "Medium Currency","Weak Currency"))</f>
        <v>Strong Currency</v>
      </c>
      <c r="O559" s="11">
        <f>(Table1[[#This Row],[Living_Cost_Index]]/123.3)*1850</f>
        <v>1192.8223844282238</v>
      </c>
      <c r="P559" s="11">
        <f>Table1[[#This Row],[Monthly_Estimated_Living_cost]]*12</f>
        <v>14313.868613138686</v>
      </c>
      <c r="Q559" s="13">
        <f>Table1[[#This Row],[Tuition_USD]]+Table1[[#This Row],[Rent_USD]]+Table1[[#This Row],[Insurance_USD]]+Table1[[#This Row],[Visa_Fee_USD]]+Table1[[#This Row],[Annual_Estimated_Living_cost]]</f>
        <v>45893.868613138686</v>
      </c>
    </row>
    <row r="560" spans="1:17" x14ac:dyDescent="0.25">
      <c r="A560" s="2" t="s">
        <v>12</v>
      </c>
      <c r="B560" s="1" t="s">
        <v>522</v>
      </c>
      <c r="C560" s="1" t="s">
        <v>523</v>
      </c>
      <c r="D560" s="1" t="s">
        <v>15</v>
      </c>
      <c r="E560" s="1" t="s">
        <v>16</v>
      </c>
      <c r="F560" s="1">
        <v>2</v>
      </c>
      <c r="G560" s="1" t="str">
        <f>CONCATENATE(Table1[[#This Row],[Duration_Years]]," ","years")</f>
        <v>2 years</v>
      </c>
      <c r="H560" s="11">
        <v>47000</v>
      </c>
      <c r="I560" s="1">
        <v>67.8</v>
      </c>
      <c r="J560" s="11">
        <v>1400</v>
      </c>
      <c r="K560" s="11">
        <v>160</v>
      </c>
      <c r="L560" s="11">
        <v>1500</v>
      </c>
      <c r="M560" s="22">
        <v>1</v>
      </c>
      <c r="N560" s="3" t="str">
        <f>IF(Table1[[#This Row],[Exchange_Rate]]&lt;5,"Strong Currency", IF(Table1[[#This Row],[Exchange_Rate]]&lt;=1000, "Medium Currency","Weak Currency"))</f>
        <v>Strong Currency</v>
      </c>
      <c r="O560" s="11">
        <f>(Table1[[#This Row],[Living_Cost_Index]]/123.3)*1850</f>
        <v>1017.2749391727493</v>
      </c>
      <c r="P560" s="11">
        <f>Table1[[#This Row],[Monthly_Estimated_Living_cost]]*12</f>
        <v>12207.299270072992</v>
      </c>
      <c r="Q560" s="13">
        <f>Table1[[#This Row],[Tuition_USD]]+Table1[[#This Row],[Rent_USD]]+Table1[[#This Row],[Insurance_USD]]+Table1[[#This Row],[Visa_Fee_USD]]+Table1[[#This Row],[Annual_Estimated_Living_cost]]</f>
        <v>62267.299270072996</v>
      </c>
    </row>
    <row r="561" spans="1:17" x14ac:dyDescent="0.25">
      <c r="A561" s="2" t="s">
        <v>52</v>
      </c>
      <c r="B561" s="1" t="s">
        <v>759</v>
      </c>
      <c r="C561" s="1" t="s">
        <v>760</v>
      </c>
      <c r="D561" s="1" t="s">
        <v>215</v>
      </c>
      <c r="E561" s="1" t="s">
        <v>75</v>
      </c>
      <c r="F561" s="1">
        <v>3</v>
      </c>
      <c r="G561" s="1" t="str">
        <f>CONCATENATE(Table1[[#This Row],[Duration_Years]]," ","years")</f>
        <v>3 years</v>
      </c>
      <c r="H561" s="11">
        <v>0</v>
      </c>
      <c r="I561" s="1">
        <v>67.2</v>
      </c>
      <c r="J561" s="11">
        <v>750</v>
      </c>
      <c r="K561" s="11">
        <v>120</v>
      </c>
      <c r="L561" s="11">
        <v>750</v>
      </c>
      <c r="M561" s="22">
        <v>10.45</v>
      </c>
      <c r="N561" s="3" t="str">
        <f>IF(Table1[[#This Row],[Exchange_Rate]]&lt;5,"Strong Currency", IF(Table1[[#This Row],[Exchange_Rate]]&lt;=1000, "Medium Currency","Weak Currency"))</f>
        <v>Medium Currency</v>
      </c>
      <c r="O561" s="11">
        <f>(Table1[[#This Row],[Living_Cost_Index]]/123.3)*1850</f>
        <v>1008.272506082725</v>
      </c>
      <c r="P561" s="11">
        <f>Table1[[#This Row],[Monthly_Estimated_Living_cost]]*12</f>
        <v>12099.2700729927</v>
      </c>
      <c r="Q561" s="13">
        <f>Table1[[#This Row],[Tuition_USD]]+Table1[[#This Row],[Rent_USD]]+Table1[[#This Row],[Insurance_USD]]+Table1[[#This Row],[Visa_Fee_USD]]+Table1[[#This Row],[Annual_Estimated_Living_cost]]</f>
        <v>13719.2700729927</v>
      </c>
    </row>
    <row r="562" spans="1:17" x14ac:dyDescent="0.25">
      <c r="A562" s="2" t="s">
        <v>37</v>
      </c>
      <c r="B562" s="1" t="s">
        <v>395</v>
      </c>
      <c r="C562" s="1" t="s">
        <v>396</v>
      </c>
      <c r="D562" s="1" t="s">
        <v>20</v>
      </c>
      <c r="E562" s="1" t="s">
        <v>16</v>
      </c>
      <c r="F562" s="1">
        <v>2</v>
      </c>
      <c r="G562" s="1" t="str">
        <f>CONCATENATE(Table1[[#This Row],[Duration_Years]]," ","years")</f>
        <v>2 years</v>
      </c>
      <c r="H562" s="11">
        <v>14000</v>
      </c>
      <c r="I562" s="1">
        <v>70.5</v>
      </c>
      <c r="J562" s="11">
        <v>950</v>
      </c>
      <c r="K562" s="11">
        <v>171</v>
      </c>
      <c r="L562" s="11">
        <v>720</v>
      </c>
      <c r="M562" s="22">
        <v>0.92</v>
      </c>
      <c r="N562" s="3" t="str">
        <f>IF(Table1[[#This Row],[Exchange_Rate]]&lt;5,"Strong Currency", IF(Table1[[#This Row],[Exchange_Rate]]&lt;=1000, "Medium Currency","Weak Currency"))</f>
        <v>Strong Currency</v>
      </c>
      <c r="O562" s="11">
        <f>(Table1[[#This Row],[Living_Cost_Index]]/123.3)*1850</f>
        <v>1057.7858880778588</v>
      </c>
      <c r="P562" s="11">
        <f>Table1[[#This Row],[Monthly_Estimated_Living_cost]]*12</f>
        <v>12693.430656934306</v>
      </c>
      <c r="Q562" s="13">
        <f>Table1[[#This Row],[Tuition_USD]]+Table1[[#This Row],[Rent_USD]]+Table1[[#This Row],[Insurance_USD]]+Table1[[#This Row],[Visa_Fee_USD]]+Table1[[#This Row],[Annual_Estimated_Living_cost]]</f>
        <v>28534.430656934306</v>
      </c>
    </row>
    <row r="563" spans="1:17" x14ac:dyDescent="0.25">
      <c r="A563" s="2" t="s">
        <v>105</v>
      </c>
      <c r="B563" s="1" t="s">
        <v>761</v>
      </c>
      <c r="C563" s="1" t="s">
        <v>762</v>
      </c>
      <c r="D563" s="1" t="s">
        <v>63</v>
      </c>
      <c r="E563" s="1" t="s">
        <v>16</v>
      </c>
      <c r="F563" s="1">
        <v>2</v>
      </c>
      <c r="G563" s="1" t="str">
        <f>CONCATENATE(Table1[[#This Row],[Duration_Years]]," ","years")</f>
        <v>2 years</v>
      </c>
      <c r="H563" s="11">
        <v>5700</v>
      </c>
      <c r="I563" s="1">
        <v>54.3</v>
      </c>
      <c r="J563" s="11">
        <v>450</v>
      </c>
      <c r="K563" s="11">
        <v>75</v>
      </c>
      <c r="L563" s="11">
        <v>400</v>
      </c>
      <c r="M563" s="22">
        <v>0.92</v>
      </c>
      <c r="N563" s="3" t="str">
        <f>IF(Table1[[#This Row],[Exchange_Rate]]&lt;5,"Strong Currency", IF(Table1[[#This Row],[Exchange_Rate]]&lt;=1000, "Medium Currency","Weak Currency"))</f>
        <v>Strong Currency</v>
      </c>
      <c r="O563" s="11">
        <f>(Table1[[#This Row],[Living_Cost_Index]]/123.3)*1850</f>
        <v>814.72019464720188</v>
      </c>
      <c r="P563" s="11">
        <f>Table1[[#This Row],[Monthly_Estimated_Living_cost]]*12</f>
        <v>9776.6423357664225</v>
      </c>
      <c r="Q563" s="13">
        <f>Table1[[#This Row],[Tuition_USD]]+Table1[[#This Row],[Rent_USD]]+Table1[[#This Row],[Insurance_USD]]+Table1[[#This Row],[Visa_Fee_USD]]+Table1[[#This Row],[Annual_Estimated_Living_cost]]</f>
        <v>16401.642335766424</v>
      </c>
    </row>
    <row r="564" spans="1:17" x14ac:dyDescent="0.25">
      <c r="A564" s="2" t="s">
        <v>76</v>
      </c>
      <c r="B564" s="1" t="s">
        <v>735</v>
      </c>
      <c r="C564" s="1" t="s">
        <v>763</v>
      </c>
      <c r="D564" s="1" t="s">
        <v>764</v>
      </c>
      <c r="E564" s="1" t="s">
        <v>1353</v>
      </c>
      <c r="F564" s="1">
        <v>4</v>
      </c>
      <c r="G564" s="1" t="str">
        <f>CONCATENATE(Table1[[#This Row],[Duration_Years]]," ","years")</f>
        <v>4 years</v>
      </c>
      <c r="H564" s="11">
        <v>28000</v>
      </c>
      <c r="I564" s="1">
        <v>72.400000000000006</v>
      </c>
      <c r="J564" s="11">
        <v>900</v>
      </c>
      <c r="K564" s="11">
        <v>330</v>
      </c>
      <c r="L564" s="11">
        <v>600</v>
      </c>
      <c r="M564" s="22">
        <v>1.65</v>
      </c>
      <c r="N564" s="3" t="str">
        <f>IF(Table1[[#This Row],[Exchange_Rate]]&lt;5,"Strong Currency", IF(Table1[[#This Row],[Exchange_Rate]]&lt;=1000, "Medium Currency","Weak Currency"))</f>
        <v>Strong Currency</v>
      </c>
      <c r="O564" s="11">
        <f>(Table1[[#This Row],[Living_Cost_Index]]/123.3)*1850</f>
        <v>1086.2935928629361</v>
      </c>
      <c r="P564" s="11">
        <f>Table1[[#This Row],[Monthly_Estimated_Living_cost]]*12</f>
        <v>13035.523114355234</v>
      </c>
      <c r="Q564" s="13">
        <f>Table1[[#This Row],[Tuition_USD]]+Table1[[#This Row],[Rent_USD]]+Table1[[#This Row],[Insurance_USD]]+Table1[[#This Row],[Visa_Fee_USD]]+Table1[[#This Row],[Annual_Estimated_Living_cost]]</f>
        <v>42865.523114355237</v>
      </c>
    </row>
    <row r="565" spans="1:17" x14ac:dyDescent="0.25">
      <c r="A565" s="2" t="s">
        <v>12</v>
      </c>
      <c r="B565" s="1" t="s">
        <v>287</v>
      </c>
      <c r="C565" s="1" t="s">
        <v>288</v>
      </c>
      <c r="D565" s="1" t="s">
        <v>20</v>
      </c>
      <c r="E565" s="1" t="s">
        <v>16</v>
      </c>
      <c r="F565" s="1">
        <v>2</v>
      </c>
      <c r="G565" s="1" t="str">
        <f>CONCATENATE(Table1[[#This Row],[Duration_Years]]," ","years")</f>
        <v>2 years</v>
      </c>
      <c r="H565" s="11">
        <v>48000</v>
      </c>
      <c r="I565" s="1">
        <v>73.2</v>
      </c>
      <c r="J565" s="11">
        <v>1600</v>
      </c>
      <c r="K565" s="11">
        <v>160</v>
      </c>
      <c r="L565" s="11">
        <v>1500</v>
      </c>
      <c r="M565" s="22">
        <v>1</v>
      </c>
      <c r="N565" s="3" t="str">
        <f>IF(Table1[[#This Row],[Exchange_Rate]]&lt;5,"Strong Currency", IF(Table1[[#This Row],[Exchange_Rate]]&lt;=1000, "Medium Currency","Weak Currency"))</f>
        <v>Strong Currency</v>
      </c>
      <c r="O565" s="11">
        <f>(Table1[[#This Row],[Living_Cost_Index]]/123.3)*1850</f>
        <v>1098.2968369829684</v>
      </c>
      <c r="P565" s="11">
        <f>Table1[[#This Row],[Monthly_Estimated_Living_cost]]*12</f>
        <v>13179.56204379562</v>
      </c>
      <c r="Q565" s="13">
        <f>Table1[[#This Row],[Tuition_USD]]+Table1[[#This Row],[Rent_USD]]+Table1[[#This Row],[Insurance_USD]]+Table1[[#This Row],[Visa_Fee_USD]]+Table1[[#This Row],[Annual_Estimated_Living_cost]]</f>
        <v>64439.562043795624</v>
      </c>
    </row>
    <row r="566" spans="1:17" x14ac:dyDescent="0.25">
      <c r="A566" s="2" t="s">
        <v>52</v>
      </c>
      <c r="B566" s="1" t="s">
        <v>765</v>
      </c>
      <c r="C566" s="1" t="s">
        <v>766</v>
      </c>
      <c r="D566" s="1" t="s">
        <v>207</v>
      </c>
      <c r="E566" s="1" t="s">
        <v>16</v>
      </c>
      <c r="F566" s="1">
        <v>2</v>
      </c>
      <c r="G566" s="1" t="str">
        <f>CONCATENATE(Table1[[#This Row],[Duration_Years]]," ","years")</f>
        <v>2 years</v>
      </c>
      <c r="H566" s="11">
        <v>0</v>
      </c>
      <c r="I566" s="1">
        <v>66.5</v>
      </c>
      <c r="J566" s="11">
        <v>700</v>
      </c>
      <c r="K566" s="11">
        <v>120</v>
      </c>
      <c r="L566" s="11">
        <v>750</v>
      </c>
      <c r="M566" s="22">
        <v>10.45</v>
      </c>
      <c r="N566" s="3" t="str">
        <f>IF(Table1[[#This Row],[Exchange_Rate]]&lt;5,"Strong Currency", IF(Table1[[#This Row],[Exchange_Rate]]&lt;=1000, "Medium Currency","Weak Currency"))</f>
        <v>Medium Currency</v>
      </c>
      <c r="O566" s="11">
        <f>(Table1[[#This Row],[Living_Cost_Index]]/123.3)*1850</f>
        <v>997.76966747769666</v>
      </c>
      <c r="P566" s="11">
        <f>Table1[[#This Row],[Monthly_Estimated_Living_cost]]*12</f>
        <v>11973.23600973236</v>
      </c>
      <c r="Q566" s="13">
        <f>Table1[[#This Row],[Tuition_USD]]+Table1[[#This Row],[Rent_USD]]+Table1[[#This Row],[Insurance_USD]]+Table1[[#This Row],[Visa_Fee_USD]]+Table1[[#This Row],[Annual_Estimated_Living_cost]]</f>
        <v>13543.23600973236</v>
      </c>
    </row>
    <row r="567" spans="1:17" x14ac:dyDescent="0.25">
      <c r="A567" s="2" t="s">
        <v>37</v>
      </c>
      <c r="B567" s="1" t="s">
        <v>402</v>
      </c>
      <c r="C567" s="1" t="s">
        <v>403</v>
      </c>
      <c r="D567" s="1" t="s">
        <v>59</v>
      </c>
      <c r="E567" s="1" t="s">
        <v>16</v>
      </c>
      <c r="F567" s="1">
        <v>2</v>
      </c>
      <c r="G567" s="1" t="str">
        <f>CONCATENATE(Table1[[#This Row],[Duration_Years]]," ","years")</f>
        <v>2 years</v>
      </c>
      <c r="H567" s="11">
        <v>14500</v>
      </c>
      <c r="I567" s="1">
        <v>69.8</v>
      </c>
      <c r="J567" s="11">
        <v>900</v>
      </c>
      <c r="K567" s="11">
        <v>171</v>
      </c>
      <c r="L567" s="11">
        <v>720</v>
      </c>
      <c r="M567" s="22">
        <v>0.92</v>
      </c>
      <c r="N567" s="3" t="str">
        <f>IF(Table1[[#This Row],[Exchange_Rate]]&lt;5,"Strong Currency", IF(Table1[[#This Row],[Exchange_Rate]]&lt;=1000, "Medium Currency","Weak Currency"))</f>
        <v>Strong Currency</v>
      </c>
      <c r="O567" s="11">
        <f>(Table1[[#This Row],[Living_Cost_Index]]/123.3)*1850</f>
        <v>1047.2830494728303</v>
      </c>
      <c r="P567" s="11">
        <f>Table1[[#This Row],[Monthly_Estimated_Living_cost]]*12</f>
        <v>12567.396593673962</v>
      </c>
      <c r="Q567" s="13">
        <f>Table1[[#This Row],[Tuition_USD]]+Table1[[#This Row],[Rent_USD]]+Table1[[#This Row],[Insurance_USD]]+Table1[[#This Row],[Visa_Fee_USD]]+Table1[[#This Row],[Annual_Estimated_Living_cost]]</f>
        <v>28858.396593673962</v>
      </c>
    </row>
    <row r="568" spans="1:17" x14ac:dyDescent="0.25">
      <c r="A568" s="2" t="s">
        <v>105</v>
      </c>
      <c r="B568" s="1" t="s">
        <v>767</v>
      </c>
      <c r="C568" s="1" t="s">
        <v>768</v>
      </c>
      <c r="D568" s="1" t="s">
        <v>769</v>
      </c>
      <c r="E568" s="1" t="s">
        <v>75</v>
      </c>
      <c r="F568" s="1">
        <v>3</v>
      </c>
      <c r="G568" s="1" t="str">
        <f>CONCATENATE(Table1[[#This Row],[Duration_Years]]," ","years")</f>
        <v>3 years</v>
      </c>
      <c r="H568" s="11">
        <v>5500</v>
      </c>
      <c r="I568" s="1">
        <v>53.2</v>
      </c>
      <c r="J568" s="11">
        <v>400</v>
      </c>
      <c r="K568" s="11">
        <v>75</v>
      </c>
      <c r="L568" s="11">
        <v>400</v>
      </c>
      <c r="M568" s="22">
        <v>0.92</v>
      </c>
      <c r="N568" s="3" t="str">
        <f>IF(Table1[[#This Row],[Exchange_Rate]]&lt;5,"Strong Currency", IF(Table1[[#This Row],[Exchange_Rate]]&lt;=1000, "Medium Currency","Weak Currency"))</f>
        <v>Strong Currency</v>
      </c>
      <c r="O568" s="11">
        <f>(Table1[[#This Row],[Living_Cost_Index]]/123.3)*1850</f>
        <v>798.2157339821573</v>
      </c>
      <c r="P568" s="11">
        <f>Table1[[#This Row],[Monthly_Estimated_Living_cost]]*12</f>
        <v>9578.5888077858872</v>
      </c>
      <c r="Q568" s="13">
        <f>Table1[[#This Row],[Tuition_USD]]+Table1[[#This Row],[Rent_USD]]+Table1[[#This Row],[Insurance_USD]]+Table1[[#This Row],[Visa_Fee_USD]]+Table1[[#This Row],[Annual_Estimated_Living_cost]]</f>
        <v>15953.588807785887</v>
      </c>
    </row>
    <row r="569" spans="1:17" x14ac:dyDescent="0.25">
      <c r="A569" s="2" t="s">
        <v>183</v>
      </c>
      <c r="B569" s="1" t="s">
        <v>770</v>
      </c>
      <c r="C569" s="1" t="s">
        <v>771</v>
      </c>
      <c r="D569" s="1" t="s">
        <v>15</v>
      </c>
      <c r="E569" s="1" t="s">
        <v>16</v>
      </c>
      <c r="F569" s="1">
        <v>2</v>
      </c>
      <c r="G569" s="1" t="str">
        <f>CONCATENATE(Table1[[#This Row],[Duration_Years]]," ","years")</f>
        <v>2 years</v>
      </c>
      <c r="H569" s="11">
        <v>3500</v>
      </c>
      <c r="I569" s="1">
        <v>71.400000000000006</v>
      </c>
      <c r="J569" s="11">
        <v>1100</v>
      </c>
      <c r="K569" s="11">
        <v>80</v>
      </c>
      <c r="L569" s="11">
        <v>750</v>
      </c>
      <c r="M569" s="22">
        <v>0.92</v>
      </c>
      <c r="N569" s="3" t="str">
        <f>IF(Table1[[#This Row],[Exchange_Rate]]&lt;5,"Strong Currency", IF(Table1[[#This Row],[Exchange_Rate]]&lt;=1000, "Medium Currency","Weak Currency"))</f>
        <v>Strong Currency</v>
      </c>
      <c r="O569" s="11">
        <f>(Table1[[#This Row],[Living_Cost_Index]]/123.3)*1850</f>
        <v>1071.2895377128955</v>
      </c>
      <c r="P569" s="11">
        <f>Table1[[#This Row],[Monthly_Estimated_Living_cost]]*12</f>
        <v>12855.474452554747</v>
      </c>
      <c r="Q569" s="13">
        <f>Table1[[#This Row],[Tuition_USD]]+Table1[[#This Row],[Rent_USD]]+Table1[[#This Row],[Insurance_USD]]+Table1[[#This Row],[Visa_Fee_USD]]+Table1[[#This Row],[Annual_Estimated_Living_cost]]</f>
        <v>18285.474452554747</v>
      </c>
    </row>
    <row r="570" spans="1:17" x14ac:dyDescent="0.25">
      <c r="A570" s="2" t="s">
        <v>186</v>
      </c>
      <c r="B570" s="1" t="s">
        <v>187</v>
      </c>
      <c r="C570" s="1" t="s">
        <v>188</v>
      </c>
      <c r="D570" s="1" t="s">
        <v>251</v>
      </c>
      <c r="E570" s="1" t="s">
        <v>16</v>
      </c>
      <c r="F570" s="1">
        <v>2</v>
      </c>
      <c r="G570" s="1" t="str">
        <f>CONCATENATE(Table1[[#This Row],[Duration_Years]]," ","years")</f>
        <v>2 years</v>
      </c>
      <c r="H570" s="11">
        <v>4000</v>
      </c>
      <c r="I570" s="1">
        <v>73.2</v>
      </c>
      <c r="J570" s="11">
        <v>1200</v>
      </c>
      <c r="K570" s="11">
        <v>120</v>
      </c>
      <c r="L570" s="11">
        <v>700</v>
      </c>
      <c r="M570" s="22">
        <v>0.92</v>
      </c>
      <c r="N570" s="3" t="str">
        <f>IF(Table1[[#This Row],[Exchange_Rate]]&lt;5,"Strong Currency", IF(Table1[[#This Row],[Exchange_Rate]]&lt;=1000, "Medium Currency","Weak Currency"))</f>
        <v>Strong Currency</v>
      </c>
      <c r="O570" s="11">
        <f>(Table1[[#This Row],[Living_Cost_Index]]/123.3)*1850</f>
        <v>1098.2968369829684</v>
      </c>
      <c r="P570" s="11">
        <f>Table1[[#This Row],[Monthly_Estimated_Living_cost]]*12</f>
        <v>13179.56204379562</v>
      </c>
      <c r="Q570" s="13">
        <f>Table1[[#This Row],[Tuition_USD]]+Table1[[#This Row],[Rent_USD]]+Table1[[#This Row],[Insurance_USD]]+Table1[[#This Row],[Visa_Fee_USD]]+Table1[[#This Row],[Annual_Estimated_Living_cost]]</f>
        <v>19199.56204379562</v>
      </c>
    </row>
    <row r="571" spans="1:17" x14ac:dyDescent="0.25">
      <c r="A571" s="2" t="s">
        <v>348</v>
      </c>
      <c r="B571" s="1" t="s">
        <v>349</v>
      </c>
      <c r="C571" s="1" t="s">
        <v>350</v>
      </c>
      <c r="D571" s="1" t="s">
        <v>124</v>
      </c>
      <c r="E571" s="1" t="s">
        <v>1353</v>
      </c>
      <c r="F571" s="1">
        <v>4</v>
      </c>
      <c r="G571" s="1" t="str">
        <f>CONCATENATE(Table1[[#This Row],[Duration_Years]]," ","years")</f>
        <v>4 years</v>
      </c>
      <c r="H571" s="11">
        <v>0</v>
      </c>
      <c r="I571" s="1">
        <v>65.8</v>
      </c>
      <c r="J571" s="11">
        <v>650</v>
      </c>
      <c r="K571" s="11">
        <v>100</v>
      </c>
      <c r="L571" s="11">
        <v>600</v>
      </c>
      <c r="M571" s="22">
        <v>0.92</v>
      </c>
      <c r="N571" s="3" t="str">
        <f>IF(Table1[[#This Row],[Exchange_Rate]]&lt;5,"Strong Currency", IF(Table1[[#This Row],[Exchange_Rate]]&lt;=1000, "Medium Currency","Weak Currency"))</f>
        <v>Strong Currency</v>
      </c>
      <c r="O571" s="11">
        <f>(Table1[[#This Row],[Living_Cost_Index]]/123.3)*1850</f>
        <v>987.26682887266816</v>
      </c>
      <c r="P571" s="11">
        <f>Table1[[#This Row],[Monthly_Estimated_Living_cost]]*12</f>
        <v>11847.201946472018</v>
      </c>
      <c r="Q571" s="13">
        <f>Table1[[#This Row],[Tuition_USD]]+Table1[[#This Row],[Rent_USD]]+Table1[[#This Row],[Insurance_USD]]+Table1[[#This Row],[Visa_Fee_USD]]+Table1[[#This Row],[Annual_Estimated_Living_cost]]</f>
        <v>13197.201946472018</v>
      </c>
    </row>
    <row r="572" spans="1:17" x14ac:dyDescent="0.25">
      <c r="A572" s="2" t="s">
        <v>80</v>
      </c>
      <c r="B572" s="1" t="s">
        <v>81</v>
      </c>
      <c r="C572" s="1" t="s">
        <v>772</v>
      </c>
      <c r="D572" s="1" t="s">
        <v>207</v>
      </c>
      <c r="E572" s="1" t="s">
        <v>16</v>
      </c>
      <c r="F572" s="1">
        <v>2</v>
      </c>
      <c r="G572" s="1" t="str">
        <f>CONCATENATE(Table1[[#This Row],[Duration_Years]]," ","years")</f>
        <v>2 years</v>
      </c>
      <c r="H572" s="11">
        <v>1500</v>
      </c>
      <c r="I572" s="1">
        <v>78.5</v>
      </c>
      <c r="J572" s="11">
        <v>950</v>
      </c>
      <c r="K572" s="11">
        <v>160</v>
      </c>
      <c r="L572" s="11">
        <v>850</v>
      </c>
      <c r="M572" s="22">
        <v>0.92</v>
      </c>
      <c r="N572" s="3" t="str">
        <f>IF(Table1[[#This Row],[Exchange_Rate]]&lt;5,"Strong Currency", IF(Table1[[#This Row],[Exchange_Rate]]&lt;=1000, "Medium Currency","Weak Currency"))</f>
        <v>Strong Currency</v>
      </c>
      <c r="O572" s="11">
        <f>(Table1[[#This Row],[Living_Cost_Index]]/123.3)*1850</f>
        <v>1177.8183292781832</v>
      </c>
      <c r="P572" s="11">
        <f>Table1[[#This Row],[Monthly_Estimated_Living_cost]]*12</f>
        <v>14133.819951338199</v>
      </c>
      <c r="Q572" s="13">
        <f>Table1[[#This Row],[Tuition_USD]]+Table1[[#This Row],[Rent_USD]]+Table1[[#This Row],[Insurance_USD]]+Table1[[#This Row],[Visa_Fee_USD]]+Table1[[#This Row],[Annual_Estimated_Living_cost]]</f>
        <v>17593.819951338199</v>
      </c>
    </row>
    <row r="573" spans="1:17" x14ac:dyDescent="0.25">
      <c r="A573" s="2" t="s">
        <v>345</v>
      </c>
      <c r="B573" s="1" t="s">
        <v>346</v>
      </c>
      <c r="C573" s="1" t="s">
        <v>347</v>
      </c>
      <c r="D573" s="1" t="s">
        <v>63</v>
      </c>
      <c r="E573" s="1" t="s">
        <v>75</v>
      </c>
      <c r="F573" s="1">
        <v>4</v>
      </c>
      <c r="G573" s="1" t="str">
        <f>CONCATENATE(Table1[[#This Row],[Duration_Years]]," ","years")</f>
        <v>4 years</v>
      </c>
      <c r="H573" s="11">
        <v>800</v>
      </c>
      <c r="I573" s="1">
        <v>52.4</v>
      </c>
      <c r="J573" s="11">
        <v>600</v>
      </c>
      <c r="K573" s="11">
        <v>40</v>
      </c>
      <c r="L573" s="11">
        <v>400</v>
      </c>
      <c r="M573" s="22">
        <v>17.05</v>
      </c>
      <c r="N573" s="3" t="str">
        <f>IF(Table1[[#This Row],[Exchange_Rate]]&lt;5,"Strong Currency", IF(Table1[[#This Row],[Exchange_Rate]]&lt;=1000, "Medium Currency","Weak Currency"))</f>
        <v>Medium Currency</v>
      </c>
      <c r="O573" s="11">
        <f>(Table1[[#This Row],[Living_Cost_Index]]/123.3)*1850</f>
        <v>786.21248986212493</v>
      </c>
      <c r="P573" s="11">
        <f>Table1[[#This Row],[Monthly_Estimated_Living_cost]]*12</f>
        <v>9434.5498783454987</v>
      </c>
      <c r="Q573" s="13">
        <f>Table1[[#This Row],[Tuition_USD]]+Table1[[#This Row],[Rent_USD]]+Table1[[#This Row],[Insurance_USD]]+Table1[[#This Row],[Visa_Fee_USD]]+Table1[[#This Row],[Annual_Estimated_Living_cost]]</f>
        <v>11274.549878345499</v>
      </c>
    </row>
    <row r="574" spans="1:17" x14ac:dyDescent="0.25">
      <c r="A574" s="2" t="s">
        <v>183</v>
      </c>
      <c r="B574" s="1" t="s">
        <v>184</v>
      </c>
      <c r="C574" s="1" t="s">
        <v>773</v>
      </c>
      <c r="D574" s="1" t="s">
        <v>40</v>
      </c>
      <c r="E574" s="1" t="s">
        <v>16</v>
      </c>
      <c r="F574" s="1">
        <v>2</v>
      </c>
      <c r="G574" s="1" t="str">
        <f>CONCATENATE(Table1[[#This Row],[Duration_Years]]," ","years")</f>
        <v>2 years</v>
      </c>
      <c r="H574" s="11">
        <v>3800</v>
      </c>
      <c r="I574" s="1">
        <v>73.599999999999994</v>
      </c>
      <c r="J574" s="11">
        <v>1000</v>
      </c>
      <c r="K574" s="11">
        <v>80</v>
      </c>
      <c r="L574" s="11">
        <v>750</v>
      </c>
      <c r="M574" s="22">
        <v>0.92</v>
      </c>
      <c r="N574" s="3" t="str">
        <f>IF(Table1[[#This Row],[Exchange_Rate]]&lt;5,"Strong Currency", IF(Table1[[#This Row],[Exchange_Rate]]&lt;=1000, "Medium Currency","Weak Currency"))</f>
        <v>Strong Currency</v>
      </c>
      <c r="O574" s="11">
        <f>(Table1[[#This Row],[Living_Cost_Index]]/123.3)*1850</f>
        <v>1104.2984590429846</v>
      </c>
      <c r="P574" s="11">
        <f>Table1[[#This Row],[Monthly_Estimated_Living_cost]]*12</f>
        <v>13251.581508515816</v>
      </c>
      <c r="Q574" s="13">
        <f>Table1[[#This Row],[Tuition_USD]]+Table1[[#This Row],[Rent_USD]]+Table1[[#This Row],[Insurance_USD]]+Table1[[#This Row],[Visa_Fee_USD]]+Table1[[#This Row],[Annual_Estimated_Living_cost]]</f>
        <v>18881.581508515817</v>
      </c>
    </row>
    <row r="575" spans="1:17" x14ac:dyDescent="0.25">
      <c r="A575" s="2" t="s">
        <v>186</v>
      </c>
      <c r="B575" s="1" t="s">
        <v>774</v>
      </c>
      <c r="C575" s="1" t="s">
        <v>775</v>
      </c>
      <c r="D575" s="1" t="s">
        <v>136</v>
      </c>
      <c r="E575" s="1" t="s">
        <v>1353</v>
      </c>
      <c r="F575" s="1">
        <v>4</v>
      </c>
      <c r="G575" s="1" t="str">
        <f>CONCATENATE(Table1[[#This Row],[Duration_Years]]," ","years")</f>
        <v>4 years</v>
      </c>
      <c r="H575" s="11">
        <v>3500</v>
      </c>
      <c r="I575" s="1">
        <v>71.2</v>
      </c>
      <c r="J575" s="11">
        <v>1100</v>
      </c>
      <c r="K575" s="11">
        <v>120</v>
      </c>
      <c r="L575" s="11">
        <v>700</v>
      </c>
      <c r="M575" s="22">
        <v>0.92</v>
      </c>
      <c r="N575" s="3" t="str">
        <f>IF(Table1[[#This Row],[Exchange_Rate]]&lt;5,"Strong Currency", IF(Table1[[#This Row],[Exchange_Rate]]&lt;=1000, "Medium Currency","Weak Currency"))</f>
        <v>Strong Currency</v>
      </c>
      <c r="O575" s="11">
        <f>(Table1[[#This Row],[Living_Cost_Index]]/123.3)*1850</f>
        <v>1068.2887266828873</v>
      </c>
      <c r="P575" s="11">
        <f>Table1[[#This Row],[Monthly_Estimated_Living_cost]]*12</f>
        <v>12819.464720194646</v>
      </c>
      <c r="Q575" s="13">
        <f>Table1[[#This Row],[Tuition_USD]]+Table1[[#This Row],[Rent_USD]]+Table1[[#This Row],[Insurance_USD]]+Table1[[#This Row],[Visa_Fee_USD]]+Table1[[#This Row],[Annual_Estimated_Living_cost]]</f>
        <v>18239.464720194646</v>
      </c>
    </row>
    <row r="576" spans="1:17" x14ac:dyDescent="0.25">
      <c r="A576" s="2" t="s">
        <v>348</v>
      </c>
      <c r="B576" s="1" t="s">
        <v>776</v>
      </c>
      <c r="C576" s="1" t="s">
        <v>777</v>
      </c>
      <c r="D576" s="1" t="s">
        <v>63</v>
      </c>
      <c r="E576" s="1" t="s">
        <v>16</v>
      </c>
      <c r="F576" s="1">
        <v>2</v>
      </c>
      <c r="G576" s="1" t="str">
        <f>CONCATENATE(Table1[[#This Row],[Duration_Years]]," ","years")</f>
        <v>2 years</v>
      </c>
      <c r="H576" s="11">
        <v>0</v>
      </c>
      <c r="I576" s="1">
        <v>62.4</v>
      </c>
      <c r="J576" s="11">
        <v>500</v>
      </c>
      <c r="K576" s="11">
        <v>100</v>
      </c>
      <c r="L576" s="11">
        <v>600</v>
      </c>
      <c r="M576" s="22">
        <v>0.92</v>
      </c>
      <c r="N576" s="3" t="str">
        <f>IF(Table1[[#This Row],[Exchange_Rate]]&lt;5,"Strong Currency", IF(Table1[[#This Row],[Exchange_Rate]]&lt;=1000, "Medium Currency","Weak Currency"))</f>
        <v>Strong Currency</v>
      </c>
      <c r="O576" s="11">
        <f>(Table1[[#This Row],[Living_Cost_Index]]/123.3)*1850</f>
        <v>936.25304136253055</v>
      </c>
      <c r="P576" s="11">
        <f>Table1[[#This Row],[Monthly_Estimated_Living_cost]]*12</f>
        <v>11235.036496350367</v>
      </c>
      <c r="Q576" s="13">
        <f>Table1[[#This Row],[Tuition_USD]]+Table1[[#This Row],[Rent_USD]]+Table1[[#This Row],[Insurance_USD]]+Table1[[#This Row],[Visa_Fee_USD]]+Table1[[#This Row],[Annual_Estimated_Living_cost]]</f>
        <v>12435.036496350367</v>
      </c>
    </row>
    <row r="577" spans="1:17" x14ac:dyDescent="0.25">
      <c r="A577" s="2" t="s">
        <v>80</v>
      </c>
      <c r="B577" s="1" t="s">
        <v>778</v>
      </c>
      <c r="C577" s="1" t="s">
        <v>779</v>
      </c>
      <c r="D577" s="1" t="s">
        <v>32</v>
      </c>
      <c r="E577" s="1" t="s">
        <v>75</v>
      </c>
      <c r="F577" s="1">
        <v>3</v>
      </c>
      <c r="G577" s="1" t="str">
        <f>CONCATENATE(Table1[[#This Row],[Duration_Years]]," ","years")</f>
        <v>3 years</v>
      </c>
      <c r="H577" s="11">
        <v>1500</v>
      </c>
      <c r="I577" s="1">
        <v>71.2</v>
      </c>
      <c r="J577" s="11">
        <v>750</v>
      </c>
      <c r="K577" s="11">
        <v>160</v>
      </c>
      <c r="L577" s="11">
        <v>850</v>
      </c>
      <c r="M577" s="22">
        <v>0.92</v>
      </c>
      <c r="N577" s="3" t="str">
        <f>IF(Table1[[#This Row],[Exchange_Rate]]&lt;5,"Strong Currency", IF(Table1[[#This Row],[Exchange_Rate]]&lt;=1000, "Medium Currency","Weak Currency"))</f>
        <v>Strong Currency</v>
      </c>
      <c r="O577" s="11">
        <f>(Table1[[#This Row],[Living_Cost_Index]]/123.3)*1850</f>
        <v>1068.2887266828873</v>
      </c>
      <c r="P577" s="11">
        <f>Table1[[#This Row],[Monthly_Estimated_Living_cost]]*12</f>
        <v>12819.464720194646</v>
      </c>
      <c r="Q577" s="13">
        <f>Table1[[#This Row],[Tuition_USD]]+Table1[[#This Row],[Rent_USD]]+Table1[[#This Row],[Insurance_USD]]+Table1[[#This Row],[Visa_Fee_USD]]+Table1[[#This Row],[Annual_Estimated_Living_cost]]</f>
        <v>16079.464720194646</v>
      </c>
    </row>
    <row r="578" spans="1:17" x14ac:dyDescent="0.25">
      <c r="A578" s="2" t="s">
        <v>345</v>
      </c>
      <c r="B578" s="1" t="s">
        <v>780</v>
      </c>
      <c r="C578" s="1" t="s">
        <v>781</v>
      </c>
      <c r="D578" s="1" t="s">
        <v>20</v>
      </c>
      <c r="E578" s="1" t="s">
        <v>16</v>
      </c>
      <c r="F578" s="1">
        <v>2</v>
      </c>
      <c r="G578" s="1" t="str">
        <f>CONCATENATE(Table1[[#This Row],[Duration_Years]]," ","years")</f>
        <v>2 years</v>
      </c>
      <c r="H578" s="11">
        <v>12000</v>
      </c>
      <c r="I578" s="1">
        <v>48.9</v>
      </c>
      <c r="J578" s="11">
        <v>700</v>
      </c>
      <c r="K578" s="11">
        <v>40</v>
      </c>
      <c r="L578" s="11">
        <v>400</v>
      </c>
      <c r="M578" s="22">
        <v>17.05</v>
      </c>
      <c r="N578" s="3" t="str">
        <f>IF(Table1[[#This Row],[Exchange_Rate]]&lt;5,"Strong Currency", IF(Table1[[#This Row],[Exchange_Rate]]&lt;=1000, "Medium Currency","Weak Currency"))</f>
        <v>Medium Currency</v>
      </c>
      <c r="O578" s="11">
        <f>(Table1[[#This Row],[Living_Cost_Index]]/123.3)*1850</f>
        <v>733.69829683698299</v>
      </c>
      <c r="P578" s="11">
        <f>Table1[[#This Row],[Monthly_Estimated_Living_cost]]*12</f>
        <v>8804.3795620437959</v>
      </c>
      <c r="Q578" s="13">
        <f>Table1[[#This Row],[Tuition_USD]]+Table1[[#This Row],[Rent_USD]]+Table1[[#This Row],[Insurance_USD]]+Table1[[#This Row],[Visa_Fee_USD]]+Table1[[#This Row],[Annual_Estimated_Living_cost]]</f>
        <v>21944.379562043796</v>
      </c>
    </row>
    <row r="579" spans="1:17" x14ac:dyDescent="0.25">
      <c r="A579" s="2" t="s">
        <v>183</v>
      </c>
      <c r="B579" s="1" t="s">
        <v>782</v>
      </c>
      <c r="C579" s="1" t="s">
        <v>783</v>
      </c>
      <c r="D579" s="1" t="s">
        <v>20</v>
      </c>
      <c r="E579" s="1" t="s">
        <v>16</v>
      </c>
      <c r="F579" s="1">
        <v>2</v>
      </c>
      <c r="G579" s="1" t="str">
        <f>CONCATENATE(Table1[[#This Row],[Duration_Years]]," ","years")</f>
        <v>2 years</v>
      </c>
      <c r="H579" s="11">
        <v>3200</v>
      </c>
      <c r="I579" s="1">
        <v>68.5</v>
      </c>
      <c r="J579" s="11">
        <v>800</v>
      </c>
      <c r="K579" s="11">
        <v>80</v>
      </c>
      <c r="L579" s="11">
        <v>750</v>
      </c>
      <c r="M579" s="22">
        <v>0.92</v>
      </c>
      <c r="N579" s="3" t="str">
        <f>IF(Table1[[#This Row],[Exchange_Rate]]&lt;5,"Strong Currency", IF(Table1[[#This Row],[Exchange_Rate]]&lt;=1000, "Medium Currency","Weak Currency"))</f>
        <v>Strong Currency</v>
      </c>
      <c r="O579" s="11">
        <f>(Table1[[#This Row],[Living_Cost_Index]]/123.3)*1850</f>
        <v>1027.7777777777778</v>
      </c>
      <c r="P579" s="11">
        <f>Table1[[#This Row],[Monthly_Estimated_Living_cost]]*12</f>
        <v>12333.333333333334</v>
      </c>
      <c r="Q579" s="13">
        <f>Table1[[#This Row],[Tuition_USD]]+Table1[[#This Row],[Rent_USD]]+Table1[[#This Row],[Insurance_USD]]+Table1[[#This Row],[Visa_Fee_USD]]+Table1[[#This Row],[Annual_Estimated_Living_cost]]</f>
        <v>17163.333333333336</v>
      </c>
    </row>
    <row r="580" spans="1:17" x14ac:dyDescent="0.25">
      <c r="A580" s="2" t="s">
        <v>186</v>
      </c>
      <c r="B580" s="1" t="s">
        <v>784</v>
      </c>
      <c r="C580" s="1" t="s">
        <v>785</v>
      </c>
      <c r="D580" s="1" t="s">
        <v>63</v>
      </c>
      <c r="E580" s="1" t="s">
        <v>16</v>
      </c>
      <c r="F580" s="1">
        <v>2</v>
      </c>
      <c r="G580" s="1" t="str">
        <f>CONCATENATE(Table1[[#This Row],[Duration_Years]]," ","years")</f>
        <v>2 years</v>
      </c>
      <c r="H580" s="11">
        <v>3800</v>
      </c>
      <c r="I580" s="1">
        <v>69.8</v>
      </c>
      <c r="J580" s="11">
        <v>900</v>
      </c>
      <c r="K580" s="11">
        <v>120</v>
      </c>
      <c r="L580" s="11">
        <v>700</v>
      </c>
      <c r="M580" s="22">
        <v>0.92</v>
      </c>
      <c r="N580" s="3" t="str">
        <f>IF(Table1[[#This Row],[Exchange_Rate]]&lt;5,"Strong Currency", IF(Table1[[#This Row],[Exchange_Rate]]&lt;=1000, "Medium Currency","Weak Currency"))</f>
        <v>Strong Currency</v>
      </c>
      <c r="O580" s="11">
        <f>(Table1[[#This Row],[Living_Cost_Index]]/123.3)*1850</f>
        <v>1047.2830494728303</v>
      </c>
      <c r="P580" s="11">
        <f>Table1[[#This Row],[Monthly_Estimated_Living_cost]]*12</f>
        <v>12567.396593673962</v>
      </c>
      <c r="Q580" s="13">
        <f>Table1[[#This Row],[Tuition_USD]]+Table1[[#This Row],[Rent_USD]]+Table1[[#This Row],[Insurance_USD]]+Table1[[#This Row],[Visa_Fee_USD]]+Table1[[#This Row],[Annual_Estimated_Living_cost]]</f>
        <v>18087.396593673962</v>
      </c>
    </row>
    <row r="581" spans="1:17" x14ac:dyDescent="0.25">
      <c r="A581" s="2" t="s">
        <v>348</v>
      </c>
      <c r="B581" s="1" t="s">
        <v>786</v>
      </c>
      <c r="C581" s="1" t="s">
        <v>787</v>
      </c>
      <c r="D581" s="1" t="s">
        <v>788</v>
      </c>
      <c r="E581" s="1" t="s">
        <v>1353</v>
      </c>
      <c r="F581" s="1">
        <v>4</v>
      </c>
      <c r="G581" s="1" t="str">
        <f>CONCATENATE(Table1[[#This Row],[Duration_Years]]," ","years")</f>
        <v>4 years</v>
      </c>
      <c r="H581" s="11">
        <v>0</v>
      </c>
      <c r="I581" s="1">
        <v>60.5</v>
      </c>
      <c r="J581" s="11">
        <v>450</v>
      </c>
      <c r="K581" s="11">
        <v>100</v>
      </c>
      <c r="L581" s="11">
        <v>600</v>
      </c>
      <c r="M581" s="22">
        <v>0.92</v>
      </c>
      <c r="N581" s="3" t="str">
        <f>IF(Table1[[#This Row],[Exchange_Rate]]&lt;5,"Strong Currency", IF(Table1[[#This Row],[Exchange_Rate]]&lt;=1000, "Medium Currency","Weak Currency"))</f>
        <v>Strong Currency</v>
      </c>
      <c r="O581" s="11">
        <f>(Table1[[#This Row],[Living_Cost_Index]]/123.3)*1850</f>
        <v>907.74533657745337</v>
      </c>
      <c r="P581" s="11">
        <f>Table1[[#This Row],[Monthly_Estimated_Living_cost]]*12</f>
        <v>10892.94403892944</v>
      </c>
      <c r="Q581" s="13">
        <f>Table1[[#This Row],[Tuition_USD]]+Table1[[#This Row],[Rent_USD]]+Table1[[#This Row],[Insurance_USD]]+Table1[[#This Row],[Visa_Fee_USD]]+Table1[[#This Row],[Annual_Estimated_Living_cost]]</f>
        <v>12042.94403892944</v>
      </c>
    </row>
    <row r="582" spans="1:17" x14ac:dyDescent="0.25">
      <c r="A582" s="2" t="s">
        <v>80</v>
      </c>
      <c r="B582" s="1" t="s">
        <v>789</v>
      </c>
      <c r="C582" s="1" t="s">
        <v>790</v>
      </c>
      <c r="D582" s="1" t="s">
        <v>40</v>
      </c>
      <c r="E582" s="1" t="s">
        <v>16</v>
      </c>
      <c r="F582" s="1">
        <v>2</v>
      </c>
      <c r="G582" s="1" t="str">
        <f>CONCATENATE(Table1[[#This Row],[Duration_Years]]," ","years")</f>
        <v>2 years</v>
      </c>
      <c r="H582" s="11">
        <v>1500</v>
      </c>
      <c r="I582" s="1">
        <v>70.400000000000006</v>
      </c>
      <c r="J582" s="11">
        <v>700</v>
      </c>
      <c r="K582" s="11">
        <v>160</v>
      </c>
      <c r="L582" s="11">
        <v>850</v>
      </c>
      <c r="M582" s="22">
        <v>0.92</v>
      </c>
      <c r="N582" s="3" t="str">
        <f>IF(Table1[[#This Row],[Exchange_Rate]]&lt;5,"Strong Currency", IF(Table1[[#This Row],[Exchange_Rate]]&lt;=1000, "Medium Currency","Weak Currency"))</f>
        <v>Strong Currency</v>
      </c>
      <c r="O582" s="11">
        <f>(Table1[[#This Row],[Living_Cost_Index]]/123.3)*1850</f>
        <v>1056.2854825628549</v>
      </c>
      <c r="P582" s="11">
        <f>Table1[[#This Row],[Monthly_Estimated_Living_cost]]*12</f>
        <v>12675.42579075426</v>
      </c>
      <c r="Q582" s="13">
        <f>Table1[[#This Row],[Tuition_USD]]+Table1[[#This Row],[Rent_USD]]+Table1[[#This Row],[Insurance_USD]]+Table1[[#This Row],[Visa_Fee_USD]]+Table1[[#This Row],[Annual_Estimated_Living_cost]]</f>
        <v>15885.42579075426</v>
      </c>
    </row>
    <row r="583" spans="1:17" x14ac:dyDescent="0.25">
      <c r="A583" s="2" t="s">
        <v>345</v>
      </c>
      <c r="B583" s="1" t="s">
        <v>791</v>
      </c>
      <c r="C583" s="1" t="s">
        <v>792</v>
      </c>
      <c r="D583" s="1" t="s">
        <v>207</v>
      </c>
      <c r="E583" s="1" t="s">
        <v>75</v>
      </c>
      <c r="F583" s="1">
        <v>4</v>
      </c>
      <c r="G583" s="1" t="str">
        <f>CONCATENATE(Table1[[#This Row],[Duration_Years]]," ","years")</f>
        <v>4 years</v>
      </c>
      <c r="H583" s="11">
        <v>900</v>
      </c>
      <c r="I583" s="1">
        <v>45.6</v>
      </c>
      <c r="J583" s="11">
        <v>500</v>
      </c>
      <c r="K583" s="11">
        <v>40</v>
      </c>
      <c r="L583" s="11">
        <v>400</v>
      </c>
      <c r="M583" s="22">
        <v>17.05</v>
      </c>
      <c r="N583" s="3" t="str">
        <f>IF(Table1[[#This Row],[Exchange_Rate]]&lt;5,"Strong Currency", IF(Table1[[#This Row],[Exchange_Rate]]&lt;=1000, "Medium Currency","Weak Currency"))</f>
        <v>Medium Currency</v>
      </c>
      <c r="O583" s="11">
        <f>(Table1[[#This Row],[Living_Cost_Index]]/123.3)*1850</f>
        <v>684.18491484184915</v>
      </c>
      <c r="P583" s="11">
        <f>Table1[[#This Row],[Monthly_Estimated_Living_cost]]*12</f>
        <v>8210.2189781021898</v>
      </c>
      <c r="Q583" s="13">
        <f>Table1[[#This Row],[Tuition_USD]]+Table1[[#This Row],[Rent_USD]]+Table1[[#This Row],[Insurance_USD]]+Table1[[#This Row],[Visa_Fee_USD]]+Table1[[#This Row],[Annual_Estimated_Living_cost]]</f>
        <v>10050.21897810219</v>
      </c>
    </row>
    <row r="584" spans="1:17" x14ac:dyDescent="0.25">
      <c r="A584" s="2" t="s">
        <v>183</v>
      </c>
      <c r="B584" s="1" t="s">
        <v>793</v>
      </c>
      <c r="C584" s="1" t="s">
        <v>794</v>
      </c>
      <c r="D584" s="1" t="s">
        <v>136</v>
      </c>
      <c r="E584" s="1" t="s">
        <v>16</v>
      </c>
      <c r="F584" s="1">
        <v>2</v>
      </c>
      <c r="G584" s="1" t="str">
        <f>CONCATENATE(Table1[[#This Row],[Duration_Years]]," ","years")</f>
        <v>2 years</v>
      </c>
      <c r="H584" s="11">
        <v>3000</v>
      </c>
      <c r="I584" s="1">
        <v>65.400000000000006</v>
      </c>
      <c r="J584" s="11">
        <v>750</v>
      </c>
      <c r="K584" s="11">
        <v>80</v>
      </c>
      <c r="L584" s="11">
        <v>750</v>
      </c>
      <c r="M584" s="22">
        <v>0.92</v>
      </c>
      <c r="N584" s="3" t="str">
        <f>IF(Table1[[#This Row],[Exchange_Rate]]&lt;5,"Strong Currency", IF(Table1[[#This Row],[Exchange_Rate]]&lt;=1000, "Medium Currency","Weak Currency"))</f>
        <v>Strong Currency</v>
      </c>
      <c r="O584" s="11">
        <f>(Table1[[#This Row],[Living_Cost_Index]]/123.3)*1850</f>
        <v>981.26520681265208</v>
      </c>
      <c r="P584" s="11">
        <f>Table1[[#This Row],[Monthly_Estimated_Living_cost]]*12</f>
        <v>11775.182481751825</v>
      </c>
      <c r="Q584" s="13">
        <f>Table1[[#This Row],[Tuition_USD]]+Table1[[#This Row],[Rent_USD]]+Table1[[#This Row],[Insurance_USD]]+Table1[[#This Row],[Visa_Fee_USD]]+Table1[[#This Row],[Annual_Estimated_Living_cost]]</f>
        <v>16355.182481751825</v>
      </c>
    </row>
    <row r="585" spans="1:17" x14ac:dyDescent="0.25">
      <c r="A585" s="2" t="s">
        <v>186</v>
      </c>
      <c r="B585" s="1" t="s">
        <v>795</v>
      </c>
      <c r="C585" s="1" t="s">
        <v>796</v>
      </c>
      <c r="D585" s="1" t="s">
        <v>222</v>
      </c>
      <c r="E585" s="1" t="s">
        <v>1353</v>
      </c>
      <c r="F585" s="1">
        <v>4</v>
      </c>
      <c r="G585" s="1" t="str">
        <f>CONCATENATE(Table1[[#This Row],[Duration_Years]]," ","years")</f>
        <v>4 years</v>
      </c>
      <c r="H585" s="11">
        <v>3600</v>
      </c>
      <c r="I585" s="1">
        <v>70.5</v>
      </c>
      <c r="J585" s="11">
        <v>950</v>
      </c>
      <c r="K585" s="11">
        <v>120</v>
      </c>
      <c r="L585" s="11">
        <v>700</v>
      </c>
      <c r="M585" s="22">
        <v>0.92</v>
      </c>
      <c r="N585" s="3" t="str">
        <f>IF(Table1[[#This Row],[Exchange_Rate]]&lt;5,"Strong Currency", IF(Table1[[#This Row],[Exchange_Rate]]&lt;=1000, "Medium Currency","Weak Currency"))</f>
        <v>Strong Currency</v>
      </c>
      <c r="O585" s="11">
        <f>(Table1[[#This Row],[Living_Cost_Index]]/123.3)*1850</f>
        <v>1057.7858880778588</v>
      </c>
      <c r="P585" s="11">
        <f>Table1[[#This Row],[Monthly_Estimated_Living_cost]]*12</f>
        <v>12693.430656934306</v>
      </c>
      <c r="Q585" s="13">
        <f>Table1[[#This Row],[Tuition_USD]]+Table1[[#This Row],[Rent_USD]]+Table1[[#This Row],[Insurance_USD]]+Table1[[#This Row],[Visa_Fee_USD]]+Table1[[#This Row],[Annual_Estimated_Living_cost]]</f>
        <v>18063.430656934306</v>
      </c>
    </row>
    <row r="586" spans="1:17" x14ac:dyDescent="0.25">
      <c r="A586" s="2" t="s">
        <v>348</v>
      </c>
      <c r="B586" s="1" t="s">
        <v>797</v>
      </c>
      <c r="C586" s="1" t="s">
        <v>798</v>
      </c>
      <c r="D586" s="1" t="s">
        <v>15</v>
      </c>
      <c r="E586" s="1" t="s">
        <v>16</v>
      </c>
      <c r="F586" s="1">
        <v>2</v>
      </c>
      <c r="G586" s="1" t="str">
        <f>CONCATENATE(Table1[[#This Row],[Duration_Years]]," ","years")</f>
        <v>2 years</v>
      </c>
      <c r="H586" s="11">
        <v>0</v>
      </c>
      <c r="I586" s="1">
        <v>61.2</v>
      </c>
      <c r="J586" s="11">
        <v>480</v>
      </c>
      <c r="K586" s="11">
        <v>100</v>
      </c>
      <c r="L586" s="11">
        <v>600</v>
      </c>
      <c r="M586" s="22">
        <v>0.92</v>
      </c>
      <c r="N586" s="3" t="str">
        <f>IF(Table1[[#This Row],[Exchange_Rate]]&lt;5,"Strong Currency", IF(Table1[[#This Row],[Exchange_Rate]]&lt;=1000, "Medium Currency","Weak Currency"))</f>
        <v>Strong Currency</v>
      </c>
      <c r="O586" s="11">
        <f>(Table1[[#This Row],[Living_Cost_Index]]/123.3)*1850</f>
        <v>918.24817518248187</v>
      </c>
      <c r="P586" s="11">
        <f>Table1[[#This Row],[Monthly_Estimated_Living_cost]]*12</f>
        <v>11018.978102189783</v>
      </c>
      <c r="Q586" s="13">
        <f>Table1[[#This Row],[Tuition_USD]]+Table1[[#This Row],[Rent_USD]]+Table1[[#This Row],[Insurance_USD]]+Table1[[#This Row],[Visa_Fee_USD]]+Table1[[#This Row],[Annual_Estimated_Living_cost]]</f>
        <v>12198.978102189783</v>
      </c>
    </row>
    <row r="587" spans="1:17" x14ac:dyDescent="0.25">
      <c r="A587" s="2" t="s">
        <v>80</v>
      </c>
      <c r="B587" s="1" t="s">
        <v>799</v>
      </c>
      <c r="C587" s="1" t="s">
        <v>800</v>
      </c>
      <c r="D587" s="1" t="s">
        <v>71</v>
      </c>
      <c r="E587" s="1" t="s">
        <v>75</v>
      </c>
      <c r="F587" s="1">
        <v>3</v>
      </c>
      <c r="G587" s="1" t="str">
        <f>CONCATENATE(Table1[[#This Row],[Duration_Years]]," ","years")</f>
        <v>3 years</v>
      </c>
      <c r="H587" s="11">
        <v>1500</v>
      </c>
      <c r="I587" s="1">
        <v>72.3</v>
      </c>
      <c r="J587" s="11">
        <v>800</v>
      </c>
      <c r="K587" s="11">
        <v>160</v>
      </c>
      <c r="L587" s="11">
        <v>850</v>
      </c>
      <c r="M587" s="22">
        <v>0.92</v>
      </c>
      <c r="N587" s="3" t="str">
        <f>IF(Table1[[#This Row],[Exchange_Rate]]&lt;5,"Strong Currency", IF(Table1[[#This Row],[Exchange_Rate]]&lt;=1000, "Medium Currency","Weak Currency"))</f>
        <v>Strong Currency</v>
      </c>
      <c r="O587" s="11">
        <f>(Table1[[#This Row],[Living_Cost_Index]]/123.3)*1850</f>
        <v>1084.7931873479317</v>
      </c>
      <c r="P587" s="11">
        <f>Table1[[#This Row],[Monthly_Estimated_Living_cost]]*12</f>
        <v>13017.51824817518</v>
      </c>
      <c r="Q587" s="13">
        <f>Table1[[#This Row],[Tuition_USD]]+Table1[[#This Row],[Rent_USD]]+Table1[[#This Row],[Insurance_USD]]+Table1[[#This Row],[Visa_Fee_USD]]+Table1[[#This Row],[Annual_Estimated_Living_cost]]</f>
        <v>16327.51824817518</v>
      </c>
    </row>
    <row r="588" spans="1:17" x14ac:dyDescent="0.25">
      <c r="A588" s="2" t="s">
        <v>345</v>
      </c>
      <c r="B588" s="1" t="s">
        <v>801</v>
      </c>
      <c r="C588" s="1" t="s">
        <v>802</v>
      </c>
      <c r="D588" s="1" t="s">
        <v>63</v>
      </c>
      <c r="E588" s="1" t="s">
        <v>16</v>
      </c>
      <c r="F588" s="1">
        <v>2</v>
      </c>
      <c r="G588" s="1" t="str">
        <f>CONCATENATE(Table1[[#This Row],[Duration_Years]]," ","years")</f>
        <v>2 years</v>
      </c>
      <c r="H588" s="11">
        <v>10000</v>
      </c>
      <c r="I588" s="1">
        <v>44.5</v>
      </c>
      <c r="J588" s="11">
        <v>450</v>
      </c>
      <c r="K588" s="11">
        <v>40</v>
      </c>
      <c r="L588" s="11">
        <v>400</v>
      </c>
      <c r="M588" s="22">
        <v>17.05</v>
      </c>
      <c r="N588" s="3" t="str">
        <f>IF(Table1[[#This Row],[Exchange_Rate]]&lt;5,"Strong Currency", IF(Table1[[#This Row],[Exchange_Rate]]&lt;=1000, "Medium Currency","Weak Currency"))</f>
        <v>Medium Currency</v>
      </c>
      <c r="O588" s="11">
        <f>(Table1[[#This Row],[Living_Cost_Index]]/123.3)*1850</f>
        <v>667.68045417680446</v>
      </c>
      <c r="P588" s="11">
        <f>Table1[[#This Row],[Monthly_Estimated_Living_cost]]*12</f>
        <v>8012.1654501216535</v>
      </c>
      <c r="Q588" s="13">
        <f>Table1[[#This Row],[Tuition_USD]]+Table1[[#This Row],[Rent_USD]]+Table1[[#This Row],[Insurance_USD]]+Table1[[#This Row],[Visa_Fee_USD]]+Table1[[#This Row],[Annual_Estimated_Living_cost]]</f>
        <v>18902.165450121654</v>
      </c>
    </row>
    <row r="589" spans="1:17" x14ac:dyDescent="0.25">
      <c r="A589" s="2" t="s">
        <v>183</v>
      </c>
      <c r="B589" s="1" t="s">
        <v>803</v>
      </c>
      <c r="C589" s="1" t="s">
        <v>804</v>
      </c>
      <c r="D589" s="1" t="s">
        <v>15</v>
      </c>
      <c r="E589" s="1" t="s">
        <v>1353</v>
      </c>
      <c r="F589" s="1">
        <v>4</v>
      </c>
      <c r="G589" s="1" t="str">
        <f>CONCATENATE(Table1[[#This Row],[Duration_Years]]," ","years")</f>
        <v>4 years</v>
      </c>
      <c r="H589" s="11">
        <v>3400</v>
      </c>
      <c r="I589" s="1">
        <v>67.8</v>
      </c>
      <c r="J589" s="11">
        <v>850</v>
      </c>
      <c r="K589" s="11">
        <v>80</v>
      </c>
      <c r="L589" s="11">
        <v>750</v>
      </c>
      <c r="M589" s="22">
        <v>0.92</v>
      </c>
      <c r="N589" s="3" t="str">
        <f>IF(Table1[[#This Row],[Exchange_Rate]]&lt;5,"Strong Currency", IF(Table1[[#This Row],[Exchange_Rate]]&lt;=1000, "Medium Currency","Weak Currency"))</f>
        <v>Strong Currency</v>
      </c>
      <c r="O589" s="11">
        <f>(Table1[[#This Row],[Living_Cost_Index]]/123.3)*1850</f>
        <v>1017.2749391727493</v>
      </c>
      <c r="P589" s="11">
        <f>Table1[[#This Row],[Monthly_Estimated_Living_cost]]*12</f>
        <v>12207.299270072992</v>
      </c>
      <c r="Q589" s="13">
        <f>Table1[[#This Row],[Tuition_USD]]+Table1[[#This Row],[Rent_USD]]+Table1[[#This Row],[Insurance_USD]]+Table1[[#This Row],[Visa_Fee_USD]]+Table1[[#This Row],[Annual_Estimated_Living_cost]]</f>
        <v>17287.299270072992</v>
      </c>
    </row>
    <row r="590" spans="1:17" x14ac:dyDescent="0.25">
      <c r="A590" s="2" t="s">
        <v>186</v>
      </c>
      <c r="B590" s="1" t="s">
        <v>805</v>
      </c>
      <c r="C590" s="1" t="s">
        <v>806</v>
      </c>
      <c r="D590" s="1" t="s">
        <v>300</v>
      </c>
      <c r="E590" s="1" t="s">
        <v>16</v>
      </c>
      <c r="F590" s="1">
        <v>2</v>
      </c>
      <c r="G590" s="1" t="str">
        <f>CONCATENATE(Table1[[#This Row],[Duration_Years]]," ","years")</f>
        <v>2 years</v>
      </c>
      <c r="H590" s="11">
        <v>3500</v>
      </c>
      <c r="I590" s="1">
        <v>71.2</v>
      </c>
      <c r="J590" s="11">
        <v>1000</v>
      </c>
      <c r="K590" s="11">
        <v>120</v>
      </c>
      <c r="L590" s="11">
        <v>700</v>
      </c>
      <c r="M590" s="22">
        <v>0.92</v>
      </c>
      <c r="N590" s="3" t="str">
        <f>IF(Table1[[#This Row],[Exchange_Rate]]&lt;5,"Strong Currency", IF(Table1[[#This Row],[Exchange_Rate]]&lt;=1000, "Medium Currency","Weak Currency"))</f>
        <v>Strong Currency</v>
      </c>
      <c r="O590" s="11">
        <f>(Table1[[#This Row],[Living_Cost_Index]]/123.3)*1850</f>
        <v>1068.2887266828873</v>
      </c>
      <c r="P590" s="11">
        <f>Table1[[#This Row],[Monthly_Estimated_Living_cost]]*12</f>
        <v>12819.464720194646</v>
      </c>
      <c r="Q590" s="13">
        <f>Table1[[#This Row],[Tuition_USD]]+Table1[[#This Row],[Rent_USD]]+Table1[[#This Row],[Insurance_USD]]+Table1[[#This Row],[Visa_Fee_USD]]+Table1[[#This Row],[Annual_Estimated_Living_cost]]</f>
        <v>18139.464720194646</v>
      </c>
    </row>
    <row r="591" spans="1:17" x14ac:dyDescent="0.25">
      <c r="A591" s="2" t="s">
        <v>348</v>
      </c>
      <c r="B591" s="1" t="s">
        <v>807</v>
      </c>
      <c r="C591" s="1" t="s">
        <v>808</v>
      </c>
      <c r="D591" s="1" t="s">
        <v>434</v>
      </c>
      <c r="E591" s="1" t="s">
        <v>16</v>
      </c>
      <c r="F591" s="1">
        <v>2</v>
      </c>
      <c r="G591" s="1" t="str">
        <f>CONCATENATE(Table1[[#This Row],[Duration_Years]]," ","years")</f>
        <v>2 years</v>
      </c>
      <c r="H591" s="11">
        <v>0</v>
      </c>
      <c r="I591" s="1">
        <v>59.8</v>
      </c>
      <c r="J591" s="11">
        <v>400</v>
      </c>
      <c r="K591" s="11">
        <v>100</v>
      </c>
      <c r="L591" s="11">
        <v>600</v>
      </c>
      <c r="M591" s="22">
        <v>0.92</v>
      </c>
      <c r="N591" s="3" t="str">
        <f>IF(Table1[[#This Row],[Exchange_Rate]]&lt;5,"Strong Currency", IF(Table1[[#This Row],[Exchange_Rate]]&lt;=1000, "Medium Currency","Weak Currency"))</f>
        <v>Strong Currency</v>
      </c>
      <c r="O591" s="11">
        <f>(Table1[[#This Row],[Living_Cost_Index]]/123.3)*1850</f>
        <v>897.24249797242499</v>
      </c>
      <c r="P591" s="11">
        <f>Table1[[#This Row],[Monthly_Estimated_Living_cost]]*12</f>
        <v>10766.909975669099</v>
      </c>
      <c r="Q591" s="13">
        <f>Table1[[#This Row],[Tuition_USD]]+Table1[[#This Row],[Rent_USD]]+Table1[[#This Row],[Insurance_USD]]+Table1[[#This Row],[Visa_Fee_USD]]+Table1[[#This Row],[Annual_Estimated_Living_cost]]</f>
        <v>11866.909975669099</v>
      </c>
    </row>
    <row r="592" spans="1:17" x14ac:dyDescent="0.25">
      <c r="A592" s="2" t="s">
        <v>80</v>
      </c>
      <c r="B592" s="1" t="s">
        <v>809</v>
      </c>
      <c r="C592" s="1" t="s">
        <v>810</v>
      </c>
      <c r="D592" s="1" t="s">
        <v>696</v>
      </c>
      <c r="E592" s="1" t="s">
        <v>16</v>
      </c>
      <c r="F592" s="1">
        <v>2</v>
      </c>
      <c r="G592" s="1" t="str">
        <f>CONCATENATE(Table1[[#This Row],[Duration_Years]]," ","years")</f>
        <v>2 years</v>
      </c>
      <c r="H592" s="11">
        <v>1500</v>
      </c>
      <c r="I592" s="1">
        <v>71.5</v>
      </c>
      <c r="J592" s="11">
        <v>780</v>
      </c>
      <c r="K592" s="11">
        <v>160</v>
      </c>
      <c r="L592" s="11">
        <v>850</v>
      </c>
      <c r="M592" s="22">
        <v>0.92</v>
      </c>
      <c r="N592" s="3" t="str">
        <f>IF(Table1[[#This Row],[Exchange_Rate]]&lt;5,"Strong Currency", IF(Table1[[#This Row],[Exchange_Rate]]&lt;=1000, "Medium Currency","Weak Currency"))</f>
        <v>Strong Currency</v>
      </c>
      <c r="O592" s="11">
        <f>(Table1[[#This Row],[Living_Cost_Index]]/123.3)*1850</f>
        <v>1072.7899432278994</v>
      </c>
      <c r="P592" s="11">
        <f>Table1[[#This Row],[Monthly_Estimated_Living_cost]]*12</f>
        <v>12873.479318734793</v>
      </c>
      <c r="Q592" s="13">
        <f>Table1[[#This Row],[Tuition_USD]]+Table1[[#This Row],[Rent_USD]]+Table1[[#This Row],[Insurance_USD]]+Table1[[#This Row],[Visa_Fee_USD]]+Table1[[#This Row],[Annual_Estimated_Living_cost]]</f>
        <v>16163.479318734793</v>
      </c>
    </row>
    <row r="593" spans="1:17" x14ac:dyDescent="0.25">
      <c r="A593" s="2" t="s">
        <v>345</v>
      </c>
      <c r="B593" s="1" t="s">
        <v>811</v>
      </c>
      <c r="C593" s="1" t="s">
        <v>812</v>
      </c>
      <c r="D593" s="1" t="s">
        <v>71</v>
      </c>
      <c r="E593" s="1" t="s">
        <v>75</v>
      </c>
      <c r="F593" s="1">
        <v>4</v>
      </c>
      <c r="G593" s="1" t="str">
        <f>CONCATENATE(Table1[[#This Row],[Duration_Years]]," ","years")</f>
        <v>4 years</v>
      </c>
      <c r="H593" s="11">
        <v>11000</v>
      </c>
      <c r="I593" s="1">
        <v>46.7</v>
      </c>
      <c r="J593" s="11">
        <v>480</v>
      </c>
      <c r="K593" s="11">
        <v>40</v>
      </c>
      <c r="L593" s="11">
        <v>400</v>
      </c>
      <c r="M593" s="22">
        <v>17.05</v>
      </c>
      <c r="N593" s="3" t="str">
        <f>IF(Table1[[#This Row],[Exchange_Rate]]&lt;5,"Strong Currency", IF(Table1[[#This Row],[Exchange_Rate]]&lt;=1000, "Medium Currency","Weak Currency"))</f>
        <v>Medium Currency</v>
      </c>
      <c r="O593" s="11">
        <f>(Table1[[#This Row],[Living_Cost_Index]]/123.3)*1850</f>
        <v>700.68937550689384</v>
      </c>
      <c r="P593" s="11">
        <f>Table1[[#This Row],[Monthly_Estimated_Living_cost]]*12</f>
        <v>8408.2725060827252</v>
      </c>
      <c r="Q593" s="13">
        <f>Table1[[#This Row],[Tuition_USD]]+Table1[[#This Row],[Rent_USD]]+Table1[[#This Row],[Insurance_USD]]+Table1[[#This Row],[Visa_Fee_USD]]+Table1[[#This Row],[Annual_Estimated_Living_cost]]</f>
        <v>20328.272506082725</v>
      </c>
    </row>
    <row r="594" spans="1:17" x14ac:dyDescent="0.25">
      <c r="A594" s="2" t="s">
        <v>183</v>
      </c>
      <c r="B594" s="1" t="s">
        <v>813</v>
      </c>
      <c r="C594" s="1" t="s">
        <v>814</v>
      </c>
      <c r="D594" s="1" t="s">
        <v>40</v>
      </c>
      <c r="E594" s="1" t="s">
        <v>16</v>
      </c>
      <c r="F594" s="1">
        <v>2</v>
      </c>
      <c r="G594" s="1" t="str">
        <f>CONCATENATE(Table1[[#This Row],[Duration_Years]]," ","years")</f>
        <v>2 years</v>
      </c>
      <c r="H594" s="11">
        <v>2800</v>
      </c>
      <c r="I594" s="1">
        <v>64.5</v>
      </c>
      <c r="J594" s="11">
        <v>700</v>
      </c>
      <c r="K594" s="11">
        <v>80</v>
      </c>
      <c r="L594" s="11">
        <v>750</v>
      </c>
      <c r="M594" s="22">
        <v>0.92</v>
      </c>
      <c r="N594" s="3" t="str">
        <f>IF(Table1[[#This Row],[Exchange_Rate]]&lt;5,"Strong Currency", IF(Table1[[#This Row],[Exchange_Rate]]&lt;=1000, "Medium Currency","Weak Currency"))</f>
        <v>Strong Currency</v>
      </c>
      <c r="O594" s="11">
        <f>(Table1[[#This Row],[Living_Cost_Index]]/123.3)*1850</f>
        <v>967.7615571776156</v>
      </c>
      <c r="P594" s="11">
        <f>Table1[[#This Row],[Monthly_Estimated_Living_cost]]*12</f>
        <v>11613.138686131388</v>
      </c>
      <c r="Q594" s="13">
        <f>Table1[[#This Row],[Tuition_USD]]+Table1[[#This Row],[Rent_USD]]+Table1[[#This Row],[Insurance_USD]]+Table1[[#This Row],[Visa_Fee_USD]]+Table1[[#This Row],[Annual_Estimated_Living_cost]]</f>
        <v>15943.138686131388</v>
      </c>
    </row>
    <row r="595" spans="1:17" x14ac:dyDescent="0.25">
      <c r="A595" s="2" t="s">
        <v>186</v>
      </c>
      <c r="B595" s="1" t="s">
        <v>815</v>
      </c>
      <c r="C595" s="1" t="s">
        <v>816</v>
      </c>
      <c r="D595" s="1" t="s">
        <v>207</v>
      </c>
      <c r="E595" s="1" t="s">
        <v>1353</v>
      </c>
      <c r="F595" s="1">
        <v>4</v>
      </c>
      <c r="G595" s="1" t="str">
        <f>CONCATENATE(Table1[[#This Row],[Duration_Years]]," ","years")</f>
        <v>4 years</v>
      </c>
      <c r="H595" s="11">
        <v>3200</v>
      </c>
      <c r="I595" s="1">
        <v>67.8</v>
      </c>
      <c r="J595" s="11">
        <v>800</v>
      </c>
      <c r="K595" s="11">
        <v>120</v>
      </c>
      <c r="L595" s="11">
        <v>700</v>
      </c>
      <c r="M595" s="22">
        <v>0.92</v>
      </c>
      <c r="N595" s="3" t="str">
        <f>IF(Table1[[#This Row],[Exchange_Rate]]&lt;5,"Strong Currency", IF(Table1[[#This Row],[Exchange_Rate]]&lt;=1000, "Medium Currency","Weak Currency"))</f>
        <v>Strong Currency</v>
      </c>
      <c r="O595" s="11">
        <f>(Table1[[#This Row],[Living_Cost_Index]]/123.3)*1850</f>
        <v>1017.2749391727493</v>
      </c>
      <c r="P595" s="11">
        <f>Table1[[#This Row],[Monthly_Estimated_Living_cost]]*12</f>
        <v>12207.299270072992</v>
      </c>
      <c r="Q595" s="13">
        <f>Table1[[#This Row],[Tuition_USD]]+Table1[[#This Row],[Rent_USD]]+Table1[[#This Row],[Insurance_USD]]+Table1[[#This Row],[Visa_Fee_USD]]+Table1[[#This Row],[Annual_Estimated_Living_cost]]</f>
        <v>17027.299270072992</v>
      </c>
    </row>
    <row r="596" spans="1:17" x14ac:dyDescent="0.25">
      <c r="A596" s="2" t="s">
        <v>348</v>
      </c>
      <c r="B596" s="1" t="s">
        <v>817</v>
      </c>
      <c r="C596" s="1" t="s">
        <v>818</v>
      </c>
      <c r="D596" s="1" t="s">
        <v>215</v>
      </c>
      <c r="E596" s="1" t="s">
        <v>75</v>
      </c>
      <c r="F596" s="1">
        <v>4</v>
      </c>
      <c r="G596" s="1" t="str">
        <f>CONCATENATE(Table1[[#This Row],[Duration_Years]]," ","years")</f>
        <v>4 years</v>
      </c>
      <c r="H596" s="11">
        <v>0</v>
      </c>
      <c r="I596" s="1">
        <v>58.9</v>
      </c>
      <c r="J596" s="11">
        <v>380</v>
      </c>
      <c r="K596" s="11">
        <v>100</v>
      </c>
      <c r="L596" s="11">
        <v>600</v>
      </c>
      <c r="M596" s="22">
        <v>0.92</v>
      </c>
      <c r="N596" s="3" t="str">
        <f>IF(Table1[[#This Row],[Exchange_Rate]]&lt;5,"Strong Currency", IF(Table1[[#This Row],[Exchange_Rate]]&lt;=1000, "Medium Currency","Weak Currency"))</f>
        <v>Strong Currency</v>
      </c>
      <c r="O596" s="11">
        <f>(Table1[[#This Row],[Living_Cost_Index]]/123.3)*1850</f>
        <v>883.7388483373885</v>
      </c>
      <c r="P596" s="11">
        <f>Table1[[#This Row],[Monthly_Estimated_Living_cost]]*12</f>
        <v>10604.866180048662</v>
      </c>
      <c r="Q596" s="13">
        <f>Table1[[#This Row],[Tuition_USD]]+Table1[[#This Row],[Rent_USD]]+Table1[[#This Row],[Insurance_USD]]+Table1[[#This Row],[Visa_Fee_USD]]+Table1[[#This Row],[Annual_Estimated_Living_cost]]</f>
        <v>11684.866180048662</v>
      </c>
    </row>
    <row r="597" spans="1:17" x14ac:dyDescent="0.25">
      <c r="A597" s="2" t="s">
        <v>80</v>
      </c>
      <c r="B597" s="1" t="s">
        <v>819</v>
      </c>
      <c r="C597" s="1" t="s">
        <v>820</v>
      </c>
      <c r="D597" s="1" t="s">
        <v>20</v>
      </c>
      <c r="E597" s="1" t="s">
        <v>16</v>
      </c>
      <c r="F597" s="1">
        <v>2</v>
      </c>
      <c r="G597" s="1" t="str">
        <f>CONCATENATE(Table1[[#This Row],[Duration_Years]]," ","years")</f>
        <v>2 years</v>
      </c>
      <c r="H597" s="11">
        <v>1500</v>
      </c>
      <c r="I597" s="1">
        <v>69.400000000000006</v>
      </c>
      <c r="J597" s="11">
        <v>720</v>
      </c>
      <c r="K597" s="11">
        <v>160</v>
      </c>
      <c r="L597" s="11">
        <v>850</v>
      </c>
      <c r="M597" s="22">
        <v>0.92</v>
      </c>
      <c r="N597" s="3" t="str">
        <f>IF(Table1[[#This Row],[Exchange_Rate]]&lt;5,"Strong Currency", IF(Table1[[#This Row],[Exchange_Rate]]&lt;=1000, "Medium Currency","Weak Currency"))</f>
        <v>Strong Currency</v>
      </c>
      <c r="O597" s="11">
        <f>(Table1[[#This Row],[Living_Cost_Index]]/123.3)*1850</f>
        <v>1041.2814274128143</v>
      </c>
      <c r="P597" s="11">
        <f>Table1[[#This Row],[Monthly_Estimated_Living_cost]]*12</f>
        <v>12495.377128953773</v>
      </c>
      <c r="Q597" s="13">
        <f>Table1[[#This Row],[Tuition_USD]]+Table1[[#This Row],[Rent_USD]]+Table1[[#This Row],[Insurance_USD]]+Table1[[#This Row],[Visa_Fee_USD]]+Table1[[#This Row],[Annual_Estimated_Living_cost]]</f>
        <v>15725.377128953773</v>
      </c>
    </row>
    <row r="598" spans="1:17" x14ac:dyDescent="0.25">
      <c r="A598" s="2" t="s">
        <v>345</v>
      </c>
      <c r="B598" s="1" t="s">
        <v>821</v>
      </c>
      <c r="C598" s="1" t="s">
        <v>822</v>
      </c>
      <c r="D598" s="1" t="s">
        <v>63</v>
      </c>
      <c r="E598" s="1" t="s">
        <v>16</v>
      </c>
      <c r="F598" s="1">
        <v>2</v>
      </c>
      <c r="G598" s="1" t="str">
        <f>CONCATENATE(Table1[[#This Row],[Duration_Years]]," ","years")</f>
        <v>2 years</v>
      </c>
      <c r="H598" s="11">
        <v>3500</v>
      </c>
      <c r="I598" s="1">
        <v>43.2</v>
      </c>
      <c r="J598" s="11">
        <v>400</v>
      </c>
      <c r="K598" s="11">
        <v>40</v>
      </c>
      <c r="L598" s="11">
        <v>400</v>
      </c>
      <c r="M598" s="22">
        <v>17.05</v>
      </c>
      <c r="N598" s="3" t="str">
        <f>IF(Table1[[#This Row],[Exchange_Rate]]&lt;5,"Strong Currency", IF(Table1[[#This Row],[Exchange_Rate]]&lt;=1000, "Medium Currency","Weak Currency"))</f>
        <v>Medium Currency</v>
      </c>
      <c r="O598" s="11">
        <f>(Table1[[#This Row],[Living_Cost_Index]]/123.3)*1850</f>
        <v>648.1751824817519</v>
      </c>
      <c r="P598" s="11">
        <f>Table1[[#This Row],[Monthly_Estimated_Living_cost]]*12</f>
        <v>7778.1021897810224</v>
      </c>
      <c r="Q598" s="13">
        <f>Table1[[#This Row],[Tuition_USD]]+Table1[[#This Row],[Rent_USD]]+Table1[[#This Row],[Insurance_USD]]+Table1[[#This Row],[Visa_Fee_USD]]+Table1[[#This Row],[Annual_Estimated_Living_cost]]</f>
        <v>12118.102189781022</v>
      </c>
    </row>
    <row r="599" spans="1:17" x14ac:dyDescent="0.25">
      <c r="A599" s="2" t="s">
        <v>183</v>
      </c>
      <c r="B599" s="1" t="s">
        <v>823</v>
      </c>
      <c r="C599" s="1" t="s">
        <v>824</v>
      </c>
      <c r="D599" s="1" t="s">
        <v>136</v>
      </c>
      <c r="E599" s="1" t="s">
        <v>16</v>
      </c>
      <c r="F599" s="1">
        <v>2</v>
      </c>
      <c r="G599" s="1" t="str">
        <f>CONCATENATE(Table1[[#This Row],[Duration_Years]]," ","years")</f>
        <v>2 years</v>
      </c>
      <c r="H599" s="11">
        <v>2900</v>
      </c>
      <c r="I599" s="1">
        <v>63.2</v>
      </c>
      <c r="J599" s="11">
        <v>650</v>
      </c>
      <c r="K599" s="11">
        <v>80</v>
      </c>
      <c r="L599" s="11">
        <v>750</v>
      </c>
      <c r="M599" s="22">
        <v>0.92</v>
      </c>
      <c r="N599" s="3" t="str">
        <f>IF(Table1[[#This Row],[Exchange_Rate]]&lt;5,"Strong Currency", IF(Table1[[#This Row],[Exchange_Rate]]&lt;=1000, "Medium Currency","Weak Currency"))</f>
        <v>Strong Currency</v>
      </c>
      <c r="O599" s="11">
        <f>(Table1[[#This Row],[Living_Cost_Index]]/123.3)*1850</f>
        <v>948.25628548256282</v>
      </c>
      <c r="P599" s="11">
        <f>Table1[[#This Row],[Monthly_Estimated_Living_cost]]*12</f>
        <v>11379.075425790754</v>
      </c>
      <c r="Q599" s="13">
        <f>Table1[[#This Row],[Tuition_USD]]+Table1[[#This Row],[Rent_USD]]+Table1[[#This Row],[Insurance_USD]]+Table1[[#This Row],[Visa_Fee_USD]]+Table1[[#This Row],[Annual_Estimated_Living_cost]]</f>
        <v>15759.075425790754</v>
      </c>
    </row>
    <row r="600" spans="1:17" x14ac:dyDescent="0.25">
      <c r="A600" s="2" t="s">
        <v>186</v>
      </c>
      <c r="B600" s="1" t="s">
        <v>825</v>
      </c>
      <c r="C600" s="1" t="s">
        <v>826</v>
      </c>
      <c r="D600" s="1" t="s">
        <v>63</v>
      </c>
      <c r="E600" s="1" t="s">
        <v>16</v>
      </c>
      <c r="F600" s="1">
        <v>2</v>
      </c>
      <c r="G600" s="1" t="str">
        <f>CONCATENATE(Table1[[#This Row],[Duration_Years]]," ","years")</f>
        <v>2 years</v>
      </c>
      <c r="H600" s="11">
        <v>3300</v>
      </c>
      <c r="I600" s="1">
        <v>68.900000000000006</v>
      </c>
      <c r="J600" s="11">
        <v>850</v>
      </c>
      <c r="K600" s="11">
        <v>120</v>
      </c>
      <c r="L600" s="11">
        <v>700</v>
      </c>
      <c r="M600" s="22">
        <v>0.92</v>
      </c>
      <c r="N600" s="3" t="str">
        <f>IF(Table1[[#This Row],[Exchange_Rate]]&lt;5,"Strong Currency", IF(Table1[[#This Row],[Exchange_Rate]]&lt;=1000, "Medium Currency","Weak Currency"))</f>
        <v>Strong Currency</v>
      </c>
      <c r="O600" s="11">
        <f>(Table1[[#This Row],[Living_Cost_Index]]/123.3)*1850</f>
        <v>1033.779399837794</v>
      </c>
      <c r="P600" s="11">
        <f>Table1[[#This Row],[Monthly_Estimated_Living_cost]]*12</f>
        <v>12405.352798053529</v>
      </c>
      <c r="Q600" s="13">
        <f>Table1[[#This Row],[Tuition_USD]]+Table1[[#This Row],[Rent_USD]]+Table1[[#This Row],[Insurance_USD]]+Table1[[#This Row],[Visa_Fee_USD]]+Table1[[#This Row],[Annual_Estimated_Living_cost]]</f>
        <v>17375.352798053529</v>
      </c>
    </row>
    <row r="601" spans="1:17" x14ac:dyDescent="0.25">
      <c r="A601" s="2" t="s">
        <v>348</v>
      </c>
      <c r="B601" s="1" t="s">
        <v>827</v>
      </c>
      <c r="C601" s="1" t="s">
        <v>828</v>
      </c>
      <c r="D601" s="1" t="s">
        <v>456</v>
      </c>
      <c r="E601" s="1" t="s">
        <v>16</v>
      </c>
      <c r="F601" s="1">
        <v>2</v>
      </c>
      <c r="G601" s="1" t="str">
        <f>CONCATENATE(Table1[[#This Row],[Duration_Years]]," ","years")</f>
        <v>2 years</v>
      </c>
      <c r="H601" s="11">
        <v>0</v>
      </c>
      <c r="I601" s="1">
        <v>61.2</v>
      </c>
      <c r="J601" s="11">
        <v>420</v>
      </c>
      <c r="K601" s="11">
        <v>100</v>
      </c>
      <c r="L601" s="11">
        <v>600</v>
      </c>
      <c r="M601" s="22">
        <v>0.92</v>
      </c>
      <c r="N601" s="3" t="str">
        <f>IF(Table1[[#This Row],[Exchange_Rate]]&lt;5,"Strong Currency", IF(Table1[[#This Row],[Exchange_Rate]]&lt;=1000, "Medium Currency","Weak Currency"))</f>
        <v>Strong Currency</v>
      </c>
      <c r="O601" s="11">
        <f>(Table1[[#This Row],[Living_Cost_Index]]/123.3)*1850</f>
        <v>918.24817518248187</v>
      </c>
      <c r="P601" s="11">
        <f>Table1[[#This Row],[Monthly_Estimated_Living_cost]]*12</f>
        <v>11018.978102189783</v>
      </c>
      <c r="Q601" s="13">
        <f>Table1[[#This Row],[Tuition_USD]]+Table1[[#This Row],[Rent_USD]]+Table1[[#This Row],[Insurance_USD]]+Table1[[#This Row],[Visa_Fee_USD]]+Table1[[#This Row],[Annual_Estimated_Living_cost]]</f>
        <v>12138.978102189783</v>
      </c>
    </row>
    <row r="602" spans="1:17" x14ac:dyDescent="0.25">
      <c r="A602" s="2" t="s">
        <v>80</v>
      </c>
      <c r="B602" s="1" t="s">
        <v>829</v>
      </c>
      <c r="C602" s="1" t="s">
        <v>830</v>
      </c>
      <c r="D602" s="1" t="s">
        <v>93</v>
      </c>
      <c r="E602" s="1" t="s">
        <v>1353</v>
      </c>
      <c r="F602" s="1">
        <v>4</v>
      </c>
      <c r="G602" s="1" t="str">
        <f>CONCATENATE(Table1[[#This Row],[Duration_Years]]," ","years")</f>
        <v>4 years</v>
      </c>
      <c r="H602" s="11">
        <v>1500</v>
      </c>
      <c r="I602" s="1">
        <v>68.7</v>
      </c>
      <c r="J602" s="11">
        <v>700</v>
      </c>
      <c r="K602" s="11">
        <v>160</v>
      </c>
      <c r="L602" s="11">
        <v>850</v>
      </c>
      <c r="M602" s="22">
        <v>0.92</v>
      </c>
      <c r="N602" s="3" t="str">
        <f>IF(Table1[[#This Row],[Exchange_Rate]]&lt;5,"Strong Currency", IF(Table1[[#This Row],[Exchange_Rate]]&lt;=1000, "Medium Currency","Weak Currency"))</f>
        <v>Strong Currency</v>
      </c>
      <c r="O602" s="11">
        <f>(Table1[[#This Row],[Living_Cost_Index]]/123.3)*1850</f>
        <v>1030.7785888077858</v>
      </c>
      <c r="P602" s="11">
        <f>Table1[[#This Row],[Monthly_Estimated_Living_cost]]*12</f>
        <v>12369.343065693429</v>
      </c>
      <c r="Q602" s="13">
        <f>Table1[[#This Row],[Tuition_USD]]+Table1[[#This Row],[Rent_USD]]+Table1[[#This Row],[Insurance_USD]]+Table1[[#This Row],[Visa_Fee_USD]]+Table1[[#This Row],[Annual_Estimated_Living_cost]]</f>
        <v>15579.343065693429</v>
      </c>
    </row>
    <row r="603" spans="1:17" x14ac:dyDescent="0.25">
      <c r="A603" s="2" t="s">
        <v>345</v>
      </c>
      <c r="B603" s="1" t="s">
        <v>831</v>
      </c>
      <c r="C603" s="1" t="s">
        <v>832</v>
      </c>
      <c r="D603" s="1" t="s">
        <v>222</v>
      </c>
      <c r="E603" s="1" t="s">
        <v>75</v>
      </c>
      <c r="F603" s="1">
        <v>4</v>
      </c>
      <c r="G603" s="1" t="str">
        <f>CONCATENATE(Table1[[#This Row],[Duration_Years]]," ","years")</f>
        <v>4 years</v>
      </c>
      <c r="H603" s="11">
        <v>9500</v>
      </c>
      <c r="I603" s="1">
        <v>45.4</v>
      </c>
      <c r="J603" s="11">
        <v>550</v>
      </c>
      <c r="K603" s="11">
        <v>40</v>
      </c>
      <c r="L603" s="11">
        <v>400</v>
      </c>
      <c r="M603" s="22">
        <v>17.05</v>
      </c>
      <c r="N603" s="3" t="str">
        <f>IF(Table1[[#This Row],[Exchange_Rate]]&lt;5,"Strong Currency", IF(Table1[[#This Row],[Exchange_Rate]]&lt;=1000, "Medium Currency","Weak Currency"))</f>
        <v>Medium Currency</v>
      </c>
      <c r="O603" s="11">
        <f>(Table1[[#This Row],[Living_Cost_Index]]/123.3)*1850</f>
        <v>681.18410381184094</v>
      </c>
      <c r="P603" s="11">
        <f>Table1[[#This Row],[Monthly_Estimated_Living_cost]]*12</f>
        <v>8174.2092457420913</v>
      </c>
      <c r="Q603" s="13">
        <f>Table1[[#This Row],[Tuition_USD]]+Table1[[#This Row],[Rent_USD]]+Table1[[#This Row],[Insurance_USD]]+Table1[[#This Row],[Visa_Fee_USD]]+Table1[[#This Row],[Annual_Estimated_Living_cost]]</f>
        <v>18664.209245742091</v>
      </c>
    </row>
    <row r="604" spans="1:17" x14ac:dyDescent="0.25">
      <c r="A604" s="2" t="s">
        <v>183</v>
      </c>
      <c r="B604" s="1" t="s">
        <v>833</v>
      </c>
      <c r="C604" s="1" t="s">
        <v>834</v>
      </c>
      <c r="D604" s="1" t="s">
        <v>20</v>
      </c>
      <c r="E604" s="1" t="s">
        <v>1353</v>
      </c>
      <c r="F604" s="1">
        <v>4</v>
      </c>
      <c r="G604" s="1" t="str">
        <f>CONCATENATE(Table1[[#This Row],[Duration_Years]]," ","years")</f>
        <v>4 years</v>
      </c>
      <c r="H604" s="11">
        <v>3100</v>
      </c>
      <c r="I604" s="1">
        <v>62.1</v>
      </c>
      <c r="J604" s="11">
        <v>600</v>
      </c>
      <c r="K604" s="11">
        <v>80</v>
      </c>
      <c r="L604" s="11">
        <v>750</v>
      </c>
      <c r="M604" s="22">
        <v>0.92</v>
      </c>
      <c r="N604" s="3" t="str">
        <f>IF(Table1[[#This Row],[Exchange_Rate]]&lt;5,"Strong Currency", IF(Table1[[#This Row],[Exchange_Rate]]&lt;=1000, "Medium Currency","Weak Currency"))</f>
        <v>Strong Currency</v>
      </c>
      <c r="O604" s="11">
        <f>(Table1[[#This Row],[Living_Cost_Index]]/123.3)*1850</f>
        <v>931.75182481751835</v>
      </c>
      <c r="P604" s="11">
        <f>Table1[[#This Row],[Monthly_Estimated_Living_cost]]*12</f>
        <v>11181.02189781022</v>
      </c>
      <c r="Q604" s="13">
        <f>Table1[[#This Row],[Tuition_USD]]+Table1[[#This Row],[Rent_USD]]+Table1[[#This Row],[Insurance_USD]]+Table1[[#This Row],[Visa_Fee_USD]]+Table1[[#This Row],[Annual_Estimated_Living_cost]]</f>
        <v>15711.02189781022</v>
      </c>
    </row>
    <row r="605" spans="1:17" x14ac:dyDescent="0.25">
      <c r="A605" s="2" t="s">
        <v>186</v>
      </c>
      <c r="B605" s="1" t="s">
        <v>835</v>
      </c>
      <c r="C605" s="1" t="s">
        <v>836</v>
      </c>
      <c r="D605" s="1" t="s">
        <v>40</v>
      </c>
      <c r="E605" s="1" t="s">
        <v>16</v>
      </c>
      <c r="F605" s="1">
        <v>2</v>
      </c>
      <c r="G605" s="1" t="str">
        <f>CONCATENATE(Table1[[#This Row],[Duration_Years]]," ","years")</f>
        <v>2 years</v>
      </c>
      <c r="H605" s="11">
        <v>3400</v>
      </c>
      <c r="I605" s="1">
        <v>69.5</v>
      </c>
      <c r="J605" s="11">
        <v>900</v>
      </c>
      <c r="K605" s="11">
        <v>120</v>
      </c>
      <c r="L605" s="11">
        <v>700</v>
      </c>
      <c r="M605" s="22">
        <v>0.92</v>
      </c>
      <c r="N605" s="3" t="str">
        <f>IF(Table1[[#This Row],[Exchange_Rate]]&lt;5,"Strong Currency", IF(Table1[[#This Row],[Exchange_Rate]]&lt;=1000, "Medium Currency","Weak Currency"))</f>
        <v>Strong Currency</v>
      </c>
      <c r="O605" s="11">
        <f>(Table1[[#This Row],[Living_Cost_Index]]/123.3)*1850</f>
        <v>1042.7818329278184</v>
      </c>
      <c r="P605" s="11">
        <f>Table1[[#This Row],[Monthly_Estimated_Living_cost]]*12</f>
        <v>12513.381995133821</v>
      </c>
      <c r="Q605" s="13">
        <f>Table1[[#This Row],[Tuition_USD]]+Table1[[#This Row],[Rent_USD]]+Table1[[#This Row],[Insurance_USD]]+Table1[[#This Row],[Visa_Fee_USD]]+Table1[[#This Row],[Annual_Estimated_Living_cost]]</f>
        <v>17633.381995133823</v>
      </c>
    </row>
    <row r="606" spans="1:17" x14ac:dyDescent="0.25">
      <c r="A606" s="2" t="s">
        <v>348</v>
      </c>
      <c r="B606" s="1" t="s">
        <v>837</v>
      </c>
      <c r="C606" s="1" t="s">
        <v>838</v>
      </c>
      <c r="D606" s="1" t="s">
        <v>839</v>
      </c>
      <c r="E606" s="1" t="s">
        <v>16</v>
      </c>
      <c r="F606" s="1">
        <v>2</v>
      </c>
      <c r="G606" s="1" t="str">
        <f>CONCATENATE(Table1[[#This Row],[Duration_Years]]," ","years")</f>
        <v>2 years</v>
      </c>
      <c r="H606" s="11">
        <v>0</v>
      </c>
      <c r="I606" s="1">
        <v>60.4</v>
      </c>
      <c r="J606" s="11">
        <v>450</v>
      </c>
      <c r="K606" s="11">
        <v>100</v>
      </c>
      <c r="L606" s="11">
        <v>600</v>
      </c>
      <c r="M606" s="22">
        <v>0.92</v>
      </c>
      <c r="N606" s="3" t="str">
        <f>IF(Table1[[#This Row],[Exchange_Rate]]&lt;5,"Strong Currency", IF(Table1[[#This Row],[Exchange_Rate]]&lt;=1000, "Medium Currency","Weak Currency"))</f>
        <v>Strong Currency</v>
      </c>
      <c r="O606" s="11">
        <f>(Table1[[#This Row],[Living_Cost_Index]]/123.3)*1850</f>
        <v>906.24493106244927</v>
      </c>
      <c r="P606" s="11">
        <f>Table1[[#This Row],[Monthly_Estimated_Living_cost]]*12</f>
        <v>10874.939172749391</v>
      </c>
      <c r="Q606" s="13">
        <f>Table1[[#This Row],[Tuition_USD]]+Table1[[#This Row],[Rent_USD]]+Table1[[#This Row],[Insurance_USD]]+Table1[[#This Row],[Visa_Fee_USD]]+Table1[[#This Row],[Annual_Estimated_Living_cost]]</f>
        <v>12024.939172749391</v>
      </c>
    </row>
    <row r="607" spans="1:17" x14ac:dyDescent="0.25">
      <c r="A607" s="2" t="s">
        <v>80</v>
      </c>
      <c r="B607" s="1" t="s">
        <v>840</v>
      </c>
      <c r="C607" s="1" t="s">
        <v>841</v>
      </c>
      <c r="D607" s="1" t="s">
        <v>241</v>
      </c>
      <c r="E607" s="1" t="s">
        <v>75</v>
      </c>
      <c r="F607" s="1">
        <v>3</v>
      </c>
      <c r="G607" s="1" t="str">
        <f>CONCATENATE(Table1[[#This Row],[Duration_Years]]," ","years")</f>
        <v>3 years</v>
      </c>
      <c r="H607" s="11">
        <v>1500</v>
      </c>
      <c r="I607" s="1">
        <v>70.2</v>
      </c>
      <c r="J607" s="11">
        <v>800</v>
      </c>
      <c r="K607" s="11">
        <v>160</v>
      </c>
      <c r="L607" s="11">
        <v>850</v>
      </c>
      <c r="M607" s="22">
        <v>0.92</v>
      </c>
      <c r="N607" s="3" t="str">
        <f>IF(Table1[[#This Row],[Exchange_Rate]]&lt;5,"Strong Currency", IF(Table1[[#This Row],[Exchange_Rate]]&lt;=1000, "Medium Currency","Weak Currency"))</f>
        <v>Strong Currency</v>
      </c>
      <c r="O607" s="11">
        <f>(Table1[[#This Row],[Living_Cost_Index]]/123.3)*1850</f>
        <v>1053.2846715328469</v>
      </c>
      <c r="P607" s="11">
        <f>Table1[[#This Row],[Monthly_Estimated_Living_cost]]*12</f>
        <v>12639.416058394163</v>
      </c>
      <c r="Q607" s="13">
        <f>Table1[[#This Row],[Tuition_USD]]+Table1[[#This Row],[Rent_USD]]+Table1[[#This Row],[Insurance_USD]]+Table1[[#This Row],[Visa_Fee_USD]]+Table1[[#This Row],[Annual_Estimated_Living_cost]]</f>
        <v>15949.416058394163</v>
      </c>
    </row>
    <row r="608" spans="1:17" x14ac:dyDescent="0.25">
      <c r="A608" s="2" t="s">
        <v>345</v>
      </c>
      <c r="B608" s="1" t="s">
        <v>842</v>
      </c>
      <c r="C608" s="1" t="s">
        <v>843</v>
      </c>
      <c r="D608" s="1" t="s">
        <v>500</v>
      </c>
      <c r="E608" s="1" t="s">
        <v>16</v>
      </c>
      <c r="F608" s="1">
        <v>2</v>
      </c>
      <c r="G608" s="1" t="str">
        <f>CONCATENATE(Table1[[#This Row],[Duration_Years]]," ","years")</f>
        <v>2 years</v>
      </c>
      <c r="H608" s="11">
        <v>2800</v>
      </c>
      <c r="I608" s="1">
        <v>42.8</v>
      </c>
      <c r="J608" s="11">
        <v>380</v>
      </c>
      <c r="K608" s="11">
        <v>40</v>
      </c>
      <c r="L608" s="11">
        <v>400</v>
      </c>
      <c r="M608" s="22">
        <v>17.05</v>
      </c>
      <c r="N608" s="3" t="str">
        <f>IF(Table1[[#This Row],[Exchange_Rate]]&lt;5,"Strong Currency", IF(Table1[[#This Row],[Exchange_Rate]]&lt;=1000, "Medium Currency","Weak Currency"))</f>
        <v>Medium Currency</v>
      </c>
      <c r="O608" s="11">
        <f>(Table1[[#This Row],[Living_Cost_Index]]/123.3)*1850</f>
        <v>642.1735604217356</v>
      </c>
      <c r="P608" s="11">
        <f>Table1[[#This Row],[Monthly_Estimated_Living_cost]]*12</f>
        <v>7706.0827250608272</v>
      </c>
      <c r="Q608" s="13">
        <f>Table1[[#This Row],[Tuition_USD]]+Table1[[#This Row],[Rent_USD]]+Table1[[#This Row],[Insurance_USD]]+Table1[[#This Row],[Visa_Fee_USD]]+Table1[[#This Row],[Annual_Estimated_Living_cost]]</f>
        <v>11326.082725060827</v>
      </c>
    </row>
    <row r="609" spans="1:17" x14ac:dyDescent="0.25">
      <c r="A609" s="2" t="s">
        <v>338</v>
      </c>
      <c r="B609" s="1" t="s">
        <v>339</v>
      </c>
      <c r="C609" s="1" t="s">
        <v>340</v>
      </c>
      <c r="D609" s="1" t="s">
        <v>63</v>
      </c>
      <c r="E609" s="1" t="s">
        <v>16</v>
      </c>
      <c r="F609" s="1">
        <v>2</v>
      </c>
      <c r="G609" s="1" t="str">
        <f>CONCATENATE(Table1[[#This Row],[Duration_Years]]," ","years")</f>
        <v>2 years</v>
      </c>
      <c r="H609" s="11">
        <v>1500</v>
      </c>
      <c r="I609" s="1">
        <v>51.2</v>
      </c>
      <c r="J609" s="11">
        <v>600</v>
      </c>
      <c r="K609" s="11">
        <v>90</v>
      </c>
      <c r="L609" s="11">
        <v>500</v>
      </c>
      <c r="M609" s="22">
        <v>28.5</v>
      </c>
      <c r="N609" s="3" t="str">
        <f>IF(Table1[[#This Row],[Exchange_Rate]]&lt;5,"Strong Currency", IF(Table1[[#This Row],[Exchange_Rate]]&lt;=1000, "Medium Currency","Weak Currency"))</f>
        <v>Medium Currency</v>
      </c>
      <c r="O609" s="11">
        <f>(Table1[[#This Row],[Living_Cost_Index]]/123.3)*1850</f>
        <v>768.20762368207625</v>
      </c>
      <c r="P609" s="11">
        <f>Table1[[#This Row],[Monthly_Estimated_Living_cost]]*12</f>
        <v>9218.491484184915</v>
      </c>
      <c r="Q609" s="13">
        <f>Table1[[#This Row],[Tuition_USD]]+Table1[[#This Row],[Rent_USD]]+Table1[[#This Row],[Insurance_USD]]+Table1[[#This Row],[Visa_Fee_USD]]+Table1[[#This Row],[Annual_Estimated_Living_cost]]</f>
        <v>11908.491484184915</v>
      </c>
    </row>
    <row r="610" spans="1:17" x14ac:dyDescent="0.25">
      <c r="A610" s="2" t="s">
        <v>348</v>
      </c>
      <c r="B610" s="1" t="s">
        <v>349</v>
      </c>
      <c r="C610" s="1" t="s">
        <v>844</v>
      </c>
      <c r="D610" s="1" t="s">
        <v>20</v>
      </c>
      <c r="E610" s="1" t="s">
        <v>16</v>
      </c>
      <c r="F610" s="1">
        <v>2</v>
      </c>
      <c r="G610" s="1" t="str">
        <f>CONCATENATE(Table1[[#This Row],[Duration_Years]]," ","years")</f>
        <v>2 years</v>
      </c>
      <c r="H610" s="11">
        <v>0</v>
      </c>
      <c r="I610" s="1">
        <v>65.8</v>
      </c>
      <c r="J610" s="11">
        <v>650</v>
      </c>
      <c r="K610" s="11">
        <v>100</v>
      </c>
      <c r="L610" s="11">
        <v>600</v>
      </c>
      <c r="M610" s="22">
        <v>0.92</v>
      </c>
      <c r="N610" s="3" t="str">
        <f>IF(Table1[[#This Row],[Exchange_Rate]]&lt;5,"Strong Currency", IF(Table1[[#This Row],[Exchange_Rate]]&lt;=1000, "Medium Currency","Weak Currency"))</f>
        <v>Strong Currency</v>
      </c>
      <c r="O610" s="11">
        <f>(Table1[[#This Row],[Living_Cost_Index]]/123.3)*1850</f>
        <v>987.26682887266816</v>
      </c>
      <c r="P610" s="11">
        <f>Table1[[#This Row],[Monthly_Estimated_Living_cost]]*12</f>
        <v>11847.201946472018</v>
      </c>
      <c r="Q610" s="13">
        <f>Table1[[#This Row],[Tuition_USD]]+Table1[[#This Row],[Rent_USD]]+Table1[[#This Row],[Insurance_USD]]+Table1[[#This Row],[Visa_Fee_USD]]+Table1[[#This Row],[Annual_Estimated_Living_cost]]</f>
        <v>13197.201946472018</v>
      </c>
    </row>
    <row r="611" spans="1:17" x14ac:dyDescent="0.25">
      <c r="A611" s="2" t="s">
        <v>84</v>
      </c>
      <c r="B611" s="1" t="s">
        <v>845</v>
      </c>
      <c r="C611" s="1" t="s">
        <v>86</v>
      </c>
      <c r="D611" s="1" t="s">
        <v>40</v>
      </c>
      <c r="E611" s="1" t="s">
        <v>1353</v>
      </c>
      <c r="F611" s="1">
        <v>4</v>
      </c>
      <c r="G611" s="1" t="str">
        <f>CONCATENATE(Table1[[#This Row],[Duration_Years]]," ","years")</f>
        <v>4 years</v>
      </c>
      <c r="H611" s="11">
        <v>3800</v>
      </c>
      <c r="I611" s="1">
        <v>76.5</v>
      </c>
      <c r="J611" s="11">
        <v>950</v>
      </c>
      <c r="K611" s="11">
        <v>180</v>
      </c>
      <c r="L611" s="11">
        <v>800</v>
      </c>
      <c r="M611" s="22">
        <v>0.92</v>
      </c>
      <c r="N611" s="3" t="str">
        <f>IF(Table1[[#This Row],[Exchange_Rate]]&lt;5,"Strong Currency", IF(Table1[[#This Row],[Exchange_Rate]]&lt;=1000, "Medium Currency","Weak Currency"))</f>
        <v>Strong Currency</v>
      </c>
      <c r="O611" s="11">
        <f>(Table1[[#This Row],[Living_Cost_Index]]/123.3)*1850</f>
        <v>1147.8102189781023</v>
      </c>
      <c r="P611" s="11">
        <f>Table1[[#This Row],[Monthly_Estimated_Living_cost]]*12</f>
        <v>13773.722627737228</v>
      </c>
      <c r="Q611" s="13">
        <f>Table1[[#This Row],[Tuition_USD]]+Table1[[#This Row],[Rent_USD]]+Table1[[#This Row],[Insurance_USD]]+Table1[[#This Row],[Visa_Fee_USD]]+Table1[[#This Row],[Annual_Estimated_Living_cost]]</f>
        <v>19503.722627737228</v>
      </c>
    </row>
    <row r="612" spans="1:17" x14ac:dyDescent="0.25">
      <c r="A612" s="2" t="s">
        <v>846</v>
      </c>
      <c r="B612" s="1" t="s">
        <v>847</v>
      </c>
      <c r="C612" s="1" t="s">
        <v>848</v>
      </c>
      <c r="D612" s="1" t="s">
        <v>207</v>
      </c>
      <c r="E612" s="1" t="s">
        <v>16</v>
      </c>
      <c r="F612" s="1">
        <v>2</v>
      </c>
      <c r="G612" s="1" t="str">
        <f>CONCATENATE(Table1[[#This Row],[Duration_Years]]," ","years")</f>
        <v>2 years</v>
      </c>
      <c r="H612" s="11">
        <v>6500</v>
      </c>
      <c r="I612" s="1">
        <v>53.4</v>
      </c>
      <c r="J612" s="11">
        <v>500</v>
      </c>
      <c r="K612" s="11">
        <v>140</v>
      </c>
      <c r="L612" s="11">
        <v>450</v>
      </c>
      <c r="M612" s="22">
        <v>350.25</v>
      </c>
      <c r="N612" s="3" t="str">
        <f>IF(Table1[[#This Row],[Exchange_Rate]]&lt;5,"Strong Currency", IF(Table1[[#This Row],[Exchange_Rate]]&lt;=1000, "Medium Currency","Weak Currency"))</f>
        <v>Medium Currency</v>
      </c>
      <c r="O612" s="11">
        <f>(Table1[[#This Row],[Living_Cost_Index]]/123.3)*1850</f>
        <v>801.21654501216551</v>
      </c>
      <c r="P612" s="11">
        <f>Table1[[#This Row],[Monthly_Estimated_Living_cost]]*12</f>
        <v>9614.5985401459857</v>
      </c>
      <c r="Q612" s="13">
        <f>Table1[[#This Row],[Tuition_USD]]+Table1[[#This Row],[Rent_USD]]+Table1[[#This Row],[Insurance_USD]]+Table1[[#This Row],[Visa_Fee_USD]]+Table1[[#This Row],[Annual_Estimated_Living_cost]]</f>
        <v>17204.598540145984</v>
      </c>
    </row>
    <row r="613" spans="1:17" x14ac:dyDescent="0.25">
      <c r="A613" s="2" t="s">
        <v>341</v>
      </c>
      <c r="B613" s="1" t="s">
        <v>342</v>
      </c>
      <c r="C613" s="1" t="s">
        <v>343</v>
      </c>
      <c r="D613" s="1" t="s">
        <v>15</v>
      </c>
      <c r="E613" s="1" t="s">
        <v>75</v>
      </c>
      <c r="F613" s="1">
        <v>4</v>
      </c>
      <c r="G613" s="1" t="str">
        <f>CONCATENATE(Table1[[#This Row],[Duration_Years]]," ","years")</f>
        <v>4 years</v>
      </c>
      <c r="H613" s="11">
        <v>5500</v>
      </c>
      <c r="I613" s="1">
        <v>62.3</v>
      </c>
      <c r="J613" s="11">
        <v>600</v>
      </c>
      <c r="K613" s="11">
        <v>160</v>
      </c>
      <c r="L613" s="11">
        <v>400</v>
      </c>
      <c r="M613" s="22">
        <v>95.5</v>
      </c>
      <c r="N613" s="3" t="str">
        <f>IF(Table1[[#This Row],[Exchange_Rate]]&lt;5,"Strong Currency", IF(Table1[[#This Row],[Exchange_Rate]]&lt;=1000, "Medium Currency","Weak Currency"))</f>
        <v>Medium Currency</v>
      </c>
      <c r="O613" s="11">
        <f>(Table1[[#This Row],[Living_Cost_Index]]/123.3)*1850</f>
        <v>934.75263584752634</v>
      </c>
      <c r="P613" s="11">
        <f>Table1[[#This Row],[Monthly_Estimated_Living_cost]]*12</f>
        <v>11217.031630170317</v>
      </c>
      <c r="Q613" s="13">
        <f>Table1[[#This Row],[Tuition_USD]]+Table1[[#This Row],[Rent_USD]]+Table1[[#This Row],[Insurance_USD]]+Table1[[#This Row],[Visa_Fee_USD]]+Table1[[#This Row],[Annual_Estimated_Living_cost]]</f>
        <v>17877.031630170317</v>
      </c>
    </row>
    <row r="614" spans="1:17" x14ac:dyDescent="0.25">
      <c r="A614" s="2" t="s">
        <v>338</v>
      </c>
      <c r="B614" s="1" t="s">
        <v>849</v>
      </c>
      <c r="C614" s="1" t="s">
        <v>850</v>
      </c>
      <c r="D614" s="1" t="s">
        <v>251</v>
      </c>
      <c r="E614" s="1" t="s">
        <v>16</v>
      </c>
      <c r="F614" s="1">
        <v>2</v>
      </c>
      <c r="G614" s="1" t="str">
        <f>CONCATENATE(Table1[[#This Row],[Duration_Years]]," ","years")</f>
        <v>2 years</v>
      </c>
      <c r="H614" s="11">
        <v>1200</v>
      </c>
      <c r="I614" s="1">
        <v>48.5</v>
      </c>
      <c r="J614" s="11">
        <v>450</v>
      </c>
      <c r="K614" s="11">
        <v>90</v>
      </c>
      <c r="L614" s="11">
        <v>500</v>
      </c>
      <c r="M614" s="22">
        <v>28.5</v>
      </c>
      <c r="N614" s="3" t="str">
        <f>IF(Table1[[#This Row],[Exchange_Rate]]&lt;5,"Strong Currency", IF(Table1[[#This Row],[Exchange_Rate]]&lt;=1000, "Medium Currency","Weak Currency"))</f>
        <v>Medium Currency</v>
      </c>
      <c r="O614" s="11">
        <f>(Table1[[#This Row],[Living_Cost_Index]]/123.3)*1850</f>
        <v>727.69667477696669</v>
      </c>
      <c r="P614" s="11">
        <f>Table1[[#This Row],[Monthly_Estimated_Living_cost]]*12</f>
        <v>8732.3600973236007</v>
      </c>
      <c r="Q614" s="13">
        <f>Table1[[#This Row],[Tuition_USD]]+Table1[[#This Row],[Rent_USD]]+Table1[[#This Row],[Insurance_USD]]+Table1[[#This Row],[Visa_Fee_USD]]+Table1[[#This Row],[Annual_Estimated_Living_cost]]</f>
        <v>10972.360097323601</v>
      </c>
    </row>
    <row r="615" spans="1:17" x14ac:dyDescent="0.25">
      <c r="A615" s="2" t="s">
        <v>348</v>
      </c>
      <c r="B615" s="1" t="s">
        <v>776</v>
      </c>
      <c r="C615" s="1" t="s">
        <v>851</v>
      </c>
      <c r="D615" s="1" t="s">
        <v>215</v>
      </c>
      <c r="E615" s="1" t="s">
        <v>1353</v>
      </c>
      <c r="F615" s="1">
        <v>4</v>
      </c>
      <c r="G615" s="1" t="str">
        <f>CONCATENATE(Table1[[#This Row],[Duration_Years]]," ","years")</f>
        <v>4 years</v>
      </c>
      <c r="H615" s="11">
        <v>0</v>
      </c>
      <c r="I615" s="1">
        <v>62.4</v>
      </c>
      <c r="J615" s="11">
        <v>500</v>
      </c>
      <c r="K615" s="11">
        <v>100</v>
      </c>
      <c r="L615" s="11">
        <v>600</v>
      </c>
      <c r="M615" s="22">
        <v>0.92</v>
      </c>
      <c r="N615" s="3" t="str">
        <f>IF(Table1[[#This Row],[Exchange_Rate]]&lt;5,"Strong Currency", IF(Table1[[#This Row],[Exchange_Rate]]&lt;=1000, "Medium Currency","Weak Currency"))</f>
        <v>Strong Currency</v>
      </c>
      <c r="O615" s="11">
        <f>(Table1[[#This Row],[Living_Cost_Index]]/123.3)*1850</f>
        <v>936.25304136253055</v>
      </c>
      <c r="P615" s="11">
        <f>Table1[[#This Row],[Monthly_Estimated_Living_cost]]*12</f>
        <v>11235.036496350367</v>
      </c>
      <c r="Q615" s="13">
        <f>Table1[[#This Row],[Tuition_USD]]+Table1[[#This Row],[Rent_USD]]+Table1[[#This Row],[Insurance_USD]]+Table1[[#This Row],[Visa_Fee_USD]]+Table1[[#This Row],[Annual_Estimated_Living_cost]]</f>
        <v>12435.036496350367</v>
      </c>
    </row>
    <row r="616" spans="1:17" x14ac:dyDescent="0.25">
      <c r="A616" s="2" t="s">
        <v>84</v>
      </c>
      <c r="B616" s="1" t="s">
        <v>852</v>
      </c>
      <c r="C616" s="1" t="s">
        <v>853</v>
      </c>
      <c r="D616" s="1" t="s">
        <v>15</v>
      </c>
      <c r="E616" s="1" t="s">
        <v>16</v>
      </c>
      <c r="F616" s="1">
        <v>2</v>
      </c>
      <c r="G616" s="1" t="str">
        <f>CONCATENATE(Table1[[#This Row],[Duration_Years]]," ","years")</f>
        <v>2 years</v>
      </c>
      <c r="H616" s="11">
        <v>3500</v>
      </c>
      <c r="I616" s="1">
        <v>72.8</v>
      </c>
      <c r="J616" s="11">
        <v>850</v>
      </c>
      <c r="K616" s="11">
        <v>180</v>
      </c>
      <c r="L616" s="11">
        <v>800</v>
      </c>
      <c r="M616" s="22">
        <v>0.92</v>
      </c>
      <c r="N616" s="3" t="str">
        <f>IF(Table1[[#This Row],[Exchange_Rate]]&lt;5,"Strong Currency", IF(Table1[[#This Row],[Exchange_Rate]]&lt;=1000, "Medium Currency","Weak Currency"))</f>
        <v>Strong Currency</v>
      </c>
      <c r="O616" s="11">
        <f>(Table1[[#This Row],[Living_Cost_Index]]/123.3)*1850</f>
        <v>1092.2952149229523</v>
      </c>
      <c r="P616" s="11">
        <f>Table1[[#This Row],[Monthly_Estimated_Living_cost]]*12</f>
        <v>13107.542579075427</v>
      </c>
      <c r="Q616" s="13">
        <f>Table1[[#This Row],[Tuition_USD]]+Table1[[#This Row],[Rent_USD]]+Table1[[#This Row],[Insurance_USD]]+Table1[[#This Row],[Visa_Fee_USD]]+Table1[[#This Row],[Annual_Estimated_Living_cost]]</f>
        <v>18437.542579075427</v>
      </c>
    </row>
    <row r="617" spans="1:17" x14ac:dyDescent="0.25">
      <c r="A617" s="2" t="s">
        <v>846</v>
      </c>
      <c r="B617" s="1" t="s">
        <v>854</v>
      </c>
      <c r="C617" s="1" t="s">
        <v>855</v>
      </c>
      <c r="D617" s="1" t="s">
        <v>696</v>
      </c>
      <c r="E617" s="1" t="s">
        <v>75</v>
      </c>
      <c r="F617" s="1">
        <v>3</v>
      </c>
      <c r="G617" s="1" t="str">
        <f>CONCATENATE(Table1[[#This Row],[Duration_Years]]," ","years")</f>
        <v>3 years</v>
      </c>
      <c r="H617" s="11">
        <v>5800</v>
      </c>
      <c r="I617" s="1">
        <v>48.9</v>
      </c>
      <c r="J617" s="11">
        <v>400</v>
      </c>
      <c r="K617" s="11">
        <v>140</v>
      </c>
      <c r="L617" s="11">
        <v>450</v>
      </c>
      <c r="M617" s="22">
        <v>350.25</v>
      </c>
      <c r="N617" s="3" t="str">
        <f>IF(Table1[[#This Row],[Exchange_Rate]]&lt;5,"Strong Currency", IF(Table1[[#This Row],[Exchange_Rate]]&lt;=1000, "Medium Currency","Weak Currency"))</f>
        <v>Medium Currency</v>
      </c>
      <c r="O617" s="11">
        <f>(Table1[[#This Row],[Living_Cost_Index]]/123.3)*1850</f>
        <v>733.69829683698299</v>
      </c>
      <c r="P617" s="11">
        <f>Table1[[#This Row],[Monthly_Estimated_Living_cost]]*12</f>
        <v>8804.3795620437959</v>
      </c>
      <c r="Q617" s="13">
        <f>Table1[[#This Row],[Tuition_USD]]+Table1[[#This Row],[Rent_USD]]+Table1[[#This Row],[Insurance_USD]]+Table1[[#This Row],[Visa_Fee_USD]]+Table1[[#This Row],[Annual_Estimated_Living_cost]]</f>
        <v>15594.379562043796</v>
      </c>
    </row>
    <row r="618" spans="1:17" x14ac:dyDescent="0.25">
      <c r="A618" s="2" t="s">
        <v>341</v>
      </c>
      <c r="B618" s="1" t="s">
        <v>856</v>
      </c>
      <c r="C618" s="1" t="s">
        <v>857</v>
      </c>
      <c r="D618" s="1" t="s">
        <v>20</v>
      </c>
      <c r="E618" s="1" t="s">
        <v>16</v>
      </c>
      <c r="F618" s="1">
        <v>2</v>
      </c>
      <c r="G618" s="1" t="str">
        <f>CONCATENATE(Table1[[#This Row],[Duration_Years]]," ","years")</f>
        <v>2 years</v>
      </c>
      <c r="H618" s="11">
        <v>5000</v>
      </c>
      <c r="I618" s="1">
        <v>60.1</v>
      </c>
      <c r="J618" s="11">
        <v>550</v>
      </c>
      <c r="K618" s="11">
        <v>160</v>
      </c>
      <c r="L618" s="11">
        <v>400</v>
      </c>
      <c r="M618" s="22">
        <v>95.5</v>
      </c>
      <c r="N618" s="3" t="str">
        <f>IF(Table1[[#This Row],[Exchange_Rate]]&lt;5,"Strong Currency", IF(Table1[[#This Row],[Exchange_Rate]]&lt;=1000, "Medium Currency","Weak Currency"))</f>
        <v>Medium Currency</v>
      </c>
      <c r="O618" s="11">
        <f>(Table1[[#This Row],[Living_Cost_Index]]/123.3)*1850</f>
        <v>901.74371451743718</v>
      </c>
      <c r="P618" s="11">
        <f>Table1[[#This Row],[Monthly_Estimated_Living_cost]]*12</f>
        <v>10820.924574209246</v>
      </c>
      <c r="Q618" s="13">
        <f>Table1[[#This Row],[Tuition_USD]]+Table1[[#This Row],[Rent_USD]]+Table1[[#This Row],[Insurance_USD]]+Table1[[#This Row],[Visa_Fee_USD]]+Table1[[#This Row],[Annual_Estimated_Living_cost]]</f>
        <v>16930.924574209246</v>
      </c>
    </row>
    <row r="619" spans="1:17" x14ac:dyDescent="0.25">
      <c r="A619" s="2" t="s">
        <v>338</v>
      </c>
      <c r="B619" s="1" t="s">
        <v>858</v>
      </c>
      <c r="C619" s="1" t="s">
        <v>859</v>
      </c>
      <c r="D619" s="1" t="s">
        <v>115</v>
      </c>
      <c r="E619" s="1" t="s">
        <v>1353</v>
      </c>
      <c r="F619" s="1">
        <v>4</v>
      </c>
      <c r="G619" s="1" t="str">
        <f>CONCATENATE(Table1[[#This Row],[Duration_Years]]," ","years")</f>
        <v>4 years</v>
      </c>
      <c r="H619" s="11">
        <v>1300</v>
      </c>
      <c r="I619" s="1">
        <v>47.8</v>
      </c>
      <c r="J619" s="11">
        <v>400</v>
      </c>
      <c r="K619" s="11">
        <v>90</v>
      </c>
      <c r="L619" s="11">
        <v>500</v>
      </c>
      <c r="M619" s="22">
        <v>28.5</v>
      </c>
      <c r="N619" s="3" t="str">
        <f>IF(Table1[[#This Row],[Exchange_Rate]]&lt;5,"Strong Currency", IF(Table1[[#This Row],[Exchange_Rate]]&lt;=1000, "Medium Currency","Weak Currency"))</f>
        <v>Medium Currency</v>
      </c>
      <c r="O619" s="11">
        <f>(Table1[[#This Row],[Living_Cost_Index]]/123.3)*1850</f>
        <v>717.19383617193841</v>
      </c>
      <c r="P619" s="11">
        <f>Table1[[#This Row],[Monthly_Estimated_Living_cost]]*12</f>
        <v>8606.3260340632605</v>
      </c>
      <c r="Q619" s="13">
        <f>Table1[[#This Row],[Tuition_USD]]+Table1[[#This Row],[Rent_USD]]+Table1[[#This Row],[Insurance_USD]]+Table1[[#This Row],[Visa_Fee_USD]]+Table1[[#This Row],[Annual_Estimated_Living_cost]]</f>
        <v>10896.326034063261</v>
      </c>
    </row>
    <row r="620" spans="1:17" x14ac:dyDescent="0.25">
      <c r="A620" s="2" t="s">
        <v>348</v>
      </c>
      <c r="B620" s="1" t="s">
        <v>786</v>
      </c>
      <c r="C620" s="1" t="s">
        <v>787</v>
      </c>
      <c r="D620" s="1" t="s">
        <v>63</v>
      </c>
      <c r="E620" s="1" t="s">
        <v>16</v>
      </c>
      <c r="F620" s="1">
        <v>2</v>
      </c>
      <c r="G620" s="1" t="str">
        <f>CONCATENATE(Table1[[#This Row],[Duration_Years]]," ","years")</f>
        <v>2 years</v>
      </c>
      <c r="H620" s="11">
        <v>0</v>
      </c>
      <c r="I620" s="1">
        <v>60.5</v>
      </c>
      <c r="J620" s="11">
        <v>450</v>
      </c>
      <c r="K620" s="11">
        <v>100</v>
      </c>
      <c r="L620" s="11">
        <v>600</v>
      </c>
      <c r="M620" s="22">
        <v>0.92</v>
      </c>
      <c r="N620" s="3" t="str">
        <f>IF(Table1[[#This Row],[Exchange_Rate]]&lt;5,"Strong Currency", IF(Table1[[#This Row],[Exchange_Rate]]&lt;=1000, "Medium Currency","Weak Currency"))</f>
        <v>Strong Currency</v>
      </c>
      <c r="O620" s="11">
        <f>(Table1[[#This Row],[Living_Cost_Index]]/123.3)*1850</f>
        <v>907.74533657745337</v>
      </c>
      <c r="P620" s="11">
        <f>Table1[[#This Row],[Monthly_Estimated_Living_cost]]*12</f>
        <v>10892.94403892944</v>
      </c>
      <c r="Q620" s="13">
        <f>Table1[[#This Row],[Tuition_USD]]+Table1[[#This Row],[Rent_USD]]+Table1[[#This Row],[Insurance_USD]]+Table1[[#This Row],[Visa_Fee_USD]]+Table1[[#This Row],[Annual_Estimated_Living_cost]]</f>
        <v>12042.94403892944</v>
      </c>
    </row>
    <row r="621" spans="1:17" x14ac:dyDescent="0.25">
      <c r="A621" s="2" t="s">
        <v>84</v>
      </c>
      <c r="B621" s="1" t="s">
        <v>85</v>
      </c>
      <c r="C621" s="1" t="s">
        <v>860</v>
      </c>
      <c r="D621" s="1" t="s">
        <v>136</v>
      </c>
      <c r="E621" s="1" t="s">
        <v>16</v>
      </c>
      <c r="F621" s="1">
        <v>2</v>
      </c>
      <c r="G621" s="1" t="str">
        <f>CONCATENATE(Table1[[#This Row],[Duration_Years]]," ","years")</f>
        <v>2 years</v>
      </c>
      <c r="H621" s="11">
        <v>3600</v>
      </c>
      <c r="I621" s="1">
        <v>75.400000000000006</v>
      </c>
      <c r="J621" s="11">
        <v>900</v>
      </c>
      <c r="K621" s="11">
        <v>180</v>
      </c>
      <c r="L621" s="11">
        <v>800</v>
      </c>
      <c r="M621" s="22">
        <v>0.92</v>
      </c>
      <c r="N621" s="3" t="str">
        <f>IF(Table1[[#This Row],[Exchange_Rate]]&lt;5,"Strong Currency", IF(Table1[[#This Row],[Exchange_Rate]]&lt;=1000, "Medium Currency","Weak Currency"))</f>
        <v>Strong Currency</v>
      </c>
      <c r="O621" s="11">
        <f>(Table1[[#This Row],[Living_Cost_Index]]/123.3)*1850</f>
        <v>1131.3057583130576</v>
      </c>
      <c r="P621" s="11">
        <f>Table1[[#This Row],[Monthly_Estimated_Living_cost]]*12</f>
        <v>13575.669099756691</v>
      </c>
      <c r="Q621" s="13">
        <f>Table1[[#This Row],[Tuition_USD]]+Table1[[#This Row],[Rent_USD]]+Table1[[#This Row],[Insurance_USD]]+Table1[[#This Row],[Visa_Fee_USD]]+Table1[[#This Row],[Annual_Estimated_Living_cost]]</f>
        <v>19055.669099756691</v>
      </c>
    </row>
    <row r="622" spans="1:17" x14ac:dyDescent="0.25">
      <c r="A622" s="2" t="s">
        <v>846</v>
      </c>
      <c r="B622" s="1" t="s">
        <v>861</v>
      </c>
      <c r="C622" s="1" t="s">
        <v>862</v>
      </c>
      <c r="D622" s="1" t="s">
        <v>15</v>
      </c>
      <c r="E622" s="1" t="s">
        <v>1353</v>
      </c>
      <c r="F622" s="1">
        <v>4</v>
      </c>
      <c r="G622" s="1" t="str">
        <f>CONCATENATE(Table1[[#This Row],[Duration_Years]]," ","years")</f>
        <v>4 years</v>
      </c>
      <c r="H622" s="11">
        <v>6000</v>
      </c>
      <c r="I622" s="1">
        <v>47.2</v>
      </c>
      <c r="J622" s="11">
        <v>380</v>
      </c>
      <c r="K622" s="11">
        <v>140</v>
      </c>
      <c r="L622" s="11">
        <v>450</v>
      </c>
      <c r="M622" s="22">
        <v>350.25</v>
      </c>
      <c r="N622" s="3" t="str">
        <f>IF(Table1[[#This Row],[Exchange_Rate]]&lt;5,"Strong Currency", IF(Table1[[#This Row],[Exchange_Rate]]&lt;=1000, "Medium Currency","Weak Currency"))</f>
        <v>Medium Currency</v>
      </c>
      <c r="O622" s="11">
        <f>(Table1[[#This Row],[Living_Cost_Index]]/123.3)*1850</f>
        <v>708.19140308191402</v>
      </c>
      <c r="P622" s="11">
        <f>Table1[[#This Row],[Monthly_Estimated_Living_cost]]*12</f>
        <v>8498.2968369829687</v>
      </c>
      <c r="Q622" s="13">
        <f>Table1[[#This Row],[Tuition_USD]]+Table1[[#This Row],[Rent_USD]]+Table1[[#This Row],[Insurance_USD]]+Table1[[#This Row],[Visa_Fee_USD]]+Table1[[#This Row],[Annual_Estimated_Living_cost]]</f>
        <v>15468.296836982969</v>
      </c>
    </row>
    <row r="623" spans="1:17" x14ac:dyDescent="0.25">
      <c r="A623" s="2" t="s">
        <v>341</v>
      </c>
      <c r="B623" s="1" t="s">
        <v>863</v>
      </c>
      <c r="C623" s="1" t="s">
        <v>864</v>
      </c>
      <c r="D623" s="1" t="s">
        <v>99</v>
      </c>
      <c r="E623" s="1" t="s">
        <v>16</v>
      </c>
      <c r="F623" s="1">
        <v>2</v>
      </c>
      <c r="G623" s="1" t="str">
        <f>CONCATENATE(Table1[[#This Row],[Duration_Years]]," ","years")</f>
        <v>2 years</v>
      </c>
      <c r="H623" s="11">
        <v>4800</v>
      </c>
      <c r="I623" s="1">
        <v>55.4</v>
      </c>
      <c r="J623" s="11">
        <v>400</v>
      </c>
      <c r="K623" s="11">
        <v>160</v>
      </c>
      <c r="L623" s="11">
        <v>400</v>
      </c>
      <c r="M623" s="22">
        <v>95.5</v>
      </c>
      <c r="N623" s="3" t="str">
        <f>IF(Table1[[#This Row],[Exchange_Rate]]&lt;5,"Strong Currency", IF(Table1[[#This Row],[Exchange_Rate]]&lt;=1000, "Medium Currency","Weak Currency"))</f>
        <v>Medium Currency</v>
      </c>
      <c r="O623" s="11">
        <f>(Table1[[#This Row],[Living_Cost_Index]]/123.3)*1850</f>
        <v>831.22465531224657</v>
      </c>
      <c r="P623" s="11">
        <f>Table1[[#This Row],[Monthly_Estimated_Living_cost]]*12</f>
        <v>9974.6958637469579</v>
      </c>
      <c r="Q623" s="13">
        <f>Table1[[#This Row],[Tuition_USD]]+Table1[[#This Row],[Rent_USD]]+Table1[[#This Row],[Insurance_USD]]+Table1[[#This Row],[Visa_Fee_USD]]+Table1[[#This Row],[Annual_Estimated_Living_cost]]</f>
        <v>15734.695863746958</v>
      </c>
    </row>
    <row r="624" spans="1:17" x14ac:dyDescent="0.25">
      <c r="A624" s="2" t="s">
        <v>338</v>
      </c>
      <c r="B624" s="1" t="s">
        <v>865</v>
      </c>
      <c r="C624" s="1" t="s">
        <v>866</v>
      </c>
      <c r="D624" s="1" t="s">
        <v>215</v>
      </c>
      <c r="E624" s="1" t="s">
        <v>75</v>
      </c>
      <c r="F624" s="1">
        <v>4</v>
      </c>
      <c r="G624" s="1" t="str">
        <f>CONCATENATE(Table1[[#This Row],[Duration_Years]]," ","years")</f>
        <v>4 years</v>
      </c>
      <c r="H624" s="11">
        <v>1000</v>
      </c>
      <c r="I624" s="1">
        <v>45.6</v>
      </c>
      <c r="J624" s="11">
        <v>350</v>
      </c>
      <c r="K624" s="11">
        <v>90</v>
      </c>
      <c r="L624" s="11">
        <v>500</v>
      </c>
      <c r="M624" s="22">
        <v>28.5</v>
      </c>
      <c r="N624" s="3" t="str">
        <f>IF(Table1[[#This Row],[Exchange_Rate]]&lt;5,"Strong Currency", IF(Table1[[#This Row],[Exchange_Rate]]&lt;=1000, "Medium Currency","Weak Currency"))</f>
        <v>Medium Currency</v>
      </c>
      <c r="O624" s="11">
        <f>(Table1[[#This Row],[Living_Cost_Index]]/123.3)*1850</f>
        <v>684.18491484184915</v>
      </c>
      <c r="P624" s="11">
        <f>Table1[[#This Row],[Monthly_Estimated_Living_cost]]*12</f>
        <v>8210.2189781021898</v>
      </c>
      <c r="Q624" s="13">
        <f>Table1[[#This Row],[Tuition_USD]]+Table1[[#This Row],[Rent_USD]]+Table1[[#This Row],[Insurance_USD]]+Table1[[#This Row],[Visa_Fee_USD]]+Table1[[#This Row],[Annual_Estimated_Living_cost]]</f>
        <v>10150.21897810219</v>
      </c>
    </row>
    <row r="625" spans="1:17" x14ac:dyDescent="0.25">
      <c r="A625" s="2" t="s">
        <v>348</v>
      </c>
      <c r="B625" s="1" t="s">
        <v>797</v>
      </c>
      <c r="C625" s="1" t="s">
        <v>798</v>
      </c>
      <c r="D625" s="1" t="s">
        <v>71</v>
      </c>
      <c r="E625" s="1" t="s">
        <v>16</v>
      </c>
      <c r="F625" s="1">
        <v>2</v>
      </c>
      <c r="G625" s="1" t="str">
        <f>CONCATENATE(Table1[[#This Row],[Duration_Years]]," ","years")</f>
        <v>2 years</v>
      </c>
      <c r="H625" s="11">
        <v>0</v>
      </c>
      <c r="I625" s="1">
        <v>61.2</v>
      </c>
      <c r="J625" s="11">
        <v>480</v>
      </c>
      <c r="K625" s="11">
        <v>100</v>
      </c>
      <c r="L625" s="11">
        <v>600</v>
      </c>
      <c r="M625" s="22">
        <v>0.92</v>
      </c>
      <c r="N625" s="3" t="str">
        <f>IF(Table1[[#This Row],[Exchange_Rate]]&lt;5,"Strong Currency", IF(Table1[[#This Row],[Exchange_Rate]]&lt;=1000, "Medium Currency","Weak Currency"))</f>
        <v>Strong Currency</v>
      </c>
      <c r="O625" s="11">
        <f>(Table1[[#This Row],[Living_Cost_Index]]/123.3)*1850</f>
        <v>918.24817518248187</v>
      </c>
      <c r="P625" s="11">
        <f>Table1[[#This Row],[Monthly_Estimated_Living_cost]]*12</f>
        <v>11018.978102189783</v>
      </c>
      <c r="Q625" s="13">
        <f>Table1[[#This Row],[Tuition_USD]]+Table1[[#This Row],[Rent_USD]]+Table1[[#This Row],[Insurance_USD]]+Table1[[#This Row],[Visa_Fee_USD]]+Table1[[#This Row],[Annual_Estimated_Living_cost]]</f>
        <v>12198.978102189783</v>
      </c>
    </row>
    <row r="626" spans="1:17" x14ac:dyDescent="0.25">
      <c r="A626" s="2" t="s">
        <v>84</v>
      </c>
      <c r="B626" s="1" t="s">
        <v>867</v>
      </c>
      <c r="C626" s="1" t="s">
        <v>868</v>
      </c>
      <c r="D626" s="1" t="s">
        <v>15</v>
      </c>
      <c r="E626" s="1" t="s">
        <v>1353</v>
      </c>
      <c r="F626" s="1">
        <v>4</v>
      </c>
      <c r="G626" s="1" t="str">
        <f>CONCATENATE(Table1[[#This Row],[Duration_Years]]," ","years")</f>
        <v>4 years</v>
      </c>
      <c r="H626" s="11">
        <v>3700</v>
      </c>
      <c r="I626" s="1">
        <v>71.2</v>
      </c>
      <c r="J626" s="11">
        <v>800</v>
      </c>
      <c r="K626" s="11">
        <v>180</v>
      </c>
      <c r="L626" s="11">
        <v>800</v>
      </c>
      <c r="M626" s="22">
        <v>0.92</v>
      </c>
      <c r="N626" s="3" t="str">
        <f>IF(Table1[[#This Row],[Exchange_Rate]]&lt;5,"Strong Currency", IF(Table1[[#This Row],[Exchange_Rate]]&lt;=1000, "Medium Currency","Weak Currency"))</f>
        <v>Strong Currency</v>
      </c>
      <c r="O626" s="11">
        <f>(Table1[[#This Row],[Living_Cost_Index]]/123.3)*1850</f>
        <v>1068.2887266828873</v>
      </c>
      <c r="P626" s="11">
        <f>Table1[[#This Row],[Monthly_Estimated_Living_cost]]*12</f>
        <v>12819.464720194646</v>
      </c>
      <c r="Q626" s="13">
        <f>Table1[[#This Row],[Tuition_USD]]+Table1[[#This Row],[Rent_USD]]+Table1[[#This Row],[Insurance_USD]]+Table1[[#This Row],[Visa_Fee_USD]]+Table1[[#This Row],[Annual_Estimated_Living_cost]]</f>
        <v>18299.464720194646</v>
      </c>
    </row>
    <row r="627" spans="1:17" x14ac:dyDescent="0.25">
      <c r="A627" s="2" t="s">
        <v>846</v>
      </c>
      <c r="B627" s="1" t="s">
        <v>869</v>
      </c>
      <c r="C627" s="1" t="s">
        <v>870</v>
      </c>
      <c r="D627" s="1" t="s">
        <v>241</v>
      </c>
      <c r="E627" s="1" t="s">
        <v>16</v>
      </c>
      <c r="F627" s="1">
        <v>2</v>
      </c>
      <c r="G627" s="1" t="str">
        <f>CONCATENATE(Table1[[#This Row],[Duration_Years]]," ","years")</f>
        <v>2 years</v>
      </c>
      <c r="H627" s="11">
        <v>5500</v>
      </c>
      <c r="I627" s="1">
        <v>46.8</v>
      </c>
      <c r="J627" s="11">
        <v>350</v>
      </c>
      <c r="K627" s="11">
        <v>140</v>
      </c>
      <c r="L627" s="11">
        <v>450</v>
      </c>
      <c r="M627" s="22">
        <v>350.25</v>
      </c>
      <c r="N627" s="3" t="str">
        <f>IF(Table1[[#This Row],[Exchange_Rate]]&lt;5,"Strong Currency", IF(Table1[[#This Row],[Exchange_Rate]]&lt;=1000, "Medium Currency","Weak Currency"))</f>
        <v>Medium Currency</v>
      </c>
      <c r="O627" s="11">
        <f>(Table1[[#This Row],[Living_Cost_Index]]/123.3)*1850</f>
        <v>702.18978102189783</v>
      </c>
      <c r="P627" s="11">
        <f>Table1[[#This Row],[Monthly_Estimated_Living_cost]]*12</f>
        <v>8426.2773722627735</v>
      </c>
      <c r="Q627" s="13">
        <f>Table1[[#This Row],[Tuition_USD]]+Table1[[#This Row],[Rent_USD]]+Table1[[#This Row],[Insurance_USD]]+Table1[[#This Row],[Visa_Fee_USD]]+Table1[[#This Row],[Annual_Estimated_Living_cost]]</f>
        <v>14866.277372262773</v>
      </c>
    </row>
    <row r="628" spans="1:17" x14ac:dyDescent="0.25">
      <c r="A628" s="2" t="s">
        <v>341</v>
      </c>
      <c r="B628" s="1" t="s">
        <v>871</v>
      </c>
      <c r="C628" s="1" t="s">
        <v>872</v>
      </c>
      <c r="D628" s="1" t="s">
        <v>40</v>
      </c>
      <c r="E628" s="1" t="s">
        <v>75</v>
      </c>
      <c r="F628" s="1">
        <v>4</v>
      </c>
      <c r="G628" s="1" t="str">
        <f>CONCATENATE(Table1[[#This Row],[Duration_Years]]," ","years")</f>
        <v>4 years</v>
      </c>
      <c r="H628" s="11">
        <v>4500</v>
      </c>
      <c r="I628" s="1">
        <v>52.3</v>
      </c>
      <c r="J628" s="11">
        <v>380</v>
      </c>
      <c r="K628" s="11">
        <v>160</v>
      </c>
      <c r="L628" s="11">
        <v>400</v>
      </c>
      <c r="M628" s="22">
        <v>95.5</v>
      </c>
      <c r="N628" s="3" t="str">
        <f>IF(Table1[[#This Row],[Exchange_Rate]]&lt;5,"Strong Currency", IF(Table1[[#This Row],[Exchange_Rate]]&lt;=1000, "Medium Currency","Weak Currency"))</f>
        <v>Medium Currency</v>
      </c>
      <c r="O628" s="11">
        <f>(Table1[[#This Row],[Living_Cost_Index]]/123.3)*1850</f>
        <v>784.71208434712082</v>
      </c>
      <c r="P628" s="11">
        <f>Table1[[#This Row],[Monthly_Estimated_Living_cost]]*12</f>
        <v>9416.5450121654503</v>
      </c>
      <c r="Q628" s="13">
        <f>Table1[[#This Row],[Tuition_USD]]+Table1[[#This Row],[Rent_USD]]+Table1[[#This Row],[Insurance_USD]]+Table1[[#This Row],[Visa_Fee_USD]]+Table1[[#This Row],[Annual_Estimated_Living_cost]]</f>
        <v>14856.54501216545</v>
      </c>
    </row>
    <row r="629" spans="1:17" x14ac:dyDescent="0.25">
      <c r="A629" s="2" t="s">
        <v>338</v>
      </c>
      <c r="B629" s="1" t="s">
        <v>873</v>
      </c>
      <c r="C629" s="1" t="s">
        <v>874</v>
      </c>
      <c r="D629" s="1" t="s">
        <v>15</v>
      </c>
      <c r="E629" s="1" t="s">
        <v>16</v>
      </c>
      <c r="F629" s="1">
        <v>2</v>
      </c>
      <c r="G629" s="1" t="str">
        <f>CONCATENATE(Table1[[#This Row],[Duration_Years]]," ","years")</f>
        <v>2 years</v>
      </c>
      <c r="H629" s="11">
        <v>1100</v>
      </c>
      <c r="I629" s="1">
        <v>46.5</v>
      </c>
      <c r="J629" s="11">
        <v>380</v>
      </c>
      <c r="K629" s="11">
        <v>90</v>
      </c>
      <c r="L629" s="11">
        <v>500</v>
      </c>
      <c r="M629" s="22">
        <v>28.5</v>
      </c>
      <c r="N629" s="3" t="str">
        <f>IF(Table1[[#This Row],[Exchange_Rate]]&lt;5,"Strong Currency", IF(Table1[[#This Row],[Exchange_Rate]]&lt;=1000, "Medium Currency","Weak Currency"))</f>
        <v>Medium Currency</v>
      </c>
      <c r="O629" s="11">
        <f>(Table1[[#This Row],[Living_Cost_Index]]/123.3)*1850</f>
        <v>697.68856447688563</v>
      </c>
      <c r="P629" s="11">
        <f>Table1[[#This Row],[Monthly_Estimated_Living_cost]]*12</f>
        <v>8372.2627737226285</v>
      </c>
      <c r="Q629" s="13">
        <f>Table1[[#This Row],[Tuition_USD]]+Table1[[#This Row],[Rent_USD]]+Table1[[#This Row],[Insurance_USD]]+Table1[[#This Row],[Visa_Fee_USD]]+Table1[[#This Row],[Annual_Estimated_Living_cost]]</f>
        <v>10442.262773722628</v>
      </c>
    </row>
    <row r="630" spans="1:17" x14ac:dyDescent="0.25">
      <c r="A630" s="2" t="s">
        <v>348</v>
      </c>
      <c r="B630" s="1" t="s">
        <v>807</v>
      </c>
      <c r="C630" s="1" t="s">
        <v>808</v>
      </c>
      <c r="D630" s="1" t="s">
        <v>300</v>
      </c>
      <c r="E630" s="1" t="s">
        <v>1353</v>
      </c>
      <c r="F630" s="1">
        <v>4</v>
      </c>
      <c r="G630" s="1" t="str">
        <f>CONCATENATE(Table1[[#This Row],[Duration_Years]]," ","years")</f>
        <v>4 years</v>
      </c>
      <c r="H630" s="11">
        <v>0</v>
      </c>
      <c r="I630" s="1">
        <v>59.8</v>
      </c>
      <c r="J630" s="11">
        <v>400</v>
      </c>
      <c r="K630" s="11">
        <v>100</v>
      </c>
      <c r="L630" s="11">
        <v>600</v>
      </c>
      <c r="M630" s="22">
        <v>0.92</v>
      </c>
      <c r="N630" s="3" t="str">
        <f>IF(Table1[[#This Row],[Exchange_Rate]]&lt;5,"Strong Currency", IF(Table1[[#This Row],[Exchange_Rate]]&lt;=1000, "Medium Currency","Weak Currency"))</f>
        <v>Strong Currency</v>
      </c>
      <c r="O630" s="11">
        <f>(Table1[[#This Row],[Living_Cost_Index]]/123.3)*1850</f>
        <v>897.24249797242499</v>
      </c>
      <c r="P630" s="11">
        <f>Table1[[#This Row],[Monthly_Estimated_Living_cost]]*12</f>
        <v>10766.909975669099</v>
      </c>
      <c r="Q630" s="13">
        <f>Table1[[#This Row],[Tuition_USD]]+Table1[[#This Row],[Rent_USD]]+Table1[[#This Row],[Insurance_USD]]+Table1[[#This Row],[Visa_Fee_USD]]+Table1[[#This Row],[Annual_Estimated_Living_cost]]</f>
        <v>11866.909975669099</v>
      </c>
    </row>
    <row r="631" spans="1:17" x14ac:dyDescent="0.25">
      <c r="A631" s="2" t="s">
        <v>84</v>
      </c>
      <c r="B631" s="1" t="s">
        <v>875</v>
      </c>
      <c r="C631" s="1" t="s">
        <v>876</v>
      </c>
      <c r="D631" s="1" t="s">
        <v>251</v>
      </c>
      <c r="E631" s="1" t="s">
        <v>16</v>
      </c>
      <c r="F631" s="1">
        <v>2</v>
      </c>
      <c r="G631" s="1" t="str">
        <f>CONCATENATE(Table1[[#This Row],[Duration_Years]]," ","years")</f>
        <v>2 years</v>
      </c>
      <c r="H631" s="11">
        <v>3500</v>
      </c>
      <c r="I631" s="1">
        <v>70.5</v>
      </c>
      <c r="J631" s="11">
        <v>780</v>
      </c>
      <c r="K631" s="11">
        <v>180</v>
      </c>
      <c r="L631" s="11">
        <v>800</v>
      </c>
      <c r="M631" s="22">
        <v>0.92</v>
      </c>
      <c r="N631" s="3" t="str">
        <f>IF(Table1[[#This Row],[Exchange_Rate]]&lt;5,"Strong Currency", IF(Table1[[#This Row],[Exchange_Rate]]&lt;=1000, "Medium Currency","Weak Currency"))</f>
        <v>Strong Currency</v>
      </c>
      <c r="O631" s="11">
        <f>(Table1[[#This Row],[Living_Cost_Index]]/123.3)*1850</f>
        <v>1057.7858880778588</v>
      </c>
      <c r="P631" s="11">
        <f>Table1[[#This Row],[Monthly_Estimated_Living_cost]]*12</f>
        <v>12693.430656934306</v>
      </c>
      <c r="Q631" s="13">
        <f>Table1[[#This Row],[Tuition_USD]]+Table1[[#This Row],[Rent_USD]]+Table1[[#This Row],[Insurance_USD]]+Table1[[#This Row],[Visa_Fee_USD]]+Table1[[#This Row],[Annual_Estimated_Living_cost]]</f>
        <v>17953.430656934306</v>
      </c>
    </row>
    <row r="632" spans="1:17" x14ac:dyDescent="0.25">
      <c r="A632" s="2" t="s">
        <v>846</v>
      </c>
      <c r="B632" s="1" t="s">
        <v>877</v>
      </c>
      <c r="C632" s="1" t="s">
        <v>878</v>
      </c>
      <c r="D632" s="1" t="s">
        <v>136</v>
      </c>
      <c r="E632" s="1" t="s">
        <v>75</v>
      </c>
      <c r="F632" s="1">
        <v>3</v>
      </c>
      <c r="G632" s="1" t="str">
        <f>CONCATENATE(Table1[[#This Row],[Duration_Years]]," ","years")</f>
        <v>3 years</v>
      </c>
      <c r="H632" s="11">
        <v>5200</v>
      </c>
      <c r="I632" s="1">
        <v>45.6</v>
      </c>
      <c r="J632" s="11">
        <v>320</v>
      </c>
      <c r="K632" s="11">
        <v>140</v>
      </c>
      <c r="L632" s="11">
        <v>450</v>
      </c>
      <c r="M632" s="22">
        <v>350.25</v>
      </c>
      <c r="N632" s="3" t="str">
        <f>IF(Table1[[#This Row],[Exchange_Rate]]&lt;5,"Strong Currency", IF(Table1[[#This Row],[Exchange_Rate]]&lt;=1000, "Medium Currency","Weak Currency"))</f>
        <v>Medium Currency</v>
      </c>
      <c r="O632" s="11">
        <f>(Table1[[#This Row],[Living_Cost_Index]]/123.3)*1850</f>
        <v>684.18491484184915</v>
      </c>
      <c r="P632" s="11">
        <f>Table1[[#This Row],[Monthly_Estimated_Living_cost]]*12</f>
        <v>8210.2189781021898</v>
      </c>
      <c r="Q632" s="13">
        <f>Table1[[#This Row],[Tuition_USD]]+Table1[[#This Row],[Rent_USD]]+Table1[[#This Row],[Insurance_USD]]+Table1[[#This Row],[Visa_Fee_USD]]+Table1[[#This Row],[Annual_Estimated_Living_cost]]</f>
        <v>14320.21897810219</v>
      </c>
    </row>
    <row r="633" spans="1:17" x14ac:dyDescent="0.25">
      <c r="A633" s="2" t="s">
        <v>341</v>
      </c>
      <c r="B633" s="1" t="s">
        <v>879</v>
      </c>
      <c r="C633" s="1" t="s">
        <v>880</v>
      </c>
      <c r="D633" s="1" t="s">
        <v>207</v>
      </c>
      <c r="E633" s="1" t="s">
        <v>16</v>
      </c>
      <c r="F633" s="1">
        <v>2</v>
      </c>
      <c r="G633" s="1" t="str">
        <f>CONCATENATE(Table1[[#This Row],[Duration_Years]]," ","years")</f>
        <v>2 years</v>
      </c>
      <c r="H633" s="11">
        <v>4600</v>
      </c>
      <c r="I633" s="1">
        <v>51.2</v>
      </c>
      <c r="J633" s="11">
        <v>350</v>
      </c>
      <c r="K633" s="11">
        <v>160</v>
      </c>
      <c r="L633" s="11">
        <v>400</v>
      </c>
      <c r="M633" s="22">
        <v>95.5</v>
      </c>
      <c r="N633" s="3" t="str">
        <f>IF(Table1[[#This Row],[Exchange_Rate]]&lt;5,"Strong Currency", IF(Table1[[#This Row],[Exchange_Rate]]&lt;=1000, "Medium Currency","Weak Currency"))</f>
        <v>Medium Currency</v>
      </c>
      <c r="O633" s="11">
        <f>(Table1[[#This Row],[Living_Cost_Index]]/123.3)*1850</f>
        <v>768.20762368207625</v>
      </c>
      <c r="P633" s="11">
        <f>Table1[[#This Row],[Monthly_Estimated_Living_cost]]*12</f>
        <v>9218.491484184915</v>
      </c>
      <c r="Q633" s="13">
        <f>Table1[[#This Row],[Tuition_USD]]+Table1[[#This Row],[Rent_USD]]+Table1[[#This Row],[Insurance_USD]]+Table1[[#This Row],[Visa_Fee_USD]]+Table1[[#This Row],[Annual_Estimated_Living_cost]]</f>
        <v>14728.491484184915</v>
      </c>
    </row>
    <row r="634" spans="1:17" x14ac:dyDescent="0.25">
      <c r="A634" s="2" t="s">
        <v>338</v>
      </c>
      <c r="B634" s="1" t="s">
        <v>881</v>
      </c>
      <c r="C634" s="1" t="s">
        <v>882</v>
      </c>
      <c r="D634" s="1" t="s">
        <v>20</v>
      </c>
      <c r="E634" s="1" t="s">
        <v>1353</v>
      </c>
      <c r="F634" s="1">
        <v>4</v>
      </c>
      <c r="G634" s="1" t="str">
        <f>CONCATENATE(Table1[[#This Row],[Duration_Years]]," ","years")</f>
        <v>4 years</v>
      </c>
      <c r="H634" s="11">
        <v>1400</v>
      </c>
      <c r="I634" s="1">
        <v>47.8</v>
      </c>
      <c r="J634" s="11">
        <v>420</v>
      </c>
      <c r="K634" s="11">
        <v>90</v>
      </c>
      <c r="L634" s="11">
        <v>500</v>
      </c>
      <c r="M634" s="22">
        <v>28.5</v>
      </c>
      <c r="N634" s="3" t="str">
        <f>IF(Table1[[#This Row],[Exchange_Rate]]&lt;5,"Strong Currency", IF(Table1[[#This Row],[Exchange_Rate]]&lt;=1000, "Medium Currency","Weak Currency"))</f>
        <v>Medium Currency</v>
      </c>
      <c r="O634" s="11">
        <f>(Table1[[#This Row],[Living_Cost_Index]]/123.3)*1850</f>
        <v>717.19383617193841</v>
      </c>
      <c r="P634" s="11">
        <f>Table1[[#This Row],[Monthly_Estimated_Living_cost]]*12</f>
        <v>8606.3260340632605</v>
      </c>
      <c r="Q634" s="13">
        <f>Table1[[#This Row],[Tuition_USD]]+Table1[[#This Row],[Rent_USD]]+Table1[[#This Row],[Insurance_USD]]+Table1[[#This Row],[Visa_Fee_USD]]+Table1[[#This Row],[Annual_Estimated_Living_cost]]</f>
        <v>11016.326034063261</v>
      </c>
    </row>
    <row r="635" spans="1:17" x14ac:dyDescent="0.25">
      <c r="A635" s="2" t="s">
        <v>348</v>
      </c>
      <c r="B635" s="1" t="s">
        <v>883</v>
      </c>
      <c r="C635" s="1" t="s">
        <v>884</v>
      </c>
      <c r="D635" s="1" t="s">
        <v>222</v>
      </c>
      <c r="E635" s="1" t="s">
        <v>16</v>
      </c>
      <c r="F635" s="1">
        <v>2</v>
      </c>
      <c r="G635" s="1" t="str">
        <f>CONCATENATE(Table1[[#This Row],[Duration_Years]]," ","years")</f>
        <v>2 years</v>
      </c>
      <c r="H635" s="11">
        <v>0</v>
      </c>
      <c r="I635" s="1">
        <v>63.4</v>
      </c>
      <c r="J635" s="11">
        <v>550</v>
      </c>
      <c r="K635" s="11">
        <v>100</v>
      </c>
      <c r="L635" s="11">
        <v>600</v>
      </c>
      <c r="M635" s="22">
        <v>0.92</v>
      </c>
      <c r="N635" s="3" t="str">
        <f>IF(Table1[[#This Row],[Exchange_Rate]]&lt;5,"Strong Currency", IF(Table1[[#This Row],[Exchange_Rate]]&lt;=1000, "Medium Currency","Weak Currency"))</f>
        <v>Strong Currency</v>
      </c>
      <c r="O635" s="11">
        <f>(Table1[[#This Row],[Living_Cost_Index]]/123.3)*1850</f>
        <v>951.25709651257091</v>
      </c>
      <c r="P635" s="11">
        <f>Table1[[#This Row],[Monthly_Estimated_Living_cost]]*12</f>
        <v>11415.08515815085</v>
      </c>
      <c r="Q635" s="13">
        <f>Table1[[#This Row],[Tuition_USD]]+Table1[[#This Row],[Rent_USD]]+Table1[[#This Row],[Insurance_USD]]+Table1[[#This Row],[Visa_Fee_USD]]+Table1[[#This Row],[Annual_Estimated_Living_cost]]</f>
        <v>12665.08515815085</v>
      </c>
    </row>
    <row r="636" spans="1:17" x14ac:dyDescent="0.25">
      <c r="A636" s="2" t="s">
        <v>84</v>
      </c>
      <c r="B636" s="1" t="s">
        <v>885</v>
      </c>
      <c r="C636" s="1" t="s">
        <v>886</v>
      </c>
      <c r="D636" s="1" t="s">
        <v>40</v>
      </c>
      <c r="E636" s="1" t="s">
        <v>75</v>
      </c>
      <c r="F636" s="1">
        <v>3</v>
      </c>
      <c r="G636" s="1" t="str">
        <f>CONCATENATE(Table1[[#This Row],[Duration_Years]]," ","years")</f>
        <v>3 years</v>
      </c>
      <c r="H636" s="11">
        <v>3400</v>
      </c>
      <c r="I636" s="1">
        <v>69.8</v>
      </c>
      <c r="J636" s="11">
        <v>750</v>
      </c>
      <c r="K636" s="11">
        <v>180</v>
      </c>
      <c r="L636" s="11">
        <v>800</v>
      </c>
      <c r="M636" s="22">
        <v>0.92</v>
      </c>
      <c r="N636" s="3" t="str">
        <f>IF(Table1[[#This Row],[Exchange_Rate]]&lt;5,"Strong Currency", IF(Table1[[#This Row],[Exchange_Rate]]&lt;=1000, "Medium Currency","Weak Currency"))</f>
        <v>Strong Currency</v>
      </c>
      <c r="O636" s="11">
        <f>(Table1[[#This Row],[Living_Cost_Index]]/123.3)*1850</f>
        <v>1047.2830494728303</v>
      </c>
      <c r="P636" s="11">
        <f>Table1[[#This Row],[Monthly_Estimated_Living_cost]]*12</f>
        <v>12567.396593673962</v>
      </c>
      <c r="Q636" s="13">
        <f>Table1[[#This Row],[Tuition_USD]]+Table1[[#This Row],[Rent_USD]]+Table1[[#This Row],[Insurance_USD]]+Table1[[#This Row],[Visa_Fee_USD]]+Table1[[#This Row],[Annual_Estimated_Living_cost]]</f>
        <v>17697.396593673962</v>
      </c>
    </row>
    <row r="637" spans="1:17" x14ac:dyDescent="0.25">
      <c r="A637" s="2" t="s">
        <v>846</v>
      </c>
      <c r="B637" s="1" t="s">
        <v>887</v>
      </c>
      <c r="C637" s="1" t="s">
        <v>888</v>
      </c>
      <c r="D637" s="1" t="s">
        <v>63</v>
      </c>
      <c r="E637" s="1" t="s">
        <v>16</v>
      </c>
      <c r="F637" s="1">
        <v>2</v>
      </c>
      <c r="G637" s="1" t="str">
        <f>CONCATENATE(Table1[[#This Row],[Duration_Years]]," ","years")</f>
        <v>2 years</v>
      </c>
      <c r="H637" s="11">
        <v>5300</v>
      </c>
      <c r="I637" s="1">
        <v>44.5</v>
      </c>
      <c r="J637" s="11">
        <v>300</v>
      </c>
      <c r="K637" s="11">
        <v>140</v>
      </c>
      <c r="L637" s="11">
        <v>450</v>
      </c>
      <c r="M637" s="22">
        <v>350.25</v>
      </c>
      <c r="N637" s="3" t="str">
        <f>IF(Table1[[#This Row],[Exchange_Rate]]&lt;5,"Strong Currency", IF(Table1[[#This Row],[Exchange_Rate]]&lt;=1000, "Medium Currency","Weak Currency"))</f>
        <v>Medium Currency</v>
      </c>
      <c r="O637" s="11">
        <f>(Table1[[#This Row],[Living_Cost_Index]]/123.3)*1850</f>
        <v>667.68045417680446</v>
      </c>
      <c r="P637" s="11">
        <f>Table1[[#This Row],[Monthly_Estimated_Living_cost]]*12</f>
        <v>8012.1654501216535</v>
      </c>
      <c r="Q637" s="13">
        <f>Table1[[#This Row],[Tuition_USD]]+Table1[[#This Row],[Rent_USD]]+Table1[[#This Row],[Insurance_USD]]+Table1[[#This Row],[Visa_Fee_USD]]+Table1[[#This Row],[Annual_Estimated_Living_cost]]</f>
        <v>14202.165450121654</v>
      </c>
    </row>
    <row r="638" spans="1:17" x14ac:dyDescent="0.25">
      <c r="A638" s="2" t="s">
        <v>341</v>
      </c>
      <c r="B638" s="1" t="s">
        <v>889</v>
      </c>
      <c r="C638" s="1" t="s">
        <v>890</v>
      </c>
      <c r="D638" s="1" t="s">
        <v>71</v>
      </c>
      <c r="E638" s="1" t="s">
        <v>1353</v>
      </c>
      <c r="F638" s="1">
        <v>4</v>
      </c>
      <c r="G638" s="1" t="str">
        <f>CONCATENATE(Table1[[#This Row],[Duration_Years]]," ","years")</f>
        <v>4 years</v>
      </c>
      <c r="H638" s="11">
        <v>4700</v>
      </c>
      <c r="I638" s="1">
        <v>53.4</v>
      </c>
      <c r="J638" s="11">
        <v>400</v>
      </c>
      <c r="K638" s="11">
        <v>160</v>
      </c>
      <c r="L638" s="11">
        <v>400</v>
      </c>
      <c r="M638" s="22">
        <v>95.5</v>
      </c>
      <c r="N638" s="3" t="str">
        <f>IF(Table1[[#This Row],[Exchange_Rate]]&lt;5,"Strong Currency", IF(Table1[[#This Row],[Exchange_Rate]]&lt;=1000, "Medium Currency","Weak Currency"))</f>
        <v>Medium Currency</v>
      </c>
      <c r="O638" s="11">
        <f>(Table1[[#This Row],[Living_Cost_Index]]/123.3)*1850</f>
        <v>801.21654501216551</v>
      </c>
      <c r="P638" s="11">
        <f>Table1[[#This Row],[Monthly_Estimated_Living_cost]]*12</f>
        <v>9614.5985401459857</v>
      </c>
      <c r="Q638" s="13">
        <f>Table1[[#This Row],[Tuition_USD]]+Table1[[#This Row],[Rent_USD]]+Table1[[#This Row],[Insurance_USD]]+Table1[[#This Row],[Visa_Fee_USD]]+Table1[[#This Row],[Annual_Estimated_Living_cost]]</f>
        <v>15274.598540145986</v>
      </c>
    </row>
    <row r="639" spans="1:17" x14ac:dyDescent="0.25">
      <c r="A639" s="2" t="s">
        <v>338</v>
      </c>
      <c r="B639" s="1" t="s">
        <v>891</v>
      </c>
      <c r="C639" s="1" t="s">
        <v>892</v>
      </c>
      <c r="D639" s="1" t="s">
        <v>207</v>
      </c>
      <c r="E639" s="1" t="s">
        <v>16</v>
      </c>
      <c r="F639" s="1">
        <v>2</v>
      </c>
      <c r="G639" s="1" t="str">
        <f>CONCATENATE(Table1[[#This Row],[Duration_Years]]," ","years")</f>
        <v>2 years</v>
      </c>
      <c r="H639" s="11">
        <v>1200</v>
      </c>
      <c r="I639" s="1">
        <v>45.2</v>
      </c>
      <c r="J639" s="11">
        <v>350</v>
      </c>
      <c r="K639" s="11">
        <v>90</v>
      </c>
      <c r="L639" s="11">
        <v>500</v>
      </c>
      <c r="M639" s="22">
        <v>28.5</v>
      </c>
      <c r="N639" s="3" t="str">
        <f>IF(Table1[[#This Row],[Exchange_Rate]]&lt;5,"Strong Currency", IF(Table1[[#This Row],[Exchange_Rate]]&lt;=1000, "Medium Currency","Weak Currency"))</f>
        <v>Medium Currency</v>
      </c>
      <c r="O639" s="11">
        <f>(Table1[[#This Row],[Living_Cost_Index]]/123.3)*1850</f>
        <v>678.18329278183296</v>
      </c>
      <c r="P639" s="11">
        <f>Table1[[#This Row],[Monthly_Estimated_Living_cost]]*12</f>
        <v>8138.1995133819955</v>
      </c>
      <c r="Q639" s="13">
        <f>Table1[[#This Row],[Tuition_USD]]+Table1[[#This Row],[Rent_USD]]+Table1[[#This Row],[Insurance_USD]]+Table1[[#This Row],[Visa_Fee_USD]]+Table1[[#This Row],[Annual_Estimated_Living_cost]]</f>
        <v>10278.199513381995</v>
      </c>
    </row>
    <row r="640" spans="1:17" x14ac:dyDescent="0.25">
      <c r="A640" s="2" t="s">
        <v>348</v>
      </c>
      <c r="B640" s="1" t="s">
        <v>893</v>
      </c>
      <c r="C640" s="1" t="s">
        <v>894</v>
      </c>
      <c r="D640" s="1" t="s">
        <v>63</v>
      </c>
      <c r="E640" s="1" t="s">
        <v>75</v>
      </c>
      <c r="F640" s="1">
        <v>4</v>
      </c>
      <c r="G640" s="1" t="str">
        <f>CONCATENATE(Table1[[#This Row],[Duration_Years]]," ","years")</f>
        <v>4 years</v>
      </c>
      <c r="H640" s="11">
        <v>0</v>
      </c>
      <c r="I640" s="1">
        <v>58.7</v>
      </c>
      <c r="J640" s="11">
        <v>380</v>
      </c>
      <c r="K640" s="11">
        <v>100</v>
      </c>
      <c r="L640" s="11">
        <v>600</v>
      </c>
      <c r="M640" s="22">
        <v>0.92</v>
      </c>
      <c r="N640" s="3" t="str">
        <f>IF(Table1[[#This Row],[Exchange_Rate]]&lt;5,"Strong Currency", IF(Table1[[#This Row],[Exchange_Rate]]&lt;=1000, "Medium Currency","Weak Currency"))</f>
        <v>Strong Currency</v>
      </c>
      <c r="O640" s="11">
        <f>(Table1[[#This Row],[Living_Cost_Index]]/123.3)*1850</f>
        <v>880.73803730738041</v>
      </c>
      <c r="P640" s="11">
        <f>Table1[[#This Row],[Monthly_Estimated_Living_cost]]*12</f>
        <v>10568.856447688566</v>
      </c>
      <c r="Q640" s="13">
        <f>Table1[[#This Row],[Tuition_USD]]+Table1[[#This Row],[Rent_USD]]+Table1[[#This Row],[Insurance_USD]]+Table1[[#This Row],[Visa_Fee_USD]]+Table1[[#This Row],[Annual_Estimated_Living_cost]]</f>
        <v>11648.856447688566</v>
      </c>
    </row>
    <row r="641" spans="1:17" x14ac:dyDescent="0.25">
      <c r="A641" s="2" t="s">
        <v>84</v>
      </c>
      <c r="B641" s="1" t="s">
        <v>895</v>
      </c>
      <c r="C641" s="1" t="s">
        <v>896</v>
      </c>
      <c r="D641" s="1" t="s">
        <v>20</v>
      </c>
      <c r="E641" s="1" t="s">
        <v>1353</v>
      </c>
      <c r="F641" s="1">
        <v>4</v>
      </c>
      <c r="G641" s="1" t="str">
        <f>CONCATENATE(Table1[[#This Row],[Duration_Years]]," ","years")</f>
        <v>4 years</v>
      </c>
      <c r="H641" s="11">
        <v>3600</v>
      </c>
      <c r="I641" s="1">
        <v>68.900000000000006</v>
      </c>
      <c r="J641" s="11">
        <v>720</v>
      </c>
      <c r="K641" s="11">
        <v>180</v>
      </c>
      <c r="L641" s="11">
        <v>800</v>
      </c>
      <c r="M641" s="22">
        <v>0.92</v>
      </c>
      <c r="N641" s="3" t="str">
        <f>IF(Table1[[#This Row],[Exchange_Rate]]&lt;5,"Strong Currency", IF(Table1[[#This Row],[Exchange_Rate]]&lt;=1000, "Medium Currency","Weak Currency"))</f>
        <v>Strong Currency</v>
      </c>
      <c r="O641" s="11">
        <f>(Table1[[#This Row],[Living_Cost_Index]]/123.3)*1850</f>
        <v>1033.779399837794</v>
      </c>
      <c r="P641" s="11">
        <f>Table1[[#This Row],[Monthly_Estimated_Living_cost]]*12</f>
        <v>12405.352798053529</v>
      </c>
      <c r="Q641" s="13">
        <f>Table1[[#This Row],[Tuition_USD]]+Table1[[#This Row],[Rent_USD]]+Table1[[#This Row],[Insurance_USD]]+Table1[[#This Row],[Visa_Fee_USD]]+Table1[[#This Row],[Annual_Estimated_Living_cost]]</f>
        <v>17705.352798053529</v>
      </c>
    </row>
    <row r="642" spans="1:17" x14ac:dyDescent="0.25">
      <c r="A642" s="2" t="s">
        <v>846</v>
      </c>
      <c r="B642" s="1" t="s">
        <v>897</v>
      </c>
      <c r="C642" s="1" t="s">
        <v>898</v>
      </c>
      <c r="D642" s="1" t="s">
        <v>215</v>
      </c>
      <c r="E642" s="1" t="s">
        <v>16</v>
      </c>
      <c r="F642" s="1">
        <v>2</v>
      </c>
      <c r="G642" s="1" t="str">
        <f>CONCATENATE(Table1[[#This Row],[Duration_Years]]," ","years")</f>
        <v>2 years</v>
      </c>
      <c r="H642" s="11">
        <v>5100</v>
      </c>
      <c r="I642" s="1">
        <v>44.8</v>
      </c>
      <c r="J642" s="11">
        <v>310</v>
      </c>
      <c r="K642" s="11">
        <v>140</v>
      </c>
      <c r="L642" s="11">
        <v>450</v>
      </c>
      <c r="M642" s="22">
        <v>350.25</v>
      </c>
      <c r="N642" s="3" t="str">
        <f>IF(Table1[[#This Row],[Exchange_Rate]]&lt;5,"Strong Currency", IF(Table1[[#This Row],[Exchange_Rate]]&lt;=1000, "Medium Currency","Weak Currency"))</f>
        <v>Medium Currency</v>
      </c>
      <c r="O642" s="11">
        <f>(Table1[[#This Row],[Living_Cost_Index]]/123.3)*1850</f>
        <v>672.18167072181666</v>
      </c>
      <c r="P642" s="11">
        <f>Table1[[#This Row],[Monthly_Estimated_Living_cost]]*12</f>
        <v>8066.1800486617994</v>
      </c>
      <c r="Q642" s="13">
        <f>Table1[[#This Row],[Tuition_USD]]+Table1[[#This Row],[Rent_USD]]+Table1[[#This Row],[Insurance_USD]]+Table1[[#This Row],[Visa_Fee_USD]]+Table1[[#This Row],[Annual_Estimated_Living_cost]]</f>
        <v>14066.180048661799</v>
      </c>
    </row>
    <row r="643" spans="1:17" x14ac:dyDescent="0.25">
      <c r="A643" s="2" t="s">
        <v>341</v>
      </c>
      <c r="B643" s="1" t="s">
        <v>899</v>
      </c>
      <c r="C643" s="1" t="s">
        <v>900</v>
      </c>
      <c r="D643" s="1" t="s">
        <v>15</v>
      </c>
      <c r="E643" s="1" t="s">
        <v>16</v>
      </c>
      <c r="F643" s="1">
        <v>2</v>
      </c>
      <c r="G643" s="1" t="str">
        <f>CONCATENATE(Table1[[#This Row],[Duration_Years]]," ","years")</f>
        <v>2 years</v>
      </c>
      <c r="H643" s="11">
        <v>4400</v>
      </c>
      <c r="I643" s="1">
        <v>50.5</v>
      </c>
      <c r="J643" s="11">
        <v>370</v>
      </c>
      <c r="K643" s="11">
        <v>160</v>
      </c>
      <c r="L643" s="11">
        <v>400</v>
      </c>
      <c r="M643" s="22">
        <v>95.5</v>
      </c>
      <c r="N643" s="3" t="str">
        <f>IF(Table1[[#This Row],[Exchange_Rate]]&lt;5,"Strong Currency", IF(Table1[[#This Row],[Exchange_Rate]]&lt;=1000, "Medium Currency","Weak Currency"))</f>
        <v>Medium Currency</v>
      </c>
      <c r="O643" s="11">
        <f>(Table1[[#This Row],[Living_Cost_Index]]/123.3)*1850</f>
        <v>757.70478507704797</v>
      </c>
      <c r="P643" s="11">
        <f>Table1[[#This Row],[Monthly_Estimated_Living_cost]]*12</f>
        <v>9092.4574209245766</v>
      </c>
      <c r="Q643" s="13">
        <f>Table1[[#This Row],[Tuition_USD]]+Table1[[#This Row],[Rent_USD]]+Table1[[#This Row],[Insurance_USD]]+Table1[[#This Row],[Visa_Fee_USD]]+Table1[[#This Row],[Annual_Estimated_Living_cost]]</f>
        <v>14422.457420924577</v>
      </c>
    </row>
    <row r="644" spans="1:17" x14ac:dyDescent="0.25">
      <c r="A644" s="2" t="s">
        <v>338</v>
      </c>
      <c r="B644" s="1" t="s">
        <v>901</v>
      </c>
      <c r="C644" s="1" t="s">
        <v>902</v>
      </c>
      <c r="D644" s="1" t="s">
        <v>40</v>
      </c>
      <c r="E644" s="1" t="s">
        <v>75</v>
      </c>
      <c r="F644" s="1">
        <v>4</v>
      </c>
      <c r="G644" s="1" t="str">
        <f>CONCATENATE(Table1[[#This Row],[Duration_Years]]," ","years")</f>
        <v>4 years</v>
      </c>
      <c r="H644" s="11">
        <v>1000</v>
      </c>
      <c r="I644" s="1">
        <v>44.5</v>
      </c>
      <c r="J644" s="11">
        <v>330</v>
      </c>
      <c r="K644" s="11">
        <v>90</v>
      </c>
      <c r="L644" s="11">
        <v>500</v>
      </c>
      <c r="M644" s="22">
        <v>28.5</v>
      </c>
      <c r="N644" s="3" t="str">
        <f>IF(Table1[[#This Row],[Exchange_Rate]]&lt;5,"Strong Currency", IF(Table1[[#This Row],[Exchange_Rate]]&lt;=1000, "Medium Currency","Weak Currency"))</f>
        <v>Medium Currency</v>
      </c>
      <c r="O644" s="11">
        <f>(Table1[[#This Row],[Living_Cost_Index]]/123.3)*1850</f>
        <v>667.68045417680446</v>
      </c>
      <c r="P644" s="11">
        <f>Table1[[#This Row],[Monthly_Estimated_Living_cost]]*12</f>
        <v>8012.1654501216535</v>
      </c>
      <c r="Q644" s="13">
        <f>Table1[[#This Row],[Tuition_USD]]+Table1[[#This Row],[Rent_USD]]+Table1[[#This Row],[Insurance_USD]]+Table1[[#This Row],[Visa_Fee_USD]]+Table1[[#This Row],[Annual_Estimated_Living_cost]]</f>
        <v>9932.1654501216544</v>
      </c>
    </row>
    <row r="645" spans="1:17" x14ac:dyDescent="0.25">
      <c r="A645" s="2" t="s">
        <v>348</v>
      </c>
      <c r="B645" s="1" t="s">
        <v>903</v>
      </c>
      <c r="C645" s="1" t="s">
        <v>828</v>
      </c>
      <c r="D645" s="1" t="s">
        <v>434</v>
      </c>
      <c r="E645" s="1" t="s">
        <v>16</v>
      </c>
      <c r="F645" s="1">
        <v>2</v>
      </c>
      <c r="G645" s="1" t="str">
        <f>CONCATENATE(Table1[[#This Row],[Duration_Years]]," ","years")</f>
        <v>2 years</v>
      </c>
      <c r="H645" s="11">
        <v>0</v>
      </c>
      <c r="I645" s="1">
        <v>59.2</v>
      </c>
      <c r="J645" s="11">
        <v>400</v>
      </c>
      <c r="K645" s="11">
        <v>100</v>
      </c>
      <c r="L645" s="11">
        <v>600</v>
      </c>
      <c r="M645" s="22">
        <v>0.92</v>
      </c>
      <c r="N645" s="3" t="str">
        <f>IF(Table1[[#This Row],[Exchange_Rate]]&lt;5,"Strong Currency", IF(Table1[[#This Row],[Exchange_Rate]]&lt;=1000, "Medium Currency","Weak Currency"))</f>
        <v>Strong Currency</v>
      </c>
      <c r="O645" s="11">
        <f>(Table1[[#This Row],[Living_Cost_Index]]/123.3)*1850</f>
        <v>888.24006488240082</v>
      </c>
      <c r="P645" s="11">
        <f>Table1[[#This Row],[Monthly_Estimated_Living_cost]]*12</f>
        <v>10658.880778588809</v>
      </c>
      <c r="Q645" s="13">
        <f>Table1[[#This Row],[Tuition_USD]]+Table1[[#This Row],[Rent_USD]]+Table1[[#This Row],[Insurance_USD]]+Table1[[#This Row],[Visa_Fee_USD]]+Table1[[#This Row],[Annual_Estimated_Living_cost]]</f>
        <v>11758.880778588809</v>
      </c>
    </row>
    <row r="646" spans="1:17" x14ac:dyDescent="0.25">
      <c r="A646" s="2" t="s">
        <v>84</v>
      </c>
      <c r="B646" s="1" t="s">
        <v>904</v>
      </c>
      <c r="C646" s="1" t="s">
        <v>905</v>
      </c>
      <c r="D646" s="1" t="s">
        <v>63</v>
      </c>
      <c r="E646" s="1" t="s">
        <v>16</v>
      </c>
      <c r="F646" s="1">
        <v>2</v>
      </c>
      <c r="G646" s="1" t="str">
        <f>CONCATENATE(Table1[[#This Row],[Duration_Years]]," ","years")</f>
        <v>2 years</v>
      </c>
      <c r="H646" s="11">
        <v>3500</v>
      </c>
      <c r="I646" s="1">
        <v>67.8</v>
      </c>
      <c r="J646" s="11">
        <v>700</v>
      </c>
      <c r="K646" s="11">
        <v>180</v>
      </c>
      <c r="L646" s="11">
        <v>800</v>
      </c>
      <c r="M646" s="22">
        <v>0.92</v>
      </c>
      <c r="N646" s="3" t="str">
        <f>IF(Table1[[#This Row],[Exchange_Rate]]&lt;5,"Strong Currency", IF(Table1[[#This Row],[Exchange_Rate]]&lt;=1000, "Medium Currency","Weak Currency"))</f>
        <v>Strong Currency</v>
      </c>
      <c r="O646" s="11">
        <f>(Table1[[#This Row],[Living_Cost_Index]]/123.3)*1850</f>
        <v>1017.2749391727493</v>
      </c>
      <c r="P646" s="11">
        <f>Table1[[#This Row],[Monthly_Estimated_Living_cost]]*12</f>
        <v>12207.299270072992</v>
      </c>
      <c r="Q646" s="13">
        <f>Table1[[#This Row],[Tuition_USD]]+Table1[[#This Row],[Rent_USD]]+Table1[[#This Row],[Insurance_USD]]+Table1[[#This Row],[Visa_Fee_USD]]+Table1[[#This Row],[Annual_Estimated_Living_cost]]</f>
        <v>17387.299270072992</v>
      </c>
    </row>
    <row r="647" spans="1:17" x14ac:dyDescent="0.25">
      <c r="A647" s="2" t="s">
        <v>846</v>
      </c>
      <c r="B647" s="1" t="s">
        <v>906</v>
      </c>
      <c r="C647" s="1" t="s">
        <v>907</v>
      </c>
      <c r="D647" s="1" t="s">
        <v>71</v>
      </c>
      <c r="E647" s="1" t="s">
        <v>1353</v>
      </c>
      <c r="F647" s="1">
        <v>4</v>
      </c>
      <c r="G647" s="1" t="str">
        <f>CONCATENATE(Table1[[#This Row],[Duration_Years]]," ","years")</f>
        <v>4 years</v>
      </c>
      <c r="H647" s="11">
        <v>5400</v>
      </c>
      <c r="I647" s="1">
        <v>43.9</v>
      </c>
      <c r="J647" s="11">
        <v>290</v>
      </c>
      <c r="K647" s="11">
        <v>140</v>
      </c>
      <c r="L647" s="11">
        <v>450</v>
      </c>
      <c r="M647" s="22">
        <v>350.25</v>
      </c>
      <c r="N647" s="3" t="str">
        <f>IF(Table1[[#This Row],[Exchange_Rate]]&lt;5,"Strong Currency", IF(Table1[[#This Row],[Exchange_Rate]]&lt;=1000, "Medium Currency","Weak Currency"))</f>
        <v>Medium Currency</v>
      </c>
      <c r="O647" s="11">
        <f>(Table1[[#This Row],[Living_Cost_Index]]/123.3)*1850</f>
        <v>658.67802108678018</v>
      </c>
      <c r="P647" s="11">
        <f>Table1[[#This Row],[Monthly_Estimated_Living_cost]]*12</f>
        <v>7904.1362530413626</v>
      </c>
      <c r="Q647" s="13">
        <f>Table1[[#This Row],[Tuition_USD]]+Table1[[#This Row],[Rent_USD]]+Table1[[#This Row],[Insurance_USD]]+Table1[[#This Row],[Visa_Fee_USD]]+Table1[[#This Row],[Annual_Estimated_Living_cost]]</f>
        <v>14184.136253041363</v>
      </c>
    </row>
    <row r="648" spans="1:17" x14ac:dyDescent="0.25">
      <c r="A648" s="2" t="s">
        <v>341</v>
      </c>
      <c r="B648" s="1" t="s">
        <v>908</v>
      </c>
      <c r="C648" s="1" t="s">
        <v>909</v>
      </c>
      <c r="D648" s="1" t="s">
        <v>222</v>
      </c>
      <c r="E648" s="1" t="s">
        <v>75</v>
      </c>
      <c r="F648" s="1">
        <v>4</v>
      </c>
      <c r="G648" s="1" t="str">
        <f>CONCATENATE(Table1[[#This Row],[Duration_Years]]," ","years")</f>
        <v>4 years</v>
      </c>
      <c r="H648" s="11">
        <v>4200</v>
      </c>
      <c r="I648" s="1">
        <v>49.8</v>
      </c>
      <c r="J648" s="11">
        <v>350</v>
      </c>
      <c r="K648" s="11">
        <v>160</v>
      </c>
      <c r="L648" s="11">
        <v>400</v>
      </c>
      <c r="M648" s="22">
        <v>95.5</v>
      </c>
      <c r="N648" s="3" t="str">
        <f>IF(Table1[[#This Row],[Exchange_Rate]]&lt;5,"Strong Currency", IF(Table1[[#This Row],[Exchange_Rate]]&lt;=1000, "Medium Currency","Weak Currency"))</f>
        <v>Medium Currency</v>
      </c>
      <c r="O648" s="11">
        <f>(Table1[[#This Row],[Living_Cost_Index]]/123.3)*1850</f>
        <v>747.20194647201947</v>
      </c>
      <c r="P648" s="11">
        <f>Table1[[#This Row],[Monthly_Estimated_Living_cost]]*12</f>
        <v>8966.4233576642328</v>
      </c>
      <c r="Q648" s="13">
        <f>Table1[[#This Row],[Tuition_USD]]+Table1[[#This Row],[Rent_USD]]+Table1[[#This Row],[Insurance_USD]]+Table1[[#This Row],[Visa_Fee_USD]]+Table1[[#This Row],[Annual_Estimated_Living_cost]]</f>
        <v>14076.423357664233</v>
      </c>
    </row>
    <row r="649" spans="1:17" x14ac:dyDescent="0.25">
      <c r="A649" s="2" t="s">
        <v>335</v>
      </c>
      <c r="B649" s="1" t="s">
        <v>336</v>
      </c>
      <c r="C649" s="1" t="s">
        <v>337</v>
      </c>
      <c r="D649" s="1" t="s">
        <v>15</v>
      </c>
      <c r="E649" s="1" t="s">
        <v>16</v>
      </c>
      <c r="F649" s="1">
        <v>2</v>
      </c>
      <c r="G649" s="1" t="str">
        <f>CONCATENATE(Table1[[#This Row],[Duration_Years]]," ","years")</f>
        <v>2 years</v>
      </c>
      <c r="H649" s="11">
        <v>0</v>
      </c>
      <c r="I649" s="1">
        <v>55.8</v>
      </c>
      <c r="J649" s="11">
        <v>600</v>
      </c>
      <c r="K649" s="11">
        <v>90</v>
      </c>
      <c r="L649" s="11">
        <v>400</v>
      </c>
      <c r="M649" s="22">
        <v>4.95</v>
      </c>
      <c r="N649" s="3" t="str">
        <f>IF(Table1[[#This Row],[Exchange_Rate]]&lt;5,"Strong Currency", IF(Table1[[#This Row],[Exchange_Rate]]&lt;=1000, "Medium Currency","Weak Currency"))</f>
        <v>Strong Currency</v>
      </c>
      <c r="O649" s="11">
        <f>(Table1[[#This Row],[Living_Cost_Index]]/123.3)*1850</f>
        <v>837.22627737226276</v>
      </c>
      <c r="P649" s="11">
        <f>Table1[[#This Row],[Monthly_Estimated_Living_cost]]*12</f>
        <v>10046.715328467153</v>
      </c>
      <c r="Q649" s="13">
        <f>Table1[[#This Row],[Tuition_USD]]+Table1[[#This Row],[Rent_USD]]+Table1[[#This Row],[Insurance_USD]]+Table1[[#This Row],[Visa_Fee_USD]]+Table1[[#This Row],[Annual_Estimated_Living_cost]]</f>
        <v>11136.715328467153</v>
      </c>
    </row>
    <row r="650" spans="1:17" x14ac:dyDescent="0.25">
      <c r="A650" s="2" t="s">
        <v>155</v>
      </c>
      <c r="B650" s="1" t="s">
        <v>156</v>
      </c>
      <c r="C650" s="1" t="s">
        <v>157</v>
      </c>
      <c r="D650" s="1" t="s">
        <v>20</v>
      </c>
      <c r="E650" s="1" t="s">
        <v>1353</v>
      </c>
      <c r="F650" s="1">
        <v>4</v>
      </c>
      <c r="G650" s="1" t="str">
        <f>CONCATENATE(Table1[[#This Row],[Duration_Years]]," ","years")</f>
        <v>4 years</v>
      </c>
      <c r="H650" s="11">
        <v>2000</v>
      </c>
      <c r="I650" s="1">
        <v>45.2</v>
      </c>
      <c r="J650" s="11">
        <v>300</v>
      </c>
      <c r="K650" s="11">
        <v>180</v>
      </c>
      <c r="L650" s="11">
        <v>300</v>
      </c>
      <c r="M650" s="22">
        <v>82.75</v>
      </c>
      <c r="N650" s="3" t="str">
        <f>IF(Table1[[#This Row],[Exchange_Rate]]&lt;5,"Strong Currency", IF(Table1[[#This Row],[Exchange_Rate]]&lt;=1000, "Medium Currency","Weak Currency"))</f>
        <v>Medium Currency</v>
      </c>
      <c r="O650" s="11">
        <f>(Table1[[#This Row],[Living_Cost_Index]]/123.3)*1850</f>
        <v>678.18329278183296</v>
      </c>
      <c r="P650" s="11">
        <f>Table1[[#This Row],[Monthly_Estimated_Living_cost]]*12</f>
        <v>8138.1995133819955</v>
      </c>
      <c r="Q650" s="13">
        <f>Table1[[#This Row],[Tuition_USD]]+Table1[[#This Row],[Rent_USD]]+Table1[[#This Row],[Insurance_USD]]+Table1[[#This Row],[Visa_Fee_USD]]+Table1[[#This Row],[Annual_Estimated_Living_cost]]</f>
        <v>10918.199513381995</v>
      </c>
    </row>
    <row r="651" spans="1:17" x14ac:dyDescent="0.25">
      <c r="A651" s="2" t="s">
        <v>351</v>
      </c>
      <c r="B651" s="1" t="s">
        <v>352</v>
      </c>
      <c r="C651" s="1" t="s">
        <v>353</v>
      </c>
      <c r="D651" s="1" t="s">
        <v>207</v>
      </c>
      <c r="E651" s="1" t="s">
        <v>16</v>
      </c>
      <c r="F651" s="1">
        <v>2</v>
      </c>
      <c r="G651" s="1" t="str">
        <f>CONCATENATE(Table1[[#This Row],[Duration_Years]]," ","years")</f>
        <v>2 years</v>
      </c>
      <c r="H651" s="11">
        <v>15000</v>
      </c>
      <c r="I651" s="1">
        <v>51.4</v>
      </c>
      <c r="J651" s="11">
        <v>500</v>
      </c>
      <c r="K651" s="11">
        <v>80</v>
      </c>
      <c r="L651" s="11">
        <v>350</v>
      </c>
      <c r="M651" s="22">
        <v>35.25</v>
      </c>
      <c r="N651" s="3" t="str">
        <f>IF(Table1[[#This Row],[Exchange_Rate]]&lt;5,"Strong Currency", IF(Table1[[#This Row],[Exchange_Rate]]&lt;=1000, "Medium Currency","Weak Currency"))</f>
        <v>Medium Currency</v>
      </c>
      <c r="O651" s="11">
        <f>(Table1[[#This Row],[Living_Cost_Index]]/123.3)*1850</f>
        <v>771.20843471208434</v>
      </c>
      <c r="P651" s="11">
        <f>Table1[[#This Row],[Monthly_Estimated_Living_cost]]*12</f>
        <v>9254.5012165450116</v>
      </c>
      <c r="Q651" s="13">
        <f>Table1[[#This Row],[Tuition_USD]]+Table1[[#This Row],[Rent_USD]]+Table1[[#This Row],[Insurance_USD]]+Table1[[#This Row],[Visa_Fee_USD]]+Table1[[#This Row],[Annual_Estimated_Living_cost]]</f>
        <v>25184.50121654501</v>
      </c>
    </row>
    <row r="652" spans="1:17" x14ac:dyDescent="0.25">
      <c r="A652" s="2" t="s">
        <v>366</v>
      </c>
      <c r="B652" s="1" t="s">
        <v>367</v>
      </c>
      <c r="C652" s="1" t="s">
        <v>910</v>
      </c>
      <c r="D652" s="1" t="s">
        <v>63</v>
      </c>
      <c r="E652" s="1" t="s">
        <v>75</v>
      </c>
      <c r="F652" s="1">
        <v>4</v>
      </c>
      <c r="G652" s="1" t="str">
        <f>CONCATENATE(Table1[[#This Row],[Duration_Years]]," ","years")</f>
        <v>4 years</v>
      </c>
      <c r="H652" s="11">
        <v>2500</v>
      </c>
      <c r="I652" s="1">
        <v>31.8</v>
      </c>
      <c r="J652" s="11">
        <v>250</v>
      </c>
      <c r="K652" s="11">
        <v>100</v>
      </c>
      <c r="L652" s="11">
        <v>200</v>
      </c>
      <c r="M652" s="22">
        <v>30.9</v>
      </c>
      <c r="N652" s="3" t="str">
        <f>IF(Table1[[#This Row],[Exchange_Rate]]&lt;5,"Strong Currency", IF(Table1[[#This Row],[Exchange_Rate]]&lt;=1000, "Medium Currency","Weak Currency"))</f>
        <v>Medium Currency</v>
      </c>
      <c r="O652" s="11">
        <f>(Table1[[#This Row],[Living_Cost_Index]]/123.3)*1850</f>
        <v>477.12895377128956</v>
      </c>
      <c r="P652" s="11">
        <f>Table1[[#This Row],[Monthly_Estimated_Living_cost]]*12</f>
        <v>5725.5474452554745</v>
      </c>
      <c r="Q652" s="13">
        <f>Table1[[#This Row],[Tuition_USD]]+Table1[[#This Row],[Rent_USD]]+Table1[[#This Row],[Insurance_USD]]+Table1[[#This Row],[Visa_Fee_USD]]+Table1[[#This Row],[Annual_Estimated_Living_cost]]</f>
        <v>8775.5474452554736</v>
      </c>
    </row>
    <row r="653" spans="1:17" x14ac:dyDescent="0.25">
      <c r="A653" s="2" t="s">
        <v>41</v>
      </c>
      <c r="B653" s="1" t="s">
        <v>41</v>
      </c>
      <c r="C653" s="1" t="s">
        <v>42</v>
      </c>
      <c r="D653" s="1" t="s">
        <v>40</v>
      </c>
      <c r="E653" s="1" t="s">
        <v>16</v>
      </c>
      <c r="F653" s="1">
        <v>2</v>
      </c>
      <c r="G653" s="1" t="str">
        <f>CONCATENATE(Table1[[#This Row],[Duration_Years]]," ","years")</f>
        <v>2 years</v>
      </c>
      <c r="H653" s="11">
        <v>42000</v>
      </c>
      <c r="I653" s="1">
        <v>83.8</v>
      </c>
      <c r="J653" s="11">
        <v>1200</v>
      </c>
      <c r="K653" s="11">
        <v>90</v>
      </c>
      <c r="L653" s="11">
        <v>800</v>
      </c>
      <c r="M653" s="22">
        <v>1.35</v>
      </c>
      <c r="N653" s="3" t="str">
        <f>IF(Table1[[#This Row],[Exchange_Rate]]&lt;5,"Strong Currency", IF(Table1[[#This Row],[Exchange_Rate]]&lt;=1000, "Medium Currency","Weak Currency"))</f>
        <v>Strong Currency</v>
      </c>
      <c r="O653" s="11">
        <f>(Table1[[#This Row],[Living_Cost_Index]]/123.3)*1850</f>
        <v>1257.3398215733982</v>
      </c>
      <c r="P653" s="11">
        <f>Table1[[#This Row],[Monthly_Estimated_Living_cost]]*12</f>
        <v>15088.077858880779</v>
      </c>
      <c r="Q653" s="13">
        <f>Table1[[#This Row],[Tuition_USD]]+Table1[[#This Row],[Rent_USD]]+Table1[[#This Row],[Insurance_USD]]+Table1[[#This Row],[Visa_Fee_USD]]+Table1[[#This Row],[Annual_Estimated_Living_cost]]</f>
        <v>59178.077858880781</v>
      </c>
    </row>
    <row r="654" spans="1:17" x14ac:dyDescent="0.25">
      <c r="A654" s="2" t="s">
        <v>354</v>
      </c>
      <c r="B654" s="1" t="s">
        <v>355</v>
      </c>
      <c r="C654" s="1" t="s">
        <v>911</v>
      </c>
      <c r="D654" s="1" t="s">
        <v>71</v>
      </c>
      <c r="E654" s="1" t="s">
        <v>16</v>
      </c>
      <c r="F654" s="1">
        <v>2</v>
      </c>
      <c r="G654" s="1" t="str">
        <f>CONCATENATE(Table1[[#This Row],[Duration_Years]]," ","years")</f>
        <v>2 years</v>
      </c>
      <c r="H654" s="11">
        <v>25000</v>
      </c>
      <c r="I654" s="1">
        <v>72.400000000000006</v>
      </c>
      <c r="J654" s="11">
        <v>1100</v>
      </c>
      <c r="K654" s="11">
        <v>270</v>
      </c>
      <c r="L654" s="11">
        <v>750</v>
      </c>
      <c r="M654" s="22">
        <v>3.67</v>
      </c>
      <c r="N654" s="3" t="str">
        <f>IF(Table1[[#This Row],[Exchange_Rate]]&lt;5,"Strong Currency", IF(Table1[[#This Row],[Exchange_Rate]]&lt;=1000, "Medium Currency","Weak Currency"))</f>
        <v>Strong Currency</v>
      </c>
      <c r="O654" s="11">
        <f>(Table1[[#This Row],[Living_Cost_Index]]/123.3)*1850</f>
        <v>1086.2935928629361</v>
      </c>
      <c r="P654" s="11">
        <f>Table1[[#This Row],[Monthly_Estimated_Living_cost]]*12</f>
        <v>13035.523114355234</v>
      </c>
      <c r="Q654" s="13">
        <f>Table1[[#This Row],[Tuition_USD]]+Table1[[#This Row],[Rent_USD]]+Table1[[#This Row],[Insurance_USD]]+Table1[[#This Row],[Visa_Fee_USD]]+Table1[[#This Row],[Annual_Estimated_Living_cost]]</f>
        <v>40155.523114355237</v>
      </c>
    </row>
    <row r="655" spans="1:17" x14ac:dyDescent="0.25">
      <c r="A655" s="2" t="s">
        <v>335</v>
      </c>
      <c r="B655" s="1" t="s">
        <v>912</v>
      </c>
      <c r="C655" s="1" t="s">
        <v>913</v>
      </c>
      <c r="D655" s="1" t="s">
        <v>215</v>
      </c>
      <c r="E655" s="1" t="s">
        <v>1353</v>
      </c>
      <c r="F655" s="1">
        <v>4</v>
      </c>
      <c r="G655" s="1" t="str">
        <f>CONCATENATE(Table1[[#This Row],[Duration_Years]]," ","years")</f>
        <v>4 years</v>
      </c>
      <c r="H655" s="11">
        <v>8000</v>
      </c>
      <c r="I655" s="1">
        <v>53.2</v>
      </c>
      <c r="J655" s="11">
        <v>550</v>
      </c>
      <c r="K655" s="11">
        <v>90</v>
      </c>
      <c r="L655" s="11">
        <v>400</v>
      </c>
      <c r="M655" s="22">
        <v>4.95</v>
      </c>
      <c r="N655" s="3" t="str">
        <f>IF(Table1[[#This Row],[Exchange_Rate]]&lt;5,"Strong Currency", IF(Table1[[#This Row],[Exchange_Rate]]&lt;=1000, "Medium Currency","Weak Currency"))</f>
        <v>Strong Currency</v>
      </c>
      <c r="O655" s="11">
        <f>(Table1[[#This Row],[Living_Cost_Index]]/123.3)*1850</f>
        <v>798.2157339821573</v>
      </c>
      <c r="P655" s="11">
        <f>Table1[[#This Row],[Monthly_Estimated_Living_cost]]*12</f>
        <v>9578.5888077858872</v>
      </c>
      <c r="Q655" s="13">
        <f>Table1[[#This Row],[Tuition_USD]]+Table1[[#This Row],[Rent_USD]]+Table1[[#This Row],[Insurance_USD]]+Table1[[#This Row],[Visa_Fee_USD]]+Table1[[#This Row],[Annual_Estimated_Living_cost]]</f>
        <v>18618.588807785887</v>
      </c>
    </row>
    <row r="656" spans="1:17" x14ac:dyDescent="0.25">
      <c r="A656" s="2" t="s">
        <v>155</v>
      </c>
      <c r="B656" s="1" t="s">
        <v>914</v>
      </c>
      <c r="C656" s="1" t="s">
        <v>915</v>
      </c>
      <c r="D656" s="1" t="s">
        <v>63</v>
      </c>
      <c r="E656" s="1" t="s">
        <v>16</v>
      </c>
      <c r="F656" s="1">
        <v>2</v>
      </c>
      <c r="G656" s="1" t="str">
        <f>CONCATENATE(Table1[[#This Row],[Duration_Years]]," ","years")</f>
        <v>2 years</v>
      </c>
      <c r="H656" s="11">
        <v>1800</v>
      </c>
      <c r="I656" s="1">
        <v>47.5</v>
      </c>
      <c r="J656" s="11">
        <v>350</v>
      </c>
      <c r="K656" s="11">
        <v>180</v>
      </c>
      <c r="L656" s="11">
        <v>300</v>
      </c>
      <c r="M656" s="22">
        <v>82.75</v>
      </c>
      <c r="N656" s="3" t="str">
        <f>IF(Table1[[#This Row],[Exchange_Rate]]&lt;5,"Strong Currency", IF(Table1[[#This Row],[Exchange_Rate]]&lt;=1000, "Medium Currency","Weak Currency"))</f>
        <v>Medium Currency</v>
      </c>
      <c r="O656" s="11">
        <f>(Table1[[#This Row],[Living_Cost_Index]]/123.3)*1850</f>
        <v>712.69261962692622</v>
      </c>
      <c r="P656" s="11">
        <f>Table1[[#This Row],[Monthly_Estimated_Living_cost]]*12</f>
        <v>8552.3114355231155</v>
      </c>
      <c r="Q656" s="13">
        <f>Table1[[#This Row],[Tuition_USD]]+Table1[[#This Row],[Rent_USD]]+Table1[[#This Row],[Insurance_USD]]+Table1[[#This Row],[Visa_Fee_USD]]+Table1[[#This Row],[Annual_Estimated_Living_cost]]</f>
        <v>11182.311435523116</v>
      </c>
    </row>
    <row r="657" spans="1:17" x14ac:dyDescent="0.25">
      <c r="A657" s="2" t="s">
        <v>351</v>
      </c>
      <c r="B657" s="1" t="s">
        <v>916</v>
      </c>
      <c r="C657" s="1" t="s">
        <v>917</v>
      </c>
      <c r="D657" s="1" t="s">
        <v>20</v>
      </c>
      <c r="E657" s="1" t="s">
        <v>75</v>
      </c>
      <c r="F657" s="1">
        <v>4</v>
      </c>
      <c r="G657" s="1" t="str">
        <f>CONCATENATE(Table1[[#This Row],[Duration_Years]]," ","years")</f>
        <v>4 years</v>
      </c>
      <c r="H657" s="11">
        <v>12000</v>
      </c>
      <c r="I657" s="1">
        <v>45.6</v>
      </c>
      <c r="J657" s="11">
        <v>300</v>
      </c>
      <c r="K657" s="11">
        <v>80</v>
      </c>
      <c r="L657" s="11">
        <v>350</v>
      </c>
      <c r="M657" s="22">
        <v>35.25</v>
      </c>
      <c r="N657" s="3" t="str">
        <f>IF(Table1[[#This Row],[Exchange_Rate]]&lt;5,"Strong Currency", IF(Table1[[#This Row],[Exchange_Rate]]&lt;=1000, "Medium Currency","Weak Currency"))</f>
        <v>Medium Currency</v>
      </c>
      <c r="O657" s="11">
        <f>(Table1[[#This Row],[Living_Cost_Index]]/123.3)*1850</f>
        <v>684.18491484184915</v>
      </c>
      <c r="P657" s="11">
        <f>Table1[[#This Row],[Monthly_Estimated_Living_cost]]*12</f>
        <v>8210.2189781021898</v>
      </c>
      <c r="Q657" s="13">
        <f>Table1[[#This Row],[Tuition_USD]]+Table1[[#This Row],[Rent_USD]]+Table1[[#This Row],[Insurance_USD]]+Table1[[#This Row],[Visa_Fee_USD]]+Table1[[#This Row],[Annual_Estimated_Living_cost]]</f>
        <v>20940.218978102188</v>
      </c>
    </row>
    <row r="658" spans="1:17" x14ac:dyDescent="0.25">
      <c r="A658" s="2" t="s">
        <v>41</v>
      </c>
      <c r="B658" s="1" t="s">
        <v>41</v>
      </c>
      <c r="C658" s="1" t="s">
        <v>405</v>
      </c>
      <c r="D658" s="1" t="s">
        <v>15</v>
      </c>
      <c r="E658" s="1" t="s">
        <v>1353</v>
      </c>
      <c r="F658" s="1">
        <v>4</v>
      </c>
      <c r="G658" s="1" t="str">
        <f>CONCATENATE(Table1[[#This Row],[Duration_Years]]," ","years")</f>
        <v>4 years</v>
      </c>
      <c r="H658" s="11">
        <v>40000</v>
      </c>
      <c r="I658" s="1">
        <v>83.8</v>
      </c>
      <c r="J658" s="11">
        <v>1100</v>
      </c>
      <c r="K658" s="11">
        <v>90</v>
      </c>
      <c r="L658" s="11">
        <v>800</v>
      </c>
      <c r="M658" s="22">
        <v>1.35</v>
      </c>
      <c r="N658" s="3" t="str">
        <f>IF(Table1[[#This Row],[Exchange_Rate]]&lt;5,"Strong Currency", IF(Table1[[#This Row],[Exchange_Rate]]&lt;=1000, "Medium Currency","Weak Currency"))</f>
        <v>Strong Currency</v>
      </c>
      <c r="O658" s="11">
        <f>(Table1[[#This Row],[Living_Cost_Index]]/123.3)*1850</f>
        <v>1257.3398215733982</v>
      </c>
      <c r="P658" s="11">
        <f>Table1[[#This Row],[Monthly_Estimated_Living_cost]]*12</f>
        <v>15088.077858880779</v>
      </c>
      <c r="Q658" s="13">
        <f>Table1[[#This Row],[Tuition_USD]]+Table1[[#This Row],[Rent_USD]]+Table1[[#This Row],[Insurance_USD]]+Table1[[#This Row],[Visa_Fee_USD]]+Table1[[#This Row],[Annual_Estimated_Living_cost]]</f>
        <v>57078.077858880781</v>
      </c>
    </row>
    <row r="659" spans="1:17" x14ac:dyDescent="0.25">
      <c r="A659" s="2" t="s">
        <v>354</v>
      </c>
      <c r="B659" s="1" t="s">
        <v>918</v>
      </c>
      <c r="C659" s="1" t="s">
        <v>919</v>
      </c>
      <c r="D659" s="1" t="s">
        <v>136</v>
      </c>
      <c r="E659" s="1" t="s">
        <v>16</v>
      </c>
      <c r="F659" s="1">
        <v>2</v>
      </c>
      <c r="G659" s="1" t="str">
        <f>CONCATENATE(Table1[[#This Row],[Duration_Years]]," ","years")</f>
        <v>2 years</v>
      </c>
      <c r="H659" s="11">
        <v>27000</v>
      </c>
      <c r="I659" s="1">
        <v>71.8</v>
      </c>
      <c r="J659" s="11">
        <v>1000</v>
      </c>
      <c r="K659" s="11">
        <v>270</v>
      </c>
      <c r="L659" s="11">
        <v>750</v>
      </c>
      <c r="M659" s="22">
        <v>3.67</v>
      </c>
      <c r="N659" s="3" t="str">
        <f>IF(Table1[[#This Row],[Exchange_Rate]]&lt;5,"Strong Currency", IF(Table1[[#This Row],[Exchange_Rate]]&lt;=1000, "Medium Currency","Weak Currency"))</f>
        <v>Strong Currency</v>
      </c>
      <c r="O659" s="11">
        <f>(Table1[[#This Row],[Living_Cost_Index]]/123.3)*1850</f>
        <v>1077.2911597729117</v>
      </c>
      <c r="P659" s="11">
        <f>Table1[[#This Row],[Monthly_Estimated_Living_cost]]*12</f>
        <v>12927.49391727494</v>
      </c>
      <c r="Q659" s="13">
        <f>Table1[[#This Row],[Tuition_USD]]+Table1[[#This Row],[Rent_USD]]+Table1[[#This Row],[Insurance_USD]]+Table1[[#This Row],[Visa_Fee_USD]]+Table1[[#This Row],[Annual_Estimated_Living_cost]]</f>
        <v>41947.493917274944</v>
      </c>
    </row>
    <row r="660" spans="1:17" x14ac:dyDescent="0.25">
      <c r="A660" s="2" t="s">
        <v>335</v>
      </c>
      <c r="B660" s="1" t="s">
        <v>920</v>
      </c>
      <c r="C660" s="1" t="s">
        <v>921</v>
      </c>
      <c r="D660" s="1" t="s">
        <v>63</v>
      </c>
      <c r="E660" s="1" t="s">
        <v>16</v>
      </c>
      <c r="F660" s="1">
        <v>2</v>
      </c>
      <c r="G660" s="1" t="str">
        <f>CONCATENATE(Table1[[#This Row],[Duration_Years]]," ","years")</f>
        <v>2 years</v>
      </c>
      <c r="H660" s="11">
        <v>0</v>
      </c>
      <c r="I660" s="1">
        <v>51.4</v>
      </c>
      <c r="J660" s="11">
        <v>450</v>
      </c>
      <c r="K660" s="11">
        <v>90</v>
      </c>
      <c r="L660" s="11">
        <v>400</v>
      </c>
      <c r="M660" s="22">
        <v>4.95</v>
      </c>
      <c r="N660" s="3" t="str">
        <f>IF(Table1[[#This Row],[Exchange_Rate]]&lt;5,"Strong Currency", IF(Table1[[#This Row],[Exchange_Rate]]&lt;=1000, "Medium Currency","Weak Currency"))</f>
        <v>Strong Currency</v>
      </c>
      <c r="O660" s="11">
        <f>(Table1[[#This Row],[Living_Cost_Index]]/123.3)*1850</f>
        <v>771.20843471208434</v>
      </c>
      <c r="P660" s="11">
        <f>Table1[[#This Row],[Monthly_Estimated_Living_cost]]*12</f>
        <v>9254.5012165450116</v>
      </c>
      <c r="Q660" s="13">
        <f>Table1[[#This Row],[Tuition_USD]]+Table1[[#This Row],[Rent_USD]]+Table1[[#This Row],[Insurance_USD]]+Table1[[#This Row],[Visa_Fee_USD]]+Table1[[#This Row],[Annual_Estimated_Living_cost]]</f>
        <v>10194.501216545012</v>
      </c>
    </row>
    <row r="661" spans="1:17" x14ac:dyDescent="0.25">
      <c r="A661" s="2" t="s">
        <v>155</v>
      </c>
      <c r="B661" s="1" t="s">
        <v>922</v>
      </c>
      <c r="C661" s="1" t="s">
        <v>923</v>
      </c>
      <c r="D661" s="1" t="s">
        <v>40</v>
      </c>
      <c r="E661" s="1" t="s">
        <v>1353</v>
      </c>
      <c r="F661" s="1">
        <v>4</v>
      </c>
      <c r="G661" s="1" t="str">
        <f>CONCATENATE(Table1[[#This Row],[Duration_Years]]," ","years")</f>
        <v>4 years</v>
      </c>
      <c r="H661" s="11">
        <v>1900</v>
      </c>
      <c r="I661" s="1">
        <v>44.8</v>
      </c>
      <c r="J661" s="11">
        <v>320</v>
      </c>
      <c r="K661" s="11">
        <v>180</v>
      </c>
      <c r="L661" s="11">
        <v>300</v>
      </c>
      <c r="M661" s="22">
        <v>82.75</v>
      </c>
      <c r="N661" s="3" t="str">
        <f>IF(Table1[[#This Row],[Exchange_Rate]]&lt;5,"Strong Currency", IF(Table1[[#This Row],[Exchange_Rate]]&lt;=1000, "Medium Currency","Weak Currency"))</f>
        <v>Medium Currency</v>
      </c>
      <c r="O661" s="11">
        <f>(Table1[[#This Row],[Living_Cost_Index]]/123.3)*1850</f>
        <v>672.18167072181666</v>
      </c>
      <c r="P661" s="11">
        <f>Table1[[#This Row],[Monthly_Estimated_Living_cost]]*12</f>
        <v>8066.1800486617994</v>
      </c>
      <c r="Q661" s="13">
        <f>Table1[[#This Row],[Tuition_USD]]+Table1[[#This Row],[Rent_USD]]+Table1[[#This Row],[Insurance_USD]]+Table1[[#This Row],[Visa_Fee_USD]]+Table1[[#This Row],[Annual_Estimated_Living_cost]]</f>
        <v>10766.180048661799</v>
      </c>
    </row>
    <row r="662" spans="1:17" x14ac:dyDescent="0.25">
      <c r="A662" s="2" t="s">
        <v>351</v>
      </c>
      <c r="B662" s="1" t="s">
        <v>924</v>
      </c>
      <c r="C662" s="1" t="s">
        <v>925</v>
      </c>
      <c r="D662" s="1" t="s">
        <v>222</v>
      </c>
      <c r="E662" s="1" t="s">
        <v>16</v>
      </c>
      <c r="F662" s="1">
        <v>2</v>
      </c>
      <c r="G662" s="1" t="str">
        <f>CONCATENATE(Table1[[#This Row],[Duration_Years]]," ","years")</f>
        <v>2 years</v>
      </c>
      <c r="H662" s="11">
        <v>11000</v>
      </c>
      <c r="I662" s="1">
        <v>42.5</v>
      </c>
      <c r="J662" s="11">
        <v>250</v>
      </c>
      <c r="K662" s="11">
        <v>80</v>
      </c>
      <c r="L662" s="11">
        <v>350</v>
      </c>
      <c r="M662" s="22">
        <v>35.25</v>
      </c>
      <c r="N662" s="3" t="str">
        <f>IF(Table1[[#This Row],[Exchange_Rate]]&lt;5,"Strong Currency", IF(Table1[[#This Row],[Exchange_Rate]]&lt;=1000, "Medium Currency","Weak Currency"))</f>
        <v>Medium Currency</v>
      </c>
      <c r="O662" s="11">
        <f>(Table1[[#This Row],[Living_Cost_Index]]/123.3)*1850</f>
        <v>637.6723438767234</v>
      </c>
      <c r="P662" s="11">
        <f>Table1[[#This Row],[Monthly_Estimated_Living_cost]]*12</f>
        <v>7652.0681265206804</v>
      </c>
      <c r="Q662" s="13">
        <f>Table1[[#This Row],[Tuition_USD]]+Table1[[#This Row],[Rent_USD]]+Table1[[#This Row],[Insurance_USD]]+Table1[[#This Row],[Visa_Fee_USD]]+Table1[[#This Row],[Annual_Estimated_Living_cost]]</f>
        <v>19332.06812652068</v>
      </c>
    </row>
    <row r="663" spans="1:17" x14ac:dyDescent="0.25">
      <c r="A663" s="2" t="s">
        <v>366</v>
      </c>
      <c r="B663" s="1" t="s">
        <v>926</v>
      </c>
      <c r="C663" s="1" t="s">
        <v>927</v>
      </c>
      <c r="D663" s="1" t="s">
        <v>207</v>
      </c>
      <c r="E663" s="1" t="s">
        <v>16</v>
      </c>
      <c r="F663" s="1">
        <v>2</v>
      </c>
      <c r="G663" s="1" t="str">
        <f>CONCATENATE(Table1[[#This Row],[Duration_Years]]," ","years")</f>
        <v>2 years</v>
      </c>
      <c r="H663" s="11">
        <v>2200</v>
      </c>
      <c r="I663" s="1">
        <v>30.5</v>
      </c>
      <c r="J663" s="11">
        <v>200</v>
      </c>
      <c r="K663" s="11">
        <v>100</v>
      </c>
      <c r="L663" s="11">
        <v>200</v>
      </c>
      <c r="M663" s="22">
        <v>30.9</v>
      </c>
      <c r="N663" s="3" t="str">
        <f>IF(Table1[[#This Row],[Exchange_Rate]]&lt;5,"Strong Currency", IF(Table1[[#This Row],[Exchange_Rate]]&lt;=1000, "Medium Currency","Weak Currency"))</f>
        <v>Medium Currency</v>
      </c>
      <c r="O663" s="11">
        <f>(Table1[[#This Row],[Living_Cost_Index]]/123.3)*1850</f>
        <v>457.62368207623683</v>
      </c>
      <c r="P663" s="11">
        <f>Table1[[#This Row],[Monthly_Estimated_Living_cost]]*12</f>
        <v>5491.4841849148415</v>
      </c>
      <c r="Q663" s="13">
        <f>Table1[[#This Row],[Tuition_USD]]+Table1[[#This Row],[Rent_USD]]+Table1[[#This Row],[Insurance_USD]]+Table1[[#This Row],[Visa_Fee_USD]]+Table1[[#This Row],[Annual_Estimated_Living_cost]]</f>
        <v>8191.4841849148415</v>
      </c>
    </row>
    <row r="664" spans="1:17" x14ac:dyDescent="0.25">
      <c r="A664" s="2" t="s">
        <v>41</v>
      </c>
      <c r="B664" s="1" t="s">
        <v>41</v>
      </c>
      <c r="C664" s="1" t="s">
        <v>406</v>
      </c>
      <c r="D664" s="1" t="s">
        <v>71</v>
      </c>
      <c r="E664" s="1" t="s">
        <v>75</v>
      </c>
      <c r="F664" s="1">
        <v>4</v>
      </c>
      <c r="G664" s="1" t="str">
        <f>CONCATENATE(Table1[[#This Row],[Duration_Years]]," ","years")</f>
        <v>4 years</v>
      </c>
      <c r="H664" s="11">
        <v>38000</v>
      </c>
      <c r="I664" s="1">
        <v>83.8</v>
      </c>
      <c r="J664" s="11">
        <v>1150</v>
      </c>
      <c r="K664" s="11">
        <v>90</v>
      </c>
      <c r="L664" s="11">
        <v>800</v>
      </c>
      <c r="M664" s="22">
        <v>1.35</v>
      </c>
      <c r="N664" s="3" t="str">
        <f>IF(Table1[[#This Row],[Exchange_Rate]]&lt;5,"Strong Currency", IF(Table1[[#This Row],[Exchange_Rate]]&lt;=1000, "Medium Currency","Weak Currency"))</f>
        <v>Strong Currency</v>
      </c>
      <c r="O664" s="11">
        <f>(Table1[[#This Row],[Living_Cost_Index]]/123.3)*1850</f>
        <v>1257.3398215733982</v>
      </c>
      <c r="P664" s="11">
        <f>Table1[[#This Row],[Monthly_Estimated_Living_cost]]*12</f>
        <v>15088.077858880779</v>
      </c>
      <c r="Q664" s="13">
        <f>Table1[[#This Row],[Tuition_USD]]+Table1[[#This Row],[Rent_USD]]+Table1[[#This Row],[Insurance_USD]]+Table1[[#This Row],[Visa_Fee_USD]]+Table1[[#This Row],[Annual_Estimated_Living_cost]]</f>
        <v>55128.077858880781</v>
      </c>
    </row>
    <row r="665" spans="1:17" x14ac:dyDescent="0.25">
      <c r="A665" s="2" t="s">
        <v>354</v>
      </c>
      <c r="B665" s="1" t="s">
        <v>928</v>
      </c>
      <c r="C665" s="1" t="s">
        <v>929</v>
      </c>
      <c r="D665" s="1" t="s">
        <v>15</v>
      </c>
      <c r="E665" s="1" t="s">
        <v>1353</v>
      </c>
      <c r="F665" s="1">
        <v>4</v>
      </c>
      <c r="G665" s="1" t="str">
        <f>CONCATENATE(Table1[[#This Row],[Duration_Years]]," ","years")</f>
        <v>4 years</v>
      </c>
      <c r="H665" s="11">
        <v>26000</v>
      </c>
      <c r="I665" s="1">
        <v>68.5</v>
      </c>
      <c r="J665" s="11">
        <v>900</v>
      </c>
      <c r="K665" s="11">
        <v>270</v>
      </c>
      <c r="L665" s="11">
        <v>750</v>
      </c>
      <c r="M665" s="22">
        <v>3.67</v>
      </c>
      <c r="N665" s="3" t="str">
        <f>IF(Table1[[#This Row],[Exchange_Rate]]&lt;5,"Strong Currency", IF(Table1[[#This Row],[Exchange_Rate]]&lt;=1000, "Medium Currency","Weak Currency"))</f>
        <v>Strong Currency</v>
      </c>
      <c r="O665" s="11">
        <f>(Table1[[#This Row],[Living_Cost_Index]]/123.3)*1850</f>
        <v>1027.7777777777778</v>
      </c>
      <c r="P665" s="11">
        <f>Table1[[#This Row],[Monthly_Estimated_Living_cost]]*12</f>
        <v>12333.333333333334</v>
      </c>
      <c r="Q665" s="13">
        <f>Table1[[#This Row],[Tuition_USD]]+Table1[[#This Row],[Rent_USD]]+Table1[[#This Row],[Insurance_USD]]+Table1[[#This Row],[Visa_Fee_USD]]+Table1[[#This Row],[Annual_Estimated_Living_cost]]</f>
        <v>40253.333333333336</v>
      </c>
    </row>
    <row r="666" spans="1:17" x14ac:dyDescent="0.25">
      <c r="A666" s="2" t="s">
        <v>335</v>
      </c>
      <c r="B666" s="1" t="s">
        <v>930</v>
      </c>
      <c r="C666" s="1" t="s">
        <v>931</v>
      </c>
      <c r="D666" s="1" t="s">
        <v>20</v>
      </c>
      <c r="E666" s="1" t="s">
        <v>75</v>
      </c>
      <c r="F666" s="1">
        <v>4</v>
      </c>
      <c r="G666" s="1" t="str">
        <f>CONCATENATE(Table1[[#This Row],[Duration_Years]]," ","years")</f>
        <v>4 years</v>
      </c>
      <c r="H666" s="11">
        <v>0</v>
      </c>
      <c r="I666" s="1">
        <v>49.8</v>
      </c>
      <c r="J666" s="11">
        <v>400</v>
      </c>
      <c r="K666" s="11">
        <v>90</v>
      </c>
      <c r="L666" s="11">
        <v>400</v>
      </c>
      <c r="M666" s="22">
        <v>4.95</v>
      </c>
      <c r="N666" s="3" t="str">
        <f>IF(Table1[[#This Row],[Exchange_Rate]]&lt;5,"Strong Currency", IF(Table1[[#This Row],[Exchange_Rate]]&lt;=1000, "Medium Currency","Weak Currency"))</f>
        <v>Strong Currency</v>
      </c>
      <c r="O666" s="11">
        <f>(Table1[[#This Row],[Living_Cost_Index]]/123.3)*1850</f>
        <v>747.20194647201947</v>
      </c>
      <c r="P666" s="11">
        <f>Table1[[#This Row],[Monthly_Estimated_Living_cost]]*12</f>
        <v>8966.4233576642328</v>
      </c>
      <c r="Q666" s="13">
        <f>Table1[[#This Row],[Tuition_USD]]+Table1[[#This Row],[Rent_USD]]+Table1[[#This Row],[Insurance_USD]]+Table1[[#This Row],[Visa_Fee_USD]]+Table1[[#This Row],[Annual_Estimated_Living_cost]]</f>
        <v>9856.4233576642328</v>
      </c>
    </row>
    <row r="667" spans="1:17" x14ac:dyDescent="0.25">
      <c r="A667" s="2" t="s">
        <v>155</v>
      </c>
      <c r="B667" s="1" t="s">
        <v>932</v>
      </c>
      <c r="C667" s="1" t="s">
        <v>933</v>
      </c>
      <c r="D667" s="1" t="s">
        <v>207</v>
      </c>
      <c r="E667" s="1" t="s">
        <v>16</v>
      </c>
      <c r="F667" s="1">
        <v>2</v>
      </c>
      <c r="G667" s="1" t="str">
        <f>CONCATENATE(Table1[[#This Row],[Duration_Years]]," ","years")</f>
        <v>2 years</v>
      </c>
      <c r="H667" s="11">
        <v>1700</v>
      </c>
      <c r="I667" s="1">
        <v>42.4</v>
      </c>
      <c r="J667" s="11">
        <v>280</v>
      </c>
      <c r="K667" s="11">
        <v>180</v>
      </c>
      <c r="L667" s="11">
        <v>300</v>
      </c>
      <c r="M667" s="22">
        <v>82.75</v>
      </c>
      <c r="N667" s="3" t="str">
        <f>IF(Table1[[#This Row],[Exchange_Rate]]&lt;5,"Strong Currency", IF(Table1[[#This Row],[Exchange_Rate]]&lt;=1000, "Medium Currency","Weak Currency"))</f>
        <v>Medium Currency</v>
      </c>
      <c r="O667" s="11">
        <f>(Table1[[#This Row],[Living_Cost_Index]]/123.3)*1850</f>
        <v>636.17193836171941</v>
      </c>
      <c r="P667" s="11">
        <f>Table1[[#This Row],[Monthly_Estimated_Living_cost]]*12</f>
        <v>7634.063260340633</v>
      </c>
      <c r="Q667" s="13">
        <f>Table1[[#This Row],[Tuition_USD]]+Table1[[#This Row],[Rent_USD]]+Table1[[#This Row],[Insurance_USD]]+Table1[[#This Row],[Visa_Fee_USD]]+Table1[[#This Row],[Annual_Estimated_Living_cost]]</f>
        <v>10094.063260340634</v>
      </c>
    </row>
    <row r="668" spans="1:17" x14ac:dyDescent="0.25">
      <c r="A668" s="2" t="s">
        <v>351</v>
      </c>
      <c r="B668" s="1" t="s">
        <v>934</v>
      </c>
      <c r="C668" s="1" t="s">
        <v>935</v>
      </c>
      <c r="D668" s="1" t="s">
        <v>63</v>
      </c>
      <c r="E668" s="1" t="s">
        <v>16</v>
      </c>
      <c r="F668" s="1">
        <v>2</v>
      </c>
      <c r="G668" s="1" t="str">
        <f>CONCATENATE(Table1[[#This Row],[Duration_Years]]," ","years")</f>
        <v>2 years</v>
      </c>
      <c r="H668" s="11">
        <v>10000</v>
      </c>
      <c r="I668" s="1">
        <v>44.8</v>
      </c>
      <c r="J668" s="11">
        <v>300</v>
      </c>
      <c r="K668" s="11">
        <v>80</v>
      </c>
      <c r="L668" s="11">
        <v>350</v>
      </c>
      <c r="M668" s="22">
        <v>35.25</v>
      </c>
      <c r="N668" s="3" t="str">
        <f>IF(Table1[[#This Row],[Exchange_Rate]]&lt;5,"Strong Currency", IF(Table1[[#This Row],[Exchange_Rate]]&lt;=1000, "Medium Currency","Weak Currency"))</f>
        <v>Medium Currency</v>
      </c>
      <c r="O668" s="11">
        <f>(Table1[[#This Row],[Living_Cost_Index]]/123.3)*1850</f>
        <v>672.18167072181666</v>
      </c>
      <c r="P668" s="11">
        <f>Table1[[#This Row],[Monthly_Estimated_Living_cost]]*12</f>
        <v>8066.1800486617994</v>
      </c>
      <c r="Q668" s="13">
        <f>Table1[[#This Row],[Tuition_USD]]+Table1[[#This Row],[Rent_USD]]+Table1[[#This Row],[Insurance_USD]]+Table1[[#This Row],[Visa_Fee_USD]]+Table1[[#This Row],[Annual_Estimated_Living_cost]]</f>
        <v>18796.180048661801</v>
      </c>
    </row>
    <row r="669" spans="1:17" x14ac:dyDescent="0.25">
      <c r="A669" s="2" t="s">
        <v>366</v>
      </c>
      <c r="B669" s="1" t="s">
        <v>936</v>
      </c>
      <c r="C669" s="1" t="s">
        <v>937</v>
      </c>
      <c r="D669" s="1" t="s">
        <v>20</v>
      </c>
      <c r="E669" s="1" t="s">
        <v>1353</v>
      </c>
      <c r="F669" s="1">
        <v>4</v>
      </c>
      <c r="G669" s="1" t="str">
        <f>CONCATENATE(Table1[[#This Row],[Duration_Years]]," ","years")</f>
        <v>4 years</v>
      </c>
      <c r="H669" s="11">
        <v>2400</v>
      </c>
      <c r="I669" s="1">
        <v>31.2</v>
      </c>
      <c r="J669" s="11">
        <v>220</v>
      </c>
      <c r="K669" s="11">
        <v>100</v>
      </c>
      <c r="L669" s="11">
        <v>200</v>
      </c>
      <c r="M669" s="22">
        <v>30.9</v>
      </c>
      <c r="N669" s="3" t="str">
        <f>IF(Table1[[#This Row],[Exchange_Rate]]&lt;5,"Strong Currency", IF(Table1[[#This Row],[Exchange_Rate]]&lt;=1000, "Medium Currency","Weak Currency"))</f>
        <v>Medium Currency</v>
      </c>
      <c r="O669" s="11">
        <f>(Table1[[#This Row],[Living_Cost_Index]]/123.3)*1850</f>
        <v>468.12652068126528</v>
      </c>
      <c r="P669" s="11">
        <f>Table1[[#This Row],[Monthly_Estimated_Living_cost]]*12</f>
        <v>5617.5182481751835</v>
      </c>
      <c r="Q669" s="13">
        <f>Table1[[#This Row],[Tuition_USD]]+Table1[[#This Row],[Rent_USD]]+Table1[[#This Row],[Insurance_USD]]+Table1[[#This Row],[Visa_Fee_USD]]+Table1[[#This Row],[Annual_Estimated_Living_cost]]</f>
        <v>8537.5182481751835</v>
      </c>
    </row>
    <row r="670" spans="1:17" x14ac:dyDescent="0.25">
      <c r="A670" s="2" t="s">
        <v>41</v>
      </c>
      <c r="B670" s="1" t="s">
        <v>41</v>
      </c>
      <c r="C670" s="1" t="s">
        <v>938</v>
      </c>
      <c r="D670" s="1" t="s">
        <v>40</v>
      </c>
      <c r="E670" s="1" t="s">
        <v>16</v>
      </c>
      <c r="F670" s="1">
        <v>2</v>
      </c>
      <c r="G670" s="1" t="str">
        <f>CONCATENATE(Table1[[#This Row],[Duration_Years]]," ","years")</f>
        <v>2 years</v>
      </c>
      <c r="H670" s="11">
        <v>39000</v>
      </c>
      <c r="I670" s="1">
        <v>83.8</v>
      </c>
      <c r="J670" s="11">
        <v>1100</v>
      </c>
      <c r="K670" s="11">
        <v>90</v>
      </c>
      <c r="L670" s="11">
        <v>800</v>
      </c>
      <c r="M670" s="22">
        <v>1.35</v>
      </c>
      <c r="N670" s="3" t="str">
        <f>IF(Table1[[#This Row],[Exchange_Rate]]&lt;5,"Strong Currency", IF(Table1[[#This Row],[Exchange_Rate]]&lt;=1000, "Medium Currency","Weak Currency"))</f>
        <v>Strong Currency</v>
      </c>
      <c r="O670" s="11">
        <f>(Table1[[#This Row],[Living_Cost_Index]]/123.3)*1850</f>
        <v>1257.3398215733982</v>
      </c>
      <c r="P670" s="11">
        <f>Table1[[#This Row],[Monthly_Estimated_Living_cost]]*12</f>
        <v>15088.077858880779</v>
      </c>
      <c r="Q670" s="13">
        <f>Table1[[#This Row],[Tuition_USD]]+Table1[[#This Row],[Rent_USD]]+Table1[[#This Row],[Insurance_USD]]+Table1[[#This Row],[Visa_Fee_USD]]+Table1[[#This Row],[Annual_Estimated_Living_cost]]</f>
        <v>56078.077858880781</v>
      </c>
    </row>
    <row r="671" spans="1:17" x14ac:dyDescent="0.25">
      <c r="A671" s="2" t="s">
        <v>354</v>
      </c>
      <c r="B671" s="1" t="s">
        <v>939</v>
      </c>
      <c r="C671" s="1" t="s">
        <v>940</v>
      </c>
      <c r="D671" s="1" t="s">
        <v>215</v>
      </c>
      <c r="E671" s="1" t="s">
        <v>75</v>
      </c>
      <c r="F671" s="1">
        <v>4</v>
      </c>
      <c r="G671" s="1" t="str">
        <f>CONCATENATE(Table1[[#This Row],[Duration_Years]]," ","years")</f>
        <v>4 years</v>
      </c>
      <c r="H671" s="11">
        <v>23000</v>
      </c>
      <c r="I671" s="1">
        <v>65.400000000000006</v>
      </c>
      <c r="J671" s="11">
        <v>800</v>
      </c>
      <c r="K671" s="11">
        <v>270</v>
      </c>
      <c r="L671" s="11">
        <v>750</v>
      </c>
      <c r="M671" s="22">
        <v>3.67</v>
      </c>
      <c r="N671" s="3" t="str">
        <f>IF(Table1[[#This Row],[Exchange_Rate]]&lt;5,"Strong Currency", IF(Table1[[#This Row],[Exchange_Rate]]&lt;=1000, "Medium Currency","Weak Currency"))</f>
        <v>Strong Currency</v>
      </c>
      <c r="O671" s="11">
        <f>(Table1[[#This Row],[Living_Cost_Index]]/123.3)*1850</f>
        <v>981.26520681265208</v>
      </c>
      <c r="P671" s="11">
        <f>Table1[[#This Row],[Monthly_Estimated_Living_cost]]*12</f>
        <v>11775.182481751825</v>
      </c>
      <c r="Q671" s="13">
        <f>Table1[[#This Row],[Tuition_USD]]+Table1[[#This Row],[Rent_USD]]+Table1[[#This Row],[Insurance_USD]]+Table1[[#This Row],[Visa_Fee_USD]]+Table1[[#This Row],[Annual_Estimated_Living_cost]]</f>
        <v>36595.182481751821</v>
      </c>
    </row>
    <row r="672" spans="1:17" x14ac:dyDescent="0.25">
      <c r="A672" s="2" t="s">
        <v>335</v>
      </c>
      <c r="B672" s="1" t="s">
        <v>941</v>
      </c>
      <c r="C672" s="1" t="s">
        <v>942</v>
      </c>
      <c r="D672" s="1" t="s">
        <v>63</v>
      </c>
      <c r="E672" s="1" t="s">
        <v>16</v>
      </c>
      <c r="F672" s="1">
        <v>2</v>
      </c>
      <c r="G672" s="1" t="str">
        <f>CONCATENATE(Table1[[#This Row],[Duration_Years]]," ","years")</f>
        <v>2 years</v>
      </c>
      <c r="H672" s="11">
        <v>0</v>
      </c>
      <c r="I672" s="1">
        <v>47.5</v>
      </c>
      <c r="J672" s="11">
        <v>350</v>
      </c>
      <c r="K672" s="11">
        <v>90</v>
      </c>
      <c r="L672" s="11">
        <v>400</v>
      </c>
      <c r="M672" s="22">
        <v>4.95</v>
      </c>
      <c r="N672" s="3" t="str">
        <f>IF(Table1[[#This Row],[Exchange_Rate]]&lt;5,"Strong Currency", IF(Table1[[#This Row],[Exchange_Rate]]&lt;=1000, "Medium Currency","Weak Currency"))</f>
        <v>Strong Currency</v>
      </c>
      <c r="O672" s="11">
        <f>(Table1[[#This Row],[Living_Cost_Index]]/123.3)*1850</f>
        <v>712.69261962692622</v>
      </c>
      <c r="P672" s="11">
        <f>Table1[[#This Row],[Monthly_Estimated_Living_cost]]*12</f>
        <v>8552.3114355231155</v>
      </c>
      <c r="Q672" s="13">
        <f>Table1[[#This Row],[Tuition_USD]]+Table1[[#This Row],[Rent_USD]]+Table1[[#This Row],[Insurance_USD]]+Table1[[#This Row],[Visa_Fee_USD]]+Table1[[#This Row],[Annual_Estimated_Living_cost]]</f>
        <v>9392.3114355231155</v>
      </c>
    </row>
    <row r="673" spans="1:17" x14ac:dyDescent="0.25">
      <c r="A673" s="2" t="s">
        <v>155</v>
      </c>
      <c r="B673" s="1" t="s">
        <v>943</v>
      </c>
      <c r="C673" s="1" t="s">
        <v>944</v>
      </c>
      <c r="D673" s="1" t="s">
        <v>71</v>
      </c>
      <c r="E673" s="1" t="s">
        <v>1353</v>
      </c>
      <c r="F673" s="1">
        <v>4</v>
      </c>
      <c r="G673" s="1" t="str">
        <f>CONCATENATE(Table1[[#This Row],[Duration_Years]]," ","years")</f>
        <v>4 years</v>
      </c>
      <c r="H673" s="11">
        <v>1800</v>
      </c>
      <c r="I673" s="1">
        <v>41.2</v>
      </c>
      <c r="J673" s="11">
        <v>260</v>
      </c>
      <c r="K673" s="11">
        <v>180</v>
      </c>
      <c r="L673" s="11">
        <v>300</v>
      </c>
      <c r="M673" s="22">
        <v>82.75</v>
      </c>
      <c r="N673" s="3" t="str">
        <f>IF(Table1[[#This Row],[Exchange_Rate]]&lt;5,"Strong Currency", IF(Table1[[#This Row],[Exchange_Rate]]&lt;=1000, "Medium Currency","Weak Currency"))</f>
        <v>Medium Currency</v>
      </c>
      <c r="O673" s="11">
        <f>(Table1[[#This Row],[Living_Cost_Index]]/123.3)*1850</f>
        <v>618.16707218167073</v>
      </c>
      <c r="P673" s="11">
        <f>Table1[[#This Row],[Monthly_Estimated_Living_cost]]*12</f>
        <v>7418.0048661800483</v>
      </c>
      <c r="Q673" s="13">
        <f>Table1[[#This Row],[Tuition_USD]]+Table1[[#This Row],[Rent_USD]]+Table1[[#This Row],[Insurance_USD]]+Table1[[#This Row],[Visa_Fee_USD]]+Table1[[#This Row],[Annual_Estimated_Living_cost]]</f>
        <v>9958.0048661800483</v>
      </c>
    </row>
    <row r="674" spans="1:17" x14ac:dyDescent="0.25">
      <c r="A674" s="2" t="s">
        <v>351</v>
      </c>
      <c r="B674" s="1" t="s">
        <v>945</v>
      </c>
      <c r="C674" s="1" t="s">
        <v>935</v>
      </c>
      <c r="D674" s="1" t="s">
        <v>207</v>
      </c>
      <c r="E674" s="1" t="s">
        <v>75</v>
      </c>
      <c r="F674" s="1">
        <v>4</v>
      </c>
      <c r="G674" s="1" t="str">
        <f>CONCATENATE(Table1[[#This Row],[Duration_Years]]," ","years")</f>
        <v>4 years</v>
      </c>
      <c r="H674" s="11">
        <v>9500</v>
      </c>
      <c r="I674" s="1">
        <v>43.2</v>
      </c>
      <c r="J674" s="11">
        <v>280</v>
      </c>
      <c r="K674" s="11">
        <v>80</v>
      </c>
      <c r="L674" s="11">
        <v>350</v>
      </c>
      <c r="M674" s="22">
        <v>35.25</v>
      </c>
      <c r="N674" s="3" t="str">
        <f>IF(Table1[[#This Row],[Exchange_Rate]]&lt;5,"Strong Currency", IF(Table1[[#This Row],[Exchange_Rate]]&lt;=1000, "Medium Currency","Weak Currency"))</f>
        <v>Medium Currency</v>
      </c>
      <c r="O674" s="11">
        <f>(Table1[[#This Row],[Living_Cost_Index]]/123.3)*1850</f>
        <v>648.1751824817519</v>
      </c>
      <c r="P674" s="11">
        <f>Table1[[#This Row],[Monthly_Estimated_Living_cost]]*12</f>
        <v>7778.1021897810224</v>
      </c>
      <c r="Q674" s="13">
        <f>Table1[[#This Row],[Tuition_USD]]+Table1[[#This Row],[Rent_USD]]+Table1[[#This Row],[Insurance_USD]]+Table1[[#This Row],[Visa_Fee_USD]]+Table1[[#This Row],[Annual_Estimated_Living_cost]]</f>
        <v>17988.102189781021</v>
      </c>
    </row>
    <row r="675" spans="1:17" x14ac:dyDescent="0.25">
      <c r="A675" s="2" t="s">
        <v>366</v>
      </c>
      <c r="B675" s="1" t="s">
        <v>946</v>
      </c>
      <c r="C675" s="1" t="s">
        <v>947</v>
      </c>
      <c r="D675" s="1" t="s">
        <v>15</v>
      </c>
      <c r="E675" s="1" t="s">
        <v>16</v>
      </c>
      <c r="F675" s="1">
        <v>2</v>
      </c>
      <c r="G675" s="1" t="str">
        <f>CONCATENATE(Table1[[#This Row],[Duration_Years]]," ","years")</f>
        <v>2 years</v>
      </c>
      <c r="H675" s="11">
        <v>2100</v>
      </c>
      <c r="I675" s="1">
        <v>29.8</v>
      </c>
      <c r="J675" s="11">
        <v>180</v>
      </c>
      <c r="K675" s="11">
        <v>100</v>
      </c>
      <c r="L675" s="11">
        <v>200</v>
      </c>
      <c r="M675" s="22">
        <v>30.9</v>
      </c>
      <c r="N675" s="3" t="str">
        <f>IF(Table1[[#This Row],[Exchange_Rate]]&lt;5,"Strong Currency", IF(Table1[[#This Row],[Exchange_Rate]]&lt;=1000, "Medium Currency","Weak Currency"))</f>
        <v>Medium Currency</v>
      </c>
      <c r="O675" s="11">
        <f>(Table1[[#This Row],[Living_Cost_Index]]/123.3)*1850</f>
        <v>447.12084347120845</v>
      </c>
      <c r="P675" s="11">
        <f>Table1[[#This Row],[Monthly_Estimated_Living_cost]]*12</f>
        <v>5365.4501216545013</v>
      </c>
      <c r="Q675" s="13">
        <f>Table1[[#This Row],[Tuition_USD]]+Table1[[#This Row],[Rent_USD]]+Table1[[#This Row],[Insurance_USD]]+Table1[[#This Row],[Visa_Fee_USD]]+Table1[[#This Row],[Annual_Estimated_Living_cost]]</f>
        <v>7945.4501216545013</v>
      </c>
    </row>
    <row r="676" spans="1:17" x14ac:dyDescent="0.25">
      <c r="A676" s="2" t="s">
        <v>41</v>
      </c>
      <c r="B676" s="1" t="s">
        <v>41</v>
      </c>
      <c r="C676" s="1" t="s">
        <v>407</v>
      </c>
      <c r="D676" s="1" t="s">
        <v>136</v>
      </c>
      <c r="E676" s="1" t="s">
        <v>1353</v>
      </c>
      <c r="F676" s="1">
        <v>4</v>
      </c>
      <c r="G676" s="1" t="str">
        <f>CONCATENATE(Table1[[#This Row],[Duration_Years]]," ","years")</f>
        <v>4 years</v>
      </c>
      <c r="H676" s="11">
        <v>37000</v>
      </c>
      <c r="I676" s="1">
        <v>83.8</v>
      </c>
      <c r="J676" s="11">
        <v>1050</v>
      </c>
      <c r="K676" s="11">
        <v>90</v>
      </c>
      <c r="L676" s="11">
        <v>800</v>
      </c>
      <c r="M676" s="22">
        <v>1.35</v>
      </c>
      <c r="N676" s="3" t="str">
        <f>IF(Table1[[#This Row],[Exchange_Rate]]&lt;5,"Strong Currency", IF(Table1[[#This Row],[Exchange_Rate]]&lt;=1000, "Medium Currency","Weak Currency"))</f>
        <v>Strong Currency</v>
      </c>
      <c r="O676" s="11">
        <f>(Table1[[#This Row],[Living_Cost_Index]]/123.3)*1850</f>
        <v>1257.3398215733982</v>
      </c>
      <c r="P676" s="11">
        <f>Table1[[#This Row],[Monthly_Estimated_Living_cost]]*12</f>
        <v>15088.077858880779</v>
      </c>
      <c r="Q676" s="13">
        <f>Table1[[#This Row],[Tuition_USD]]+Table1[[#This Row],[Rent_USD]]+Table1[[#This Row],[Insurance_USD]]+Table1[[#This Row],[Visa_Fee_USD]]+Table1[[#This Row],[Annual_Estimated_Living_cost]]</f>
        <v>54028.077858880781</v>
      </c>
    </row>
    <row r="677" spans="1:17" x14ac:dyDescent="0.25">
      <c r="A677" s="2" t="s">
        <v>354</v>
      </c>
      <c r="B677" s="1" t="s">
        <v>948</v>
      </c>
      <c r="C677" s="1" t="s">
        <v>949</v>
      </c>
      <c r="D677" s="1" t="s">
        <v>20</v>
      </c>
      <c r="E677" s="1" t="s">
        <v>16</v>
      </c>
      <c r="F677" s="1">
        <v>2</v>
      </c>
      <c r="G677" s="1" t="str">
        <f>CONCATENATE(Table1[[#This Row],[Duration_Years]]," ","years")</f>
        <v>2 years</v>
      </c>
      <c r="H677" s="11">
        <v>24000</v>
      </c>
      <c r="I677" s="1">
        <v>64.2</v>
      </c>
      <c r="J677" s="11">
        <v>750</v>
      </c>
      <c r="K677" s="11">
        <v>270</v>
      </c>
      <c r="L677" s="11">
        <v>750</v>
      </c>
      <c r="M677" s="22">
        <v>3.67</v>
      </c>
      <c r="N677" s="3" t="str">
        <f>IF(Table1[[#This Row],[Exchange_Rate]]&lt;5,"Strong Currency", IF(Table1[[#This Row],[Exchange_Rate]]&lt;=1000, "Medium Currency","Weak Currency"))</f>
        <v>Strong Currency</v>
      </c>
      <c r="O677" s="11">
        <f>(Table1[[#This Row],[Living_Cost_Index]]/123.3)*1850</f>
        <v>963.26034063260352</v>
      </c>
      <c r="P677" s="11">
        <f>Table1[[#This Row],[Monthly_Estimated_Living_cost]]*12</f>
        <v>11559.124087591243</v>
      </c>
      <c r="Q677" s="13">
        <f>Table1[[#This Row],[Tuition_USD]]+Table1[[#This Row],[Rent_USD]]+Table1[[#This Row],[Insurance_USD]]+Table1[[#This Row],[Visa_Fee_USD]]+Table1[[#This Row],[Annual_Estimated_Living_cost]]</f>
        <v>37329.124087591241</v>
      </c>
    </row>
    <row r="678" spans="1:17" x14ac:dyDescent="0.25">
      <c r="A678" s="2" t="s">
        <v>335</v>
      </c>
      <c r="B678" s="1" t="s">
        <v>950</v>
      </c>
      <c r="C678" s="1" t="s">
        <v>951</v>
      </c>
      <c r="D678" s="1" t="s">
        <v>222</v>
      </c>
      <c r="E678" s="1" t="s">
        <v>1353</v>
      </c>
      <c r="F678" s="1">
        <v>4</v>
      </c>
      <c r="G678" s="1" t="str">
        <f>CONCATENATE(Table1[[#This Row],[Duration_Years]]," ","years")</f>
        <v>4 years</v>
      </c>
      <c r="H678" s="11">
        <v>0</v>
      </c>
      <c r="I678" s="1">
        <v>48.9</v>
      </c>
      <c r="J678" s="11">
        <v>400</v>
      </c>
      <c r="K678" s="11">
        <v>90</v>
      </c>
      <c r="L678" s="11">
        <v>400</v>
      </c>
      <c r="M678" s="22">
        <v>4.95</v>
      </c>
      <c r="N678" s="3" t="str">
        <f>IF(Table1[[#This Row],[Exchange_Rate]]&lt;5,"Strong Currency", IF(Table1[[#This Row],[Exchange_Rate]]&lt;=1000, "Medium Currency","Weak Currency"))</f>
        <v>Strong Currency</v>
      </c>
      <c r="O678" s="11">
        <f>(Table1[[#This Row],[Living_Cost_Index]]/123.3)*1850</f>
        <v>733.69829683698299</v>
      </c>
      <c r="P678" s="11">
        <f>Table1[[#This Row],[Monthly_Estimated_Living_cost]]*12</f>
        <v>8804.3795620437959</v>
      </c>
      <c r="Q678" s="13">
        <f>Table1[[#This Row],[Tuition_USD]]+Table1[[#This Row],[Rent_USD]]+Table1[[#This Row],[Insurance_USD]]+Table1[[#This Row],[Visa_Fee_USD]]+Table1[[#This Row],[Annual_Estimated_Living_cost]]</f>
        <v>9694.3795620437959</v>
      </c>
    </row>
    <row r="679" spans="1:17" x14ac:dyDescent="0.25">
      <c r="A679" s="2" t="s">
        <v>155</v>
      </c>
      <c r="B679" s="1" t="s">
        <v>952</v>
      </c>
      <c r="C679" s="1" t="s">
        <v>953</v>
      </c>
      <c r="D679" s="1" t="s">
        <v>15</v>
      </c>
      <c r="E679" s="1" t="s">
        <v>16</v>
      </c>
      <c r="F679" s="1">
        <v>2</v>
      </c>
      <c r="G679" s="1" t="str">
        <f>CONCATENATE(Table1[[#This Row],[Duration_Years]]," ","years")</f>
        <v>2 years</v>
      </c>
      <c r="H679" s="11">
        <v>1600</v>
      </c>
      <c r="I679" s="1">
        <v>40.5</v>
      </c>
      <c r="J679" s="11">
        <v>250</v>
      </c>
      <c r="K679" s="11">
        <v>180</v>
      </c>
      <c r="L679" s="11">
        <v>300</v>
      </c>
      <c r="M679" s="22">
        <v>82.75</v>
      </c>
      <c r="N679" s="3" t="str">
        <f>IF(Table1[[#This Row],[Exchange_Rate]]&lt;5,"Strong Currency", IF(Table1[[#This Row],[Exchange_Rate]]&lt;=1000, "Medium Currency","Weak Currency"))</f>
        <v>Medium Currency</v>
      </c>
      <c r="O679" s="11">
        <f>(Table1[[#This Row],[Living_Cost_Index]]/123.3)*1850</f>
        <v>607.66423357664235</v>
      </c>
      <c r="P679" s="11">
        <f>Table1[[#This Row],[Monthly_Estimated_Living_cost]]*12</f>
        <v>7291.9708029197081</v>
      </c>
      <c r="Q679" s="13">
        <f>Table1[[#This Row],[Tuition_USD]]+Table1[[#This Row],[Rent_USD]]+Table1[[#This Row],[Insurance_USD]]+Table1[[#This Row],[Visa_Fee_USD]]+Table1[[#This Row],[Annual_Estimated_Living_cost]]</f>
        <v>9621.9708029197081</v>
      </c>
    </row>
    <row r="680" spans="1:17" x14ac:dyDescent="0.25">
      <c r="A680" s="2" t="s">
        <v>351</v>
      </c>
      <c r="B680" s="1" t="s">
        <v>954</v>
      </c>
      <c r="C680" s="1" t="s">
        <v>955</v>
      </c>
      <c r="D680" s="1" t="s">
        <v>251</v>
      </c>
      <c r="E680" s="1" t="s">
        <v>16</v>
      </c>
      <c r="F680" s="1">
        <v>2</v>
      </c>
      <c r="G680" s="1" t="str">
        <f>CONCATENATE(Table1[[#This Row],[Duration_Years]]," ","years")</f>
        <v>2 years</v>
      </c>
      <c r="H680" s="11">
        <v>9000</v>
      </c>
      <c r="I680" s="1">
        <v>41.8</v>
      </c>
      <c r="J680" s="11">
        <v>250</v>
      </c>
      <c r="K680" s="11">
        <v>80</v>
      </c>
      <c r="L680" s="11">
        <v>350</v>
      </c>
      <c r="M680" s="22">
        <v>35.25</v>
      </c>
      <c r="N680" s="3" t="str">
        <f>IF(Table1[[#This Row],[Exchange_Rate]]&lt;5,"Strong Currency", IF(Table1[[#This Row],[Exchange_Rate]]&lt;=1000, "Medium Currency","Weak Currency"))</f>
        <v>Medium Currency</v>
      </c>
      <c r="O680" s="11">
        <f>(Table1[[#This Row],[Living_Cost_Index]]/123.3)*1850</f>
        <v>627.16950527169513</v>
      </c>
      <c r="P680" s="11">
        <f>Table1[[#This Row],[Monthly_Estimated_Living_cost]]*12</f>
        <v>7526.034063260342</v>
      </c>
      <c r="Q680" s="13">
        <f>Table1[[#This Row],[Tuition_USD]]+Table1[[#This Row],[Rent_USD]]+Table1[[#This Row],[Insurance_USD]]+Table1[[#This Row],[Visa_Fee_USD]]+Table1[[#This Row],[Annual_Estimated_Living_cost]]</f>
        <v>17206.03406326034</v>
      </c>
    </row>
    <row r="681" spans="1:17" x14ac:dyDescent="0.25">
      <c r="A681" s="2" t="s">
        <v>366</v>
      </c>
      <c r="B681" s="1" t="s">
        <v>956</v>
      </c>
      <c r="C681" s="1" t="s">
        <v>957</v>
      </c>
      <c r="D681" s="1" t="s">
        <v>215</v>
      </c>
      <c r="E681" s="1" t="s">
        <v>75</v>
      </c>
      <c r="F681" s="1">
        <v>4</v>
      </c>
      <c r="G681" s="1" t="str">
        <f>CONCATENATE(Table1[[#This Row],[Duration_Years]]," ","years")</f>
        <v>4 years</v>
      </c>
      <c r="H681" s="11">
        <v>2000</v>
      </c>
      <c r="I681" s="1">
        <v>28.5</v>
      </c>
      <c r="J681" s="11">
        <v>170</v>
      </c>
      <c r="K681" s="11">
        <v>100</v>
      </c>
      <c r="L681" s="11">
        <v>200</v>
      </c>
      <c r="M681" s="22">
        <v>30.9</v>
      </c>
      <c r="N681" s="3" t="str">
        <f>IF(Table1[[#This Row],[Exchange_Rate]]&lt;5,"Strong Currency", IF(Table1[[#This Row],[Exchange_Rate]]&lt;=1000, "Medium Currency","Weak Currency"))</f>
        <v>Medium Currency</v>
      </c>
      <c r="O681" s="11">
        <f>(Table1[[#This Row],[Living_Cost_Index]]/123.3)*1850</f>
        <v>427.61557177615572</v>
      </c>
      <c r="P681" s="11">
        <f>Table1[[#This Row],[Monthly_Estimated_Living_cost]]*12</f>
        <v>5131.3868613138684</v>
      </c>
      <c r="Q681" s="13">
        <f>Table1[[#This Row],[Tuition_USD]]+Table1[[#This Row],[Rent_USD]]+Table1[[#This Row],[Insurance_USD]]+Table1[[#This Row],[Visa_Fee_USD]]+Table1[[#This Row],[Annual_Estimated_Living_cost]]</f>
        <v>7601.3868613138684</v>
      </c>
    </row>
    <row r="682" spans="1:17" x14ac:dyDescent="0.25">
      <c r="A682" s="2" t="s">
        <v>41</v>
      </c>
      <c r="B682" s="1" t="s">
        <v>41</v>
      </c>
      <c r="C682" s="1" t="s">
        <v>958</v>
      </c>
      <c r="D682" s="1" t="s">
        <v>207</v>
      </c>
      <c r="E682" s="1" t="s">
        <v>75</v>
      </c>
      <c r="F682" s="1">
        <v>4</v>
      </c>
      <c r="G682" s="1" t="str">
        <f>CONCATENATE(Table1[[#This Row],[Duration_Years]]," ","years")</f>
        <v>4 years</v>
      </c>
      <c r="H682" s="11">
        <v>35000</v>
      </c>
      <c r="I682" s="1">
        <v>83.8</v>
      </c>
      <c r="J682" s="11">
        <v>1000</v>
      </c>
      <c r="K682" s="11">
        <v>90</v>
      </c>
      <c r="L682" s="11">
        <v>800</v>
      </c>
      <c r="M682" s="22">
        <v>1.35</v>
      </c>
      <c r="N682" s="3" t="str">
        <f>IF(Table1[[#This Row],[Exchange_Rate]]&lt;5,"Strong Currency", IF(Table1[[#This Row],[Exchange_Rate]]&lt;=1000, "Medium Currency","Weak Currency"))</f>
        <v>Strong Currency</v>
      </c>
      <c r="O682" s="11">
        <f>(Table1[[#This Row],[Living_Cost_Index]]/123.3)*1850</f>
        <v>1257.3398215733982</v>
      </c>
      <c r="P682" s="11">
        <f>Table1[[#This Row],[Monthly_Estimated_Living_cost]]*12</f>
        <v>15088.077858880779</v>
      </c>
      <c r="Q682" s="13">
        <f>Table1[[#This Row],[Tuition_USD]]+Table1[[#This Row],[Rent_USD]]+Table1[[#This Row],[Insurance_USD]]+Table1[[#This Row],[Visa_Fee_USD]]+Table1[[#This Row],[Annual_Estimated_Living_cost]]</f>
        <v>51978.077858880781</v>
      </c>
    </row>
    <row r="683" spans="1:17" x14ac:dyDescent="0.25">
      <c r="A683" s="2" t="s">
        <v>354</v>
      </c>
      <c r="B683" s="1" t="s">
        <v>959</v>
      </c>
      <c r="C683" s="1" t="s">
        <v>960</v>
      </c>
      <c r="D683" s="1" t="s">
        <v>63</v>
      </c>
      <c r="E683" s="1" t="s">
        <v>16</v>
      </c>
      <c r="F683" s="1">
        <v>2</v>
      </c>
      <c r="G683" s="1" t="str">
        <f>CONCATENATE(Table1[[#This Row],[Duration_Years]]," ","years")</f>
        <v>2 years</v>
      </c>
      <c r="H683" s="11">
        <v>22000</v>
      </c>
      <c r="I683" s="1">
        <v>62.5</v>
      </c>
      <c r="J683" s="11">
        <v>700</v>
      </c>
      <c r="K683" s="11">
        <v>270</v>
      </c>
      <c r="L683" s="11">
        <v>750</v>
      </c>
      <c r="M683" s="22">
        <v>3.67</v>
      </c>
      <c r="N683" s="3" t="str">
        <f>IF(Table1[[#This Row],[Exchange_Rate]]&lt;5,"Strong Currency", IF(Table1[[#This Row],[Exchange_Rate]]&lt;=1000, "Medium Currency","Weak Currency"))</f>
        <v>Strong Currency</v>
      </c>
      <c r="O683" s="11">
        <f>(Table1[[#This Row],[Living_Cost_Index]]/123.3)*1850</f>
        <v>937.75344687753443</v>
      </c>
      <c r="P683" s="11">
        <f>Table1[[#This Row],[Monthly_Estimated_Living_cost]]*12</f>
        <v>11253.041362530414</v>
      </c>
      <c r="Q683" s="13">
        <f>Table1[[#This Row],[Tuition_USD]]+Table1[[#This Row],[Rent_USD]]+Table1[[#This Row],[Insurance_USD]]+Table1[[#This Row],[Visa_Fee_USD]]+Table1[[#This Row],[Annual_Estimated_Living_cost]]</f>
        <v>34973.041362530414</v>
      </c>
    </row>
    <row r="684" spans="1:17" x14ac:dyDescent="0.25">
      <c r="A684" s="2" t="s">
        <v>335</v>
      </c>
      <c r="B684" s="1" t="s">
        <v>961</v>
      </c>
      <c r="C684" s="1" t="s">
        <v>962</v>
      </c>
      <c r="D684" s="1" t="s">
        <v>20</v>
      </c>
      <c r="E684" s="1" t="s">
        <v>16</v>
      </c>
      <c r="F684" s="1">
        <v>2</v>
      </c>
      <c r="G684" s="1" t="str">
        <f>CONCATENATE(Table1[[#This Row],[Duration_Years]]," ","years")</f>
        <v>2 years</v>
      </c>
      <c r="H684" s="11">
        <v>0</v>
      </c>
      <c r="I684" s="1">
        <v>46.8</v>
      </c>
      <c r="J684" s="11">
        <v>380</v>
      </c>
      <c r="K684" s="11">
        <v>90</v>
      </c>
      <c r="L684" s="11">
        <v>400</v>
      </c>
      <c r="M684" s="22">
        <v>4.95</v>
      </c>
      <c r="N684" s="3" t="str">
        <f>IF(Table1[[#This Row],[Exchange_Rate]]&lt;5,"Strong Currency", IF(Table1[[#This Row],[Exchange_Rate]]&lt;=1000, "Medium Currency","Weak Currency"))</f>
        <v>Strong Currency</v>
      </c>
      <c r="O684" s="11">
        <f>(Table1[[#This Row],[Living_Cost_Index]]/123.3)*1850</f>
        <v>702.18978102189783</v>
      </c>
      <c r="P684" s="11">
        <f>Table1[[#This Row],[Monthly_Estimated_Living_cost]]*12</f>
        <v>8426.2773722627735</v>
      </c>
      <c r="Q684" s="13">
        <f>Table1[[#This Row],[Tuition_USD]]+Table1[[#This Row],[Rent_USD]]+Table1[[#This Row],[Insurance_USD]]+Table1[[#This Row],[Visa_Fee_USD]]+Table1[[#This Row],[Annual_Estimated_Living_cost]]</f>
        <v>9296.2773722627735</v>
      </c>
    </row>
    <row r="685" spans="1:17" x14ac:dyDescent="0.25">
      <c r="A685" s="2" t="s">
        <v>155</v>
      </c>
      <c r="B685" s="1" t="s">
        <v>963</v>
      </c>
      <c r="C685" s="1" t="s">
        <v>964</v>
      </c>
      <c r="D685" s="1" t="s">
        <v>40</v>
      </c>
      <c r="E685" s="1" t="s">
        <v>1353</v>
      </c>
      <c r="F685" s="1">
        <v>4</v>
      </c>
      <c r="G685" s="1" t="str">
        <f>CONCATENATE(Table1[[#This Row],[Duration_Years]]," ","years")</f>
        <v>4 years</v>
      </c>
      <c r="H685" s="11">
        <v>1900</v>
      </c>
      <c r="I685" s="1">
        <v>39.799999999999997</v>
      </c>
      <c r="J685" s="11">
        <v>240</v>
      </c>
      <c r="K685" s="11">
        <v>180</v>
      </c>
      <c r="L685" s="11">
        <v>300</v>
      </c>
      <c r="M685" s="22">
        <v>82.75</v>
      </c>
      <c r="N685" s="3" t="str">
        <f>IF(Table1[[#This Row],[Exchange_Rate]]&lt;5,"Strong Currency", IF(Table1[[#This Row],[Exchange_Rate]]&lt;=1000, "Medium Currency","Weak Currency"))</f>
        <v>Medium Currency</v>
      </c>
      <c r="O685" s="11">
        <f>(Table1[[#This Row],[Living_Cost_Index]]/123.3)*1850</f>
        <v>597.16139497161384</v>
      </c>
      <c r="P685" s="11">
        <f>Table1[[#This Row],[Monthly_Estimated_Living_cost]]*12</f>
        <v>7165.9367396593661</v>
      </c>
      <c r="Q685" s="13">
        <f>Table1[[#This Row],[Tuition_USD]]+Table1[[#This Row],[Rent_USD]]+Table1[[#This Row],[Insurance_USD]]+Table1[[#This Row],[Visa_Fee_USD]]+Table1[[#This Row],[Annual_Estimated_Living_cost]]</f>
        <v>9785.9367396593661</v>
      </c>
    </row>
    <row r="686" spans="1:17" x14ac:dyDescent="0.25">
      <c r="A686" s="2" t="s">
        <v>351</v>
      </c>
      <c r="B686" s="1" t="s">
        <v>965</v>
      </c>
      <c r="C686" s="1" t="s">
        <v>966</v>
      </c>
      <c r="D686" s="1" t="s">
        <v>63</v>
      </c>
      <c r="E686" s="1" t="s">
        <v>75</v>
      </c>
      <c r="F686" s="1">
        <v>4</v>
      </c>
      <c r="G686" s="1" t="str">
        <f>CONCATENATE(Table1[[#This Row],[Duration_Years]]," ","years")</f>
        <v>4 years</v>
      </c>
      <c r="H686" s="11">
        <v>8500</v>
      </c>
      <c r="I686" s="1">
        <v>42.5</v>
      </c>
      <c r="J686" s="11">
        <v>270</v>
      </c>
      <c r="K686" s="11">
        <v>80</v>
      </c>
      <c r="L686" s="11">
        <v>350</v>
      </c>
      <c r="M686" s="22">
        <v>35.25</v>
      </c>
      <c r="N686" s="3" t="str">
        <f>IF(Table1[[#This Row],[Exchange_Rate]]&lt;5,"Strong Currency", IF(Table1[[#This Row],[Exchange_Rate]]&lt;=1000, "Medium Currency","Weak Currency"))</f>
        <v>Medium Currency</v>
      </c>
      <c r="O686" s="11">
        <f>(Table1[[#This Row],[Living_Cost_Index]]/123.3)*1850</f>
        <v>637.6723438767234</v>
      </c>
      <c r="P686" s="11">
        <f>Table1[[#This Row],[Monthly_Estimated_Living_cost]]*12</f>
        <v>7652.0681265206804</v>
      </c>
      <c r="Q686" s="13">
        <f>Table1[[#This Row],[Tuition_USD]]+Table1[[#This Row],[Rent_USD]]+Table1[[#This Row],[Insurance_USD]]+Table1[[#This Row],[Visa_Fee_USD]]+Table1[[#This Row],[Annual_Estimated_Living_cost]]</f>
        <v>16852.06812652068</v>
      </c>
    </row>
    <row r="687" spans="1:17" x14ac:dyDescent="0.25">
      <c r="A687" s="2" t="s">
        <v>366</v>
      </c>
      <c r="B687" s="1" t="s">
        <v>967</v>
      </c>
      <c r="C687" s="1" t="s">
        <v>968</v>
      </c>
      <c r="D687" s="1" t="s">
        <v>71</v>
      </c>
      <c r="E687" s="1" t="s">
        <v>16</v>
      </c>
      <c r="F687" s="1">
        <v>2</v>
      </c>
      <c r="G687" s="1" t="str">
        <f>CONCATENATE(Table1[[#This Row],[Duration_Years]]," ","years")</f>
        <v>2 years</v>
      </c>
      <c r="H687" s="11">
        <v>1900</v>
      </c>
      <c r="I687" s="1">
        <v>27.8</v>
      </c>
      <c r="J687" s="11">
        <v>160</v>
      </c>
      <c r="K687" s="11">
        <v>100</v>
      </c>
      <c r="L687" s="11">
        <v>200</v>
      </c>
      <c r="M687" s="22">
        <v>30.9</v>
      </c>
      <c r="N687" s="3" t="str">
        <f>IF(Table1[[#This Row],[Exchange_Rate]]&lt;5,"Strong Currency", IF(Table1[[#This Row],[Exchange_Rate]]&lt;=1000, "Medium Currency","Weak Currency"))</f>
        <v>Medium Currency</v>
      </c>
      <c r="O687" s="11">
        <f>(Table1[[#This Row],[Living_Cost_Index]]/123.3)*1850</f>
        <v>417.11273317112739</v>
      </c>
      <c r="P687" s="11">
        <f>Table1[[#This Row],[Monthly_Estimated_Living_cost]]*12</f>
        <v>5005.3527980535291</v>
      </c>
      <c r="Q687" s="13">
        <f>Table1[[#This Row],[Tuition_USD]]+Table1[[#This Row],[Rent_USD]]+Table1[[#This Row],[Insurance_USD]]+Table1[[#This Row],[Visa_Fee_USD]]+Table1[[#This Row],[Annual_Estimated_Living_cost]]</f>
        <v>7365.3527980535291</v>
      </c>
    </row>
    <row r="688" spans="1:17" x14ac:dyDescent="0.25">
      <c r="A688" s="2" t="s">
        <v>354</v>
      </c>
      <c r="B688" s="1" t="s">
        <v>969</v>
      </c>
      <c r="C688" s="1" t="s">
        <v>970</v>
      </c>
      <c r="D688" s="1" t="s">
        <v>222</v>
      </c>
      <c r="E688" s="1" t="s">
        <v>75</v>
      </c>
      <c r="F688" s="1">
        <v>4</v>
      </c>
      <c r="G688" s="1" t="str">
        <f>CONCATENATE(Table1[[#This Row],[Duration_Years]]," ","years")</f>
        <v>4 years</v>
      </c>
      <c r="H688" s="11">
        <v>21000</v>
      </c>
      <c r="I688" s="1">
        <v>61.4</v>
      </c>
      <c r="J688" s="11">
        <v>650</v>
      </c>
      <c r="K688" s="11">
        <v>270</v>
      </c>
      <c r="L688" s="11">
        <v>750</v>
      </c>
      <c r="M688" s="22">
        <v>3.67</v>
      </c>
      <c r="N688" s="3" t="str">
        <f>IF(Table1[[#This Row],[Exchange_Rate]]&lt;5,"Strong Currency", IF(Table1[[#This Row],[Exchange_Rate]]&lt;=1000, "Medium Currency","Weak Currency"))</f>
        <v>Strong Currency</v>
      </c>
      <c r="O688" s="11">
        <f>(Table1[[#This Row],[Living_Cost_Index]]/123.3)*1850</f>
        <v>921.24898621248985</v>
      </c>
      <c r="P688" s="11">
        <f>Table1[[#This Row],[Monthly_Estimated_Living_cost]]*12</f>
        <v>11054.987834549878</v>
      </c>
      <c r="Q688" s="13">
        <f>Table1[[#This Row],[Tuition_USD]]+Table1[[#This Row],[Rent_USD]]+Table1[[#This Row],[Insurance_USD]]+Table1[[#This Row],[Visa_Fee_USD]]+Table1[[#This Row],[Annual_Estimated_Living_cost]]</f>
        <v>33724.98783454988</v>
      </c>
    </row>
    <row r="689" spans="1:17" x14ac:dyDescent="0.25">
      <c r="A689" s="2" t="s">
        <v>971</v>
      </c>
      <c r="B689" s="1" t="s">
        <v>972</v>
      </c>
      <c r="C689" s="1" t="s">
        <v>973</v>
      </c>
      <c r="D689" s="1" t="s">
        <v>15</v>
      </c>
      <c r="E689" s="1" t="s">
        <v>16</v>
      </c>
      <c r="F689" s="1">
        <v>2</v>
      </c>
      <c r="G689" s="1" t="str">
        <f>CONCATENATE(Table1[[#This Row],[Duration_Years]]," ","years")</f>
        <v>2 years</v>
      </c>
      <c r="H689" s="11">
        <v>0</v>
      </c>
      <c r="I689" s="1">
        <v>84.5</v>
      </c>
      <c r="J689" s="11">
        <v>1200</v>
      </c>
      <c r="K689" s="11">
        <v>140</v>
      </c>
      <c r="L689" s="11">
        <v>900</v>
      </c>
      <c r="M689" s="22">
        <v>137.5</v>
      </c>
      <c r="N689" s="3" t="str">
        <f>IF(Table1[[#This Row],[Exchange_Rate]]&lt;5,"Strong Currency", IF(Table1[[#This Row],[Exchange_Rate]]&lt;=1000, "Medium Currency","Weak Currency"))</f>
        <v>Medium Currency</v>
      </c>
      <c r="O689" s="11">
        <f>(Table1[[#This Row],[Living_Cost_Index]]/123.3)*1850</f>
        <v>1267.8426601784267</v>
      </c>
      <c r="P689" s="11">
        <f>Table1[[#This Row],[Monthly_Estimated_Living_cost]]*12</f>
        <v>15214.111922141121</v>
      </c>
      <c r="Q689" s="13">
        <f>Table1[[#This Row],[Tuition_USD]]+Table1[[#This Row],[Rent_USD]]+Table1[[#This Row],[Insurance_USD]]+Table1[[#This Row],[Visa_Fee_USD]]+Table1[[#This Row],[Annual_Estimated_Living_cost]]</f>
        <v>17454.111922141121</v>
      </c>
    </row>
    <row r="690" spans="1:17" x14ac:dyDescent="0.25">
      <c r="A690" s="2" t="s">
        <v>974</v>
      </c>
      <c r="B690" s="1" t="s">
        <v>975</v>
      </c>
      <c r="C690" s="1" t="s">
        <v>976</v>
      </c>
      <c r="D690" s="1" t="s">
        <v>207</v>
      </c>
      <c r="E690" s="1" t="s">
        <v>16</v>
      </c>
      <c r="F690" s="1">
        <v>2</v>
      </c>
      <c r="G690" s="1" t="str">
        <f>CONCATENATE(Table1[[#This Row],[Duration_Years]]," ","years")</f>
        <v>2 years</v>
      </c>
      <c r="H690" s="11">
        <v>3500</v>
      </c>
      <c r="I690" s="1">
        <v>41.2</v>
      </c>
      <c r="J690" s="11">
        <v>400</v>
      </c>
      <c r="K690" s="11">
        <v>80</v>
      </c>
      <c r="L690" s="11">
        <v>300</v>
      </c>
      <c r="M690" s="22">
        <v>3950</v>
      </c>
      <c r="N690" s="3" t="str">
        <f>IF(Table1[[#This Row],[Exchange_Rate]]&lt;5,"Strong Currency", IF(Table1[[#This Row],[Exchange_Rate]]&lt;=1000, "Medium Currency","Weak Currency"))</f>
        <v>Weak Currency</v>
      </c>
      <c r="O690" s="11">
        <f>(Table1[[#This Row],[Living_Cost_Index]]/123.3)*1850</f>
        <v>618.16707218167073</v>
      </c>
      <c r="P690" s="11">
        <f>Table1[[#This Row],[Monthly_Estimated_Living_cost]]*12</f>
        <v>7418.0048661800483</v>
      </c>
      <c r="Q690" s="13">
        <f>Table1[[#This Row],[Tuition_USD]]+Table1[[#This Row],[Rent_USD]]+Table1[[#This Row],[Insurance_USD]]+Table1[[#This Row],[Visa_Fee_USD]]+Table1[[#This Row],[Annual_Estimated_Living_cost]]</f>
        <v>11698.004866180048</v>
      </c>
    </row>
    <row r="691" spans="1:17" x14ac:dyDescent="0.25">
      <c r="A691" s="2" t="s">
        <v>160</v>
      </c>
      <c r="B691" s="1" t="s">
        <v>161</v>
      </c>
      <c r="C691" s="1" t="s">
        <v>162</v>
      </c>
      <c r="D691" s="1" t="s">
        <v>20</v>
      </c>
      <c r="E691" s="1" t="s">
        <v>1353</v>
      </c>
      <c r="F691" s="1">
        <v>4</v>
      </c>
      <c r="G691" s="1" t="str">
        <f>CONCATENATE(Table1[[#This Row],[Duration_Years]]," ","years")</f>
        <v>4 years</v>
      </c>
      <c r="H691" s="11">
        <v>3000</v>
      </c>
      <c r="I691" s="1">
        <v>54.8</v>
      </c>
      <c r="J691" s="11">
        <v>650</v>
      </c>
      <c r="K691" s="11">
        <v>80</v>
      </c>
      <c r="L691" s="11">
        <v>400</v>
      </c>
      <c r="M691" s="22">
        <v>4.0999999999999996</v>
      </c>
      <c r="N691" s="3" t="str">
        <f>IF(Table1[[#This Row],[Exchange_Rate]]&lt;5,"Strong Currency", IF(Table1[[#This Row],[Exchange_Rate]]&lt;=1000, "Medium Currency","Weak Currency"))</f>
        <v>Strong Currency</v>
      </c>
      <c r="O691" s="11">
        <f>(Table1[[#This Row],[Living_Cost_Index]]/123.3)*1850</f>
        <v>822.22222222222217</v>
      </c>
      <c r="P691" s="11">
        <f>Table1[[#This Row],[Monthly_Estimated_Living_cost]]*12</f>
        <v>9866.6666666666661</v>
      </c>
      <c r="Q691" s="13">
        <f>Table1[[#This Row],[Tuition_USD]]+Table1[[#This Row],[Rent_USD]]+Table1[[#This Row],[Insurance_USD]]+Table1[[#This Row],[Visa_Fee_USD]]+Table1[[#This Row],[Annual_Estimated_Living_cost]]</f>
        <v>13996.666666666666</v>
      </c>
    </row>
    <row r="692" spans="1:17" x14ac:dyDescent="0.25">
      <c r="A692" s="2" t="s">
        <v>977</v>
      </c>
      <c r="B692" s="1" t="s">
        <v>978</v>
      </c>
      <c r="C692" s="1" t="s">
        <v>979</v>
      </c>
      <c r="D692" s="1" t="s">
        <v>63</v>
      </c>
      <c r="E692" s="1" t="s">
        <v>75</v>
      </c>
      <c r="F692" s="1">
        <v>3</v>
      </c>
      <c r="G692" s="1" t="str">
        <f>CONCATENATE(Table1[[#This Row],[Duration_Years]]," ","years")</f>
        <v>3 years</v>
      </c>
      <c r="H692" s="11">
        <v>2500</v>
      </c>
      <c r="I692" s="1">
        <v>45.2</v>
      </c>
      <c r="J692" s="11">
        <v>450</v>
      </c>
      <c r="K692" s="11">
        <v>120</v>
      </c>
      <c r="L692" s="11">
        <v>350</v>
      </c>
      <c r="M692" s="22">
        <v>4.6500000000000004</v>
      </c>
      <c r="N692" s="3" t="str">
        <f>IF(Table1[[#This Row],[Exchange_Rate]]&lt;5,"Strong Currency", IF(Table1[[#This Row],[Exchange_Rate]]&lt;=1000, "Medium Currency","Weak Currency"))</f>
        <v>Strong Currency</v>
      </c>
      <c r="O692" s="11">
        <f>(Table1[[#This Row],[Living_Cost_Index]]/123.3)*1850</f>
        <v>678.18329278183296</v>
      </c>
      <c r="P692" s="11">
        <f>Table1[[#This Row],[Monthly_Estimated_Living_cost]]*12</f>
        <v>8138.1995133819955</v>
      </c>
      <c r="Q692" s="13">
        <f>Table1[[#This Row],[Tuition_USD]]+Table1[[#This Row],[Rent_USD]]+Table1[[#This Row],[Insurance_USD]]+Table1[[#This Row],[Visa_Fee_USD]]+Table1[[#This Row],[Annual_Estimated_Living_cost]]</f>
        <v>11558.199513381995</v>
      </c>
    </row>
    <row r="693" spans="1:17" x14ac:dyDescent="0.25">
      <c r="A693" s="2" t="s">
        <v>980</v>
      </c>
      <c r="B693" s="1" t="s">
        <v>981</v>
      </c>
      <c r="C693" s="1" t="s">
        <v>982</v>
      </c>
      <c r="D693" s="1" t="s">
        <v>40</v>
      </c>
      <c r="E693" s="1" t="s">
        <v>16</v>
      </c>
      <c r="F693" s="1">
        <v>2</v>
      </c>
      <c r="G693" s="1" t="str">
        <f>CONCATENATE(Table1[[#This Row],[Duration_Years]]," ","years")</f>
        <v>2 years</v>
      </c>
      <c r="H693" s="11">
        <v>400</v>
      </c>
      <c r="I693" s="1">
        <v>83.2</v>
      </c>
      <c r="J693" s="11">
        <v>1400</v>
      </c>
      <c r="K693" s="11">
        <v>100</v>
      </c>
      <c r="L693" s="11">
        <v>800</v>
      </c>
      <c r="M693" s="22">
        <v>0.92</v>
      </c>
      <c r="N693" s="3" t="str">
        <f>IF(Table1[[#This Row],[Exchange_Rate]]&lt;5,"Strong Currency", IF(Table1[[#This Row],[Exchange_Rate]]&lt;=1000, "Medium Currency","Weak Currency"))</f>
        <v>Strong Currency</v>
      </c>
      <c r="O693" s="11">
        <f>(Table1[[#This Row],[Living_Cost_Index]]/123.3)*1850</f>
        <v>1248.3373884833738</v>
      </c>
      <c r="P693" s="11">
        <f>Table1[[#This Row],[Monthly_Estimated_Living_cost]]*12</f>
        <v>14980.048661800487</v>
      </c>
      <c r="Q693" s="13">
        <f>Table1[[#This Row],[Tuition_USD]]+Table1[[#This Row],[Rent_USD]]+Table1[[#This Row],[Insurance_USD]]+Table1[[#This Row],[Visa_Fee_USD]]+Table1[[#This Row],[Annual_Estimated_Living_cost]]</f>
        <v>17680.048661800487</v>
      </c>
    </row>
    <row r="694" spans="1:17" x14ac:dyDescent="0.25">
      <c r="A694" s="2" t="s">
        <v>372</v>
      </c>
      <c r="B694" s="1" t="s">
        <v>373</v>
      </c>
      <c r="C694" s="1" t="s">
        <v>374</v>
      </c>
      <c r="D694" s="1" t="s">
        <v>215</v>
      </c>
      <c r="E694" s="1" t="s">
        <v>16</v>
      </c>
      <c r="F694" s="1">
        <v>2</v>
      </c>
      <c r="G694" s="1" t="str">
        <f>CONCATENATE(Table1[[#This Row],[Duration_Years]]," ","years")</f>
        <v>2 years</v>
      </c>
      <c r="H694" s="11">
        <v>5000</v>
      </c>
      <c r="I694" s="1">
        <v>45.8</v>
      </c>
      <c r="J694" s="11">
        <v>400</v>
      </c>
      <c r="K694" s="11">
        <v>150</v>
      </c>
      <c r="L694" s="11">
        <v>250</v>
      </c>
      <c r="M694" s="22">
        <v>15600</v>
      </c>
      <c r="N694" s="3" t="str">
        <f>IF(Table1[[#This Row],[Exchange_Rate]]&lt;5,"Strong Currency", IF(Table1[[#This Row],[Exchange_Rate]]&lt;=1000, "Medium Currency","Weak Currency"))</f>
        <v>Weak Currency</v>
      </c>
      <c r="O694" s="11">
        <f>(Table1[[#This Row],[Living_Cost_Index]]/123.3)*1850</f>
        <v>687.18572587185724</v>
      </c>
      <c r="P694" s="11">
        <f>Table1[[#This Row],[Monthly_Estimated_Living_cost]]*12</f>
        <v>8246.2287104622865</v>
      </c>
      <c r="Q694" s="13">
        <f>Table1[[#This Row],[Tuition_USD]]+Table1[[#This Row],[Rent_USD]]+Table1[[#This Row],[Insurance_USD]]+Table1[[#This Row],[Visa_Fee_USD]]+Table1[[#This Row],[Annual_Estimated_Living_cost]]</f>
        <v>14046.228710462286</v>
      </c>
    </row>
    <row r="695" spans="1:17" x14ac:dyDescent="0.25">
      <c r="A695" s="2" t="s">
        <v>971</v>
      </c>
      <c r="B695" s="1" t="s">
        <v>983</v>
      </c>
      <c r="C695" s="1" t="s">
        <v>984</v>
      </c>
      <c r="D695" s="1" t="s">
        <v>71</v>
      </c>
      <c r="E695" s="1" t="s">
        <v>75</v>
      </c>
      <c r="F695" s="1">
        <v>3</v>
      </c>
      <c r="G695" s="1" t="str">
        <f>CONCATENATE(Table1[[#This Row],[Duration_Years]]," ","years")</f>
        <v>3 years</v>
      </c>
      <c r="H695" s="11">
        <v>0</v>
      </c>
      <c r="I695" s="1">
        <v>78.400000000000006</v>
      </c>
      <c r="J695" s="11">
        <v>900</v>
      </c>
      <c r="K695" s="11">
        <v>140</v>
      </c>
      <c r="L695" s="11">
        <v>900</v>
      </c>
      <c r="M695" s="22">
        <v>137.5</v>
      </c>
      <c r="N695" s="3" t="str">
        <f>IF(Table1[[#This Row],[Exchange_Rate]]&lt;5,"Strong Currency", IF(Table1[[#This Row],[Exchange_Rate]]&lt;=1000, "Medium Currency","Weak Currency"))</f>
        <v>Medium Currency</v>
      </c>
      <c r="O695" s="11">
        <f>(Table1[[#This Row],[Living_Cost_Index]]/123.3)*1850</f>
        <v>1176.3179237631794</v>
      </c>
      <c r="P695" s="11">
        <f>Table1[[#This Row],[Monthly_Estimated_Living_cost]]*12</f>
        <v>14115.815085158152</v>
      </c>
      <c r="Q695" s="13">
        <f>Table1[[#This Row],[Tuition_USD]]+Table1[[#This Row],[Rent_USD]]+Table1[[#This Row],[Insurance_USD]]+Table1[[#This Row],[Visa_Fee_USD]]+Table1[[#This Row],[Annual_Estimated_Living_cost]]</f>
        <v>16055.815085158152</v>
      </c>
    </row>
    <row r="696" spans="1:17" x14ac:dyDescent="0.25">
      <c r="A696" s="2" t="s">
        <v>974</v>
      </c>
      <c r="B696" s="1" t="s">
        <v>985</v>
      </c>
      <c r="C696" s="1" t="s">
        <v>986</v>
      </c>
      <c r="D696" s="1" t="s">
        <v>15</v>
      </c>
      <c r="E696" s="1" t="s">
        <v>1353</v>
      </c>
      <c r="F696" s="1">
        <v>4</v>
      </c>
      <c r="G696" s="1" t="str">
        <f>CONCATENATE(Table1[[#This Row],[Duration_Years]]," ","years")</f>
        <v>4 years</v>
      </c>
      <c r="H696" s="11">
        <v>4000</v>
      </c>
      <c r="I696" s="1">
        <v>38.5</v>
      </c>
      <c r="J696" s="11">
        <v>350</v>
      </c>
      <c r="K696" s="11">
        <v>80</v>
      </c>
      <c r="L696" s="11">
        <v>300</v>
      </c>
      <c r="M696" s="22">
        <v>3950</v>
      </c>
      <c r="N696" s="3" t="str">
        <f>IF(Table1[[#This Row],[Exchange_Rate]]&lt;5,"Strong Currency", IF(Table1[[#This Row],[Exchange_Rate]]&lt;=1000, "Medium Currency","Weak Currency"))</f>
        <v>Weak Currency</v>
      </c>
      <c r="O696" s="11">
        <f>(Table1[[#This Row],[Living_Cost_Index]]/123.3)*1850</f>
        <v>577.65612327656117</v>
      </c>
      <c r="P696" s="11">
        <f>Table1[[#This Row],[Monthly_Estimated_Living_cost]]*12</f>
        <v>6931.8734793187341</v>
      </c>
      <c r="Q696" s="13">
        <f>Table1[[#This Row],[Tuition_USD]]+Table1[[#This Row],[Rent_USD]]+Table1[[#This Row],[Insurance_USD]]+Table1[[#This Row],[Visa_Fee_USD]]+Table1[[#This Row],[Annual_Estimated_Living_cost]]</f>
        <v>11661.873479318734</v>
      </c>
    </row>
    <row r="697" spans="1:17" x14ac:dyDescent="0.25">
      <c r="A697" s="2" t="s">
        <v>160</v>
      </c>
      <c r="B697" s="1" t="s">
        <v>987</v>
      </c>
      <c r="C697" s="1" t="s">
        <v>988</v>
      </c>
      <c r="D697" s="1" t="s">
        <v>241</v>
      </c>
      <c r="E697" s="1" t="s">
        <v>16</v>
      </c>
      <c r="F697" s="1">
        <v>2</v>
      </c>
      <c r="G697" s="1" t="str">
        <f>CONCATENATE(Table1[[#This Row],[Duration_Years]]," ","years")</f>
        <v>2 years</v>
      </c>
      <c r="H697" s="11">
        <v>2800</v>
      </c>
      <c r="I697" s="1">
        <v>52.4</v>
      </c>
      <c r="J697" s="11">
        <v>600</v>
      </c>
      <c r="K697" s="11">
        <v>80</v>
      </c>
      <c r="L697" s="11">
        <v>400</v>
      </c>
      <c r="M697" s="22">
        <v>4.0999999999999996</v>
      </c>
      <c r="N697" s="3" t="str">
        <f>IF(Table1[[#This Row],[Exchange_Rate]]&lt;5,"Strong Currency", IF(Table1[[#This Row],[Exchange_Rate]]&lt;=1000, "Medium Currency","Weak Currency"))</f>
        <v>Strong Currency</v>
      </c>
      <c r="O697" s="11">
        <f>(Table1[[#This Row],[Living_Cost_Index]]/123.3)*1850</f>
        <v>786.21248986212493</v>
      </c>
      <c r="P697" s="11">
        <f>Table1[[#This Row],[Monthly_Estimated_Living_cost]]*12</f>
        <v>9434.5498783454987</v>
      </c>
      <c r="Q697" s="13">
        <f>Table1[[#This Row],[Tuition_USD]]+Table1[[#This Row],[Rent_USD]]+Table1[[#This Row],[Insurance_USD]]+Table1[[#This Row],[Visa_Fee_USD]]+Table1[[#This Row],[Annual_Estimated_Living_cost]]</f>
        <v>13314.549878345499</v>
      </c>
    </row>
    <row r="698" spans="1:17" x14ac:dyDescent="0.25">
      <c r="A698" s="2" t="s">
        <v>977</v>
      </c>
      <c r="B698" s="1" t="s">
        <v>989</v>
      </c>
      <c r="C698" s="1" t="s">
        <v>990</v>
      </c>
      <c r="D698" s="1" t="s">
        <v>20</v>
      </c>
      <c r="E698" s="1" t="s">
        <v>16</v>
      </c>
      <c r="F698" s="1">
        <v>2</v>
      </c>
      <c r="G698" s="1" t="str">
        <f>CONCATENATE(Table1[[#This Row],[Duration_Years]]," ","years")</f>
        <v>2 years</v>
      </c>
      <c r="H698" s="11">
        <v>2200</v>
      </c>
      <c r="I698" s="1">
        <v>43.8</v>
      </c>
      <c r="J698" s="11">
        <v>400</v>
      </c>
      <c r="K698" s="11">
        <v>120</v>
      </c>
      <c r="L698" s="11">
        <v>350</v>
      </c>
      <c r="M698" s="22">
        <v>4.6500000000000004</v>
      </c>
      <c r="N698" s="3" t="str">
        <f>IF(Table1[[#This Row],[Exchange_Rate]]&lt;5,"Strong Currency", IF(Table1[[#This Row],[Exchange_Rate]]&lt;=1000, "Medium Currency","Weak Currency"))</f>
        <v>Strong Currency</v>
      </c>
      <c r="O698" s="11">
        <f>(Table1[[#This Row],[Living_Cost_Index]]/123.3)*1850</f>
        <v>657.17761557177619</v>
      </c>
      <c r="P698" s="11">
        <f>Table1[[#This Row],[Monthly_Estimated_Living_cost]]*12</f>
        <v>7886.1313868613142</v>
      </c>
      <c r="Q698" s="13">
        <f>Table1[[#This Row],[Tuition_USD]]+Table1[[#This Row],[Rent_USD]]+Table1[[#This Row],[Insurance_USD]]+Table1[[#This Row],[Visa_Fee_USD]]+Table1[[#This Row],[Annual_Estimated_Living_cost]]</f>
        <v>10956.131386861314</v>
      </c>
    </row>
    <row r="699" spans="1:17" x14ac:dyDescent="0.25">
      <c r="A699" s="2" t="s">
        <v>980</v>
      </c>
      <c r="B699" s="1" t="s">
        <v>991</v>
      </c>
      <c r="C699" s="1" t="s">
        <v>992</v>
      </c>
      <c r="D699" s="1" t="s">
        <v>251</v>
      </c>
      <c r="E699" s="1" t="s">
        <v>16</v>
      </c>
      <c r="F699" s="1">
        <v>2</v>
      </c>
      <c r="G699" s="1" t="str">
        <f>CONCATENATE(Table1[[#This Row],[Duration_Years]]," ","years")</f>
        <v>2 years</v>
      </c>
      <c r="H699" s="11">
        <v>400</v>
      </c>
      <c r="I699" s="1">
        <v>79.5</v>
      </c>
      <c r="J699" s="11">
        <v>1200</v>
      </c>
      <c r="K699" s="11">
        <v>100</v>
      </c>
      <c r="L699" s="11">
        <v>800</v>
      </c>
      <c r="M699" s="22">
        <v>0.92</v>
      </c>
      <c r="N699" s="3" t="str">
        <f>IF(Table1[[#This Row],[Exchange_Rate]]&lt;5,"Strong Currency", IF(Table1[[#This Row],[Exchange_Rate]]&lt;=1000, "Medium Currency","Weak Currency"))</f>
        <v>Strong Currency</v>
      </c>
      <c r="O699" s="11">
        <f>(Table1[[#This Row],[Living_Cost_Index]]/123.3)*1850</f>
        <v>1192.8223844282238</v>
      </c>
      <c r="P699" s="11">
        <f>Table1[[#This Row],[Monthly_Estimated_Living_cost]]*12</f>
        <v>14313.868613138686</v>
      </c>
      <c r="Q699" s="13">
        <f>Table1[[#This Row],[Tuition_USD]]+Table1[[#This Row],[Rent_USD]]+Table1[[#This Row],[Insurance_USD]]+Table1[[#This Row],[Visa_Fee_USD]]+Table1[[#This Row],[Annual_Estimated_Living_cost]]</f>
        <v>16813.868613138686</v>
      </c>
    </row>
    <row r="700" spans="1:17" x14ac:dyDescent="0.25">
      <c r="A700" s="2" t="s">
        <v>372</v>
      </c>
      <c r="B700" s="1" t="s">
        <v>993</v>
      </c>
      <c r="C700" s="1" t="s">
        <v>994</v>
      </c>
      <c r="D700" s="1" t="s">
        <v>63</v>
      </c>
      <c r="E700" s="1" t="s">
        <v>1353</v>
      </c>
      <c r="F700" s="1">
        <v>4</v>
      </c>
      <c r="G700" s="1" t="str">
        <f>CONCATENATE(Table1[[#This Row],[Duration_Years]]," ","years")</f>
        <v>4 years</v>
      </c>
      <c r="H700" s="11">
        <v>4500</v>
      </c>
      <c r="I700" s="1">
        <v>42.4</v>
      </c>
      <c r="J700" s="11">
        <v>300</v>
      </c>
      <c r="K700" s="11">
        <v>150</v>
      </c>
      <c r="L700" s="11">
        <v>250</v>
      </c>
      <c r="M700" s="22">
        <v>15600</v>
      </c>
      <c r="N700" s="3" t="str">
        <f>IF(Table1[[#This Row],[Exchange_Rate]]&lt;5,"Strong Currency", IF(Table1[[#This Row],[Exchange_Rate]]&lt;=1000, "Medium Currency","Weak Currency"))</f>
        <v>Weak Currency</v>
      </c>
      <c r="O700" s="11">
        <f>(Table1[[#This Row],[Living_Cost_Index]]/123.3)*1850</f>
        <v>636.17193836171941</v>
      </c>
      <c r="P700" s="11">
        <f>Table1[[#This Row],[Monthly_Estimated_Living_cost]]*12</f>
        <v>7634.063260340633</v>
      </c>
      <c r="Q700" s="13">
        <f>Table1[[#This Row],[Tuition_USD]]+Table1[[#This Row],[Rent_USD]]+Table1[[#This Row],[Insurance_USD]]+Table1[[#This Row],[Visa_Fee_USD]]+Table1[[#This Row],[Annual_Estimated_Living_cost]]</f>
        <v>12834.063260340634</v>
      </c>
    </row>
    <row r="701" spans="1:17" x14ac:dyDescent="0.25">
      <c r="A701" s="2" t="s">
        <v>971</v>
      </c>
      <c r="B701" s="1" t="s">
        <v>972</v>
      </c>
      <c r="C701" s="1" t="s">
        <v>995</v>
      </c>
      <c r="D701" s="1" t="s">
        <v>136</v>
      </c>
      <c r="E701" s="1" t="s">
        <v>16</v>
      </c>
      <c r="F701" s="1">
        <v>2</v>
      </c>
      <c r="G701" s="1" t="str">
        <f>CONCATENATE(Table1[[#This Row],[Duration_Years]]," ","years")</f>
        <v>2 years</v>
      </c>
      <c r="H701" s="11">
        <v>0</v>
      </c>
      <c r="I701" s="1">
        <v>84.5</v>
      </c>
      <c r="J701" s="11">
        <v>1150</v>
      </c>
      <c r="K701" s="11">
        <v>140</v>
      </c>
      <c r="L701" s="11">
        <v>900</v>
      </c>
      <c r="M701" s="22">
        <v>137.5</v>
      </c>
      <c r="N701" s="3" t="str">
        <f>IF(Table1[[#This Row],[Exchange_Rate]]&lt;5,"Strong Currency", IF(Table1[[#This Row],[Exchange_Rate]]&lt;=1000, "Medium Currency","Weak Currency"))</f>
        <v>Medium Currency</v>
      </c>
      <c r="O701" s="11">
        <f>(Table1[[#This Row],[Living_Cost_Index]]/123.3)*1850</f>
        <v>1267.8426601784267</v>
      </c>
      <c r="P701" s="11">
        <f>Table1[[#This Row],[Monthly_Estimated_Living_cost]]*12</f>
        <v>15214.111922141121</v>
      </c>
      <c r="Q701" s="13">
        <f>Table1[[#This Row],[Tuition_USD]]+Table1[[#This Row],[Rent_USD]]+Table1[[#This Row],[Insurance_USD]]+Table1[[#This Row],[Visa_Fee_USD]]+Table1[[#This Row],[Annual_Estimated_Living_cost]]</f>
        <v>17404.111922141121</v>
      </c>
    </row>
    <row r="702" spans="1:17" x14ac:dyDescent="0.25">
      <c r="A702" s="2" t="s">
        <v>974</v>
      </c>
      <c r="B702" s="1" t="s">
        <v>996</v>
      </c>
      <c r="C702" s="1" t="s">
        <v>997</v>
      </c>
      <c r="D702" s="1" t="s">
        <v>222</v>
      </c>
      <c r="E702" s="1" t="s">
        <v>75</v>
      </c>
      <c r="F702" s="1">
        <v>4</v>
      </c>
      <c r="G702" s="1" t="str">
        <f>CONCATENATE(Table1[[#This Row],[Duration_Years]]," ","years")</f>
        <v>4 years</v>
      </c>
      <c r="H702" s="11">
        <v>3200</v>
      </c>
      <c r="I702" s="1">
        <v>36.799999999999997</v>
      </c>
      <c r="J702" s="11">
        <v>300</v>
      </c>
      <c r="K702" s="11">
        <v>80</v>
      </c>
      <c r="L702" s="11">
        <v>300</v>
      </c>
      <c r="M702" s="22">
        <v>3950</v>
      </c>
      <c r="N702" s="3" t="str">
        <f>IF(Table1[[#This Row],[Exchange_Rate]]&lt;5,"Strong Currency", IF(Table1[[#This Row],[Exchange_Rate]]&lt;=1000, "Medium Currency","Weak Currency"))</f>
        <v>Weak Currency</v>
      </c>
      <c r="O702" s="11">
        <f>(Table1[[#This Row],[Living_Cost_Index]]/123.3)*1850</f>
        <v>552.14922952149232</v>
      </c>
      <c r="P702" s="11">
        <f>Table1[[#This Row],[Monthly_Estimated_Living_cost]]*12</f>
        <v>6625.7907542579078</v>
      </c>
      <c r="Q702" s="13">
        <f>Table1[[#This Row],[Tuition_USD]]+Table1[[#This Row],[Rent_USD]]+Table1[[#This Row],[Insurance_USD]]+Table1[[#This Row],[Visa_Fee_USD]]+Table1[[#This Row],[Annual_Estimated_Living_cost]]</f>
        <v>10505.790754257909</v>
      </c>
    </row>
    <row r="703" spans="1:17" x14ac:dyDescent="0.25">
      <c r="A703" s="2" t="s">
        <v>160</v>
      </c>
      <c r="B703" s="1" t="s">
        <v>998</v>
      </c>
      <c r="C703" s="1" t="s">
        <v>999</v>
      </c>
      <c r="D703" s="1" t="s">
        <v>40</v>
      </c>
      <c r="E703" s="1" t="s">
        <v>16</v>
      </c>
      <c r="F703" s="1">
        <v>2</v>
      </c>
      <c r="G703" s="1" t="str">
        <f>CONCATENATE(Table1[[#This Row],[Duration_Years]]," ","years")</f>
        <v>2 years</v>
      </c>
      <c r="H703" s="11">
        <v>2600</v>
      </c>
      <c r="I703" s="1">
        <v>50.5</v>
      </c>
      <c r="J703" s="11">
        <v>550</v>
      </c>
      <c r="K703" s="11">
        <v>80</v>
      </c>
      <c r="L703" s="11">
        <v>400</v>
      </c>
      <c r="M703" s="22">
        <v>4.0999999999999996</v>
      </c>
      <c r="N703" s="3" t="str">
        <f>IF(Table1[[#This Row],[Exchange_Rate]]&lt;5,"Strong Currency", IF(Table1[[#This Row],[Exchange_Rate]]&lt;=1000, "Medium Currency","Weak Currency"))</f>
        <v>Strong Currency</v>
      </c>
      <c r="O703" s="11">
        <f>(Table1[[#This Row],[Living_Cost_Index]]/123.3)*1850</f>
        <v>757.70478507704797</v>
      </c>
      <c r="P703" s="11">
        <f>Table1[[#This Row],[Monthly_Estimated_Living_cost]]*12</f>
        <v>9092.4574209245766</v>
      </c>
      <c r="Q703" s="13">
        <f>Table1[[#This Row],[Tuition_USD]]+Table1[[#This Row],[Rent_USD]]+Table1[[#This Row],[Insurance_USD]]+Table1[[#This Row],[Visa_Fee_USD]]+Table1[[#This Row],[Annual_Estimated_Living_cost]]</f>
        <v>12722.457420924577</v>
      </c>
    </row>
    <row r="704" spans="1:17" x14ac:dyDescent="0.25">
      <c r="A704" s="2" t="s">
        <v>977</v>
      </c>
      <c r="B704" s="1" t="s">
        <v>1000</v>
      </c>
      <c r="C704" s="1" t="s">
        <v>1001</v>
      </c>
      <c r="D704" s="1" t="s">
        <v>207</v>
      </c>
      <c r="E704" s="1" t="s">
        <v>1353</v>
      </c>
      <c r="F704" s="1">
        <v>4</v>
      </c>
      <c r="G704" s="1" t="str">
        <f>CONCATENATE(Table1[[#This Row],[Duration_Years]]," ","years")</f>
        <v>4 years</v>
      </c>
      <c r="H704" s="11">
        <v>2400</v>
      </c>
      <c r="I704" s="1">
        <v>42.5</v>
      </c>
      <c r="J704" s="11">
        <v>380</v>
      </c>
      <c r="K704" s="11">
        <v>120</v>
      </c>
      <c r="L704" s="11">
        <v>350</v>
      </c>
      <c r="M704" s="22">
        <v>4.6500000000000004</v>
      </c>
      <c r="N704" s="3" t="str">
        <f>IF(Table1[[#This Row],[Exchange_Rate]]&lt;5,"Strong Currency", IF(Table1[[#This Row],[Exchange_Rate]]&lt;=1000, "Medium Currency","Weak Currency"))</f>
        <v>Strong Currency</v>
      </c>
      <c r="O704" s="11">
        <f>(Table1[[#This Row],[Living_Cost_Index]]/123.3)*1850</f>
        <v>637.6723438767234</v>
      </c>
      <c r="P704" s="11">
        <f>Table1[[#This Row],[Monthly_Estimated_Living_cost]]*12</f>
        <v>7652.0681265206804</v>
      </c>
      <c r="Q704" s="13">
        <f>Table1[[#This Row],[Tuition_USD]]+Table1[[#This Row],[Rent_USD]]+Table1[[#This Row],[Insurance_USD]]+Table1[[#This Row],[Visa_Fee_USD]]+Table1[[#This Row],[Annual_Estimated_Living_cost]]</f>
        <v>10902.06812652068</v>
      </c>
    </row>
    <row r="705" spans="1:17" x14ac:dyDescent="0.25">
      <c r="A705" s="2" t="s">
        <v>980</v>
      </c>
      <c r="B705" s="1" t="s">
        <v>1002</v>
      </c>
      <c r="C705" s="1" t="s">
        <v>1003</v>
      </c>
      <c r="D705" s="1" t="s">
        <v>15</v>
      </c>
      <c r="E705" s="1" t="s">
        <v>75</v>
      </c>
      <c r="F705" s="1">
        <v>3</v>
      </c>
      <c r="G705" s="1" t="str">
        <f>CONCATENATE(Table1[[#This Row],[Duration_Years]]," ","years")</f>
        <v>3 years</v>
      </c>
      <c r="H705" s="11">
        <v>400</v>
      </c>
      <c r="I705" s="1">
        <v>78.400000000000006</v>
      </c>
      <c r="J705" s="11">
        <v>1100</v>
      </c>
      <c r="K705" s="11">
        <v>100</v>
      </c>
      <c r="L705" s="11">
        <v>800</v>
      </c>
      <c r="M705" s="22">
        <v>0.92</v>
      </c>
      <c r="N705" s="3" t="str">
        <f>IF(Table1[[#This Row],[Exchange_Rate]]&lt;5,"Strong Currency", IF(Table1[[#This Row],[Exchange_Rate]]&lt;=1000, "Medium Currency","Weak Currency"))</f>
        <v>Strong Currency</v>
      </c>
      <c r="O705" s="11">
        <f>(Table1[[#This Row],[Living_Cost_Index]]/123.3)*1850</f>
        <v>1176.3179237631794</v>
      </c>
      <c r="P705" s="11">
        <f>Table1[[#This Row],[Monthly_Estimated_Living_cost]]*12</f>
        <v>14115.815085158152</v>
      </c>
      <c r="Q705" s="13">
        <f>Table1[[#This Row],[Tuition_USD]]+Table1[[#This Row],[Rent_USD]]+Table1[[#This Row],[Insurance_USD]]+Table1[[#This Row],[Visa_Fee_USD]]+Table1[[#This Row],[Annual_Estimated_Living_cost]]</f>
        <v>16515.815085158152</v>
      </c>
    </row>
    <row r="706" spans="1:17" x14ac:dyDescent="0.25">
      <c r="A706" s="2" t="s">
        <v>372</v>
      </c>
      <c r="B706" s="1" t="s">
        <v>1004</v>
      </c>
      <c r="C706" s="1" t="s">
        <v>1005</v>
      </c>
      <c r="D706" s="1" t="s">
        <v>20</v>
      </c>
      <c r="E706" s="1" t="s">
        <v>16</v>
      </c>
      <c r="F706" s="1">
        <v>2</v>
      </c>
      <c r="G706" s="1" t="str">
        <f>CONCATENATE(Table1[[#This Row],[Duration_Years]]," ","years")</f>
        <v>2 years</v>
      </c>
      <c r="H706" s="11">
        <v>4000</v>
      </c>
      <c r="I706" s="1">
        <v>40.200000000000003</v>
      </c>
      <c r="J706" s="11">
        <v>250</v>
      </c>
      <c r="K706" s="11">
        <v>150</v>
      </c>
      <c r="L706" s="11">
        <v>250</v>
      </c>
      <c r="M706" s="22">
        <v>15600</v>
      </c>
      <c r="N706" s="3" t="str">
        <f>IF(Table1[[#This Row],[Exchange_Rate]]&lt;5,"Strong Currency", IF(Table1[[#This Row],[Exchange_Rate]]&lt;=1000, "Medium Currency","Weak Currency"))</f>
        <v>Weak Currency</v>
      </c>
      <c r="O706" s="11">
        <f>(Table1[[#This Row],[Living_Cost_Index]]/123.3)*1850</f>
        <v>603.16301703163026</v>
      </c>
      <c r="P706" s="11">
        <f>Table1[[#This Row],[Monthly_Estimated_Living_cost]]*12</f>
        <v>7237.9562043795631</v>
      </c>
      <c r="Q706" s="13">
        <f>Table1[[#This Row],[Tuition_USD]]+Table1[[#This Row],[Rent_USD]]+Table1[[#This Row],[Insurance_USD]]+Table1[[#This Row],[Visa_Fee_USD]]+Table1[[#This Row],[Annual_Estimated_Living_cost]]</f>
        <v>11887.956204379563</v>
      </c>
    </row>
    <row r="707" spans="1:17" x14ac:dyDescent="0.25">
      <c r="A707" s="2" t="s">
        <v>971</v>
      </c>
      <c r="B707" s="1" t="s">
        <v>1006</v>
      </c>
      <c r="C707" s="1" t="s">
        <v>1007</v>
      </c>
      <c r="D707" s="1" t="s">
        <v>1008</v>
      </c>
      <c r="E707" s="1" t="s">
        <v>16</v>
      </c>
      <c r="F707" s="1">
        <v>2</v>
      </c>
      <c r="G707" s="1" t="str">
        <f>CONCATENATE(Table1[[#This Row],[Duration_Years]]," ","years")</f>
        <v>2 years</v>
      </c>
      <c r="H707" s="11">
        <v>0</v>
      </c>
      <c r="I707" s="1">
        <v>82.1</v>
      </c>
      <c r="J707" s="11">
        <v>1000</v>
      </c>
      <c r="K707" s="11">
        <v>140</v>
      </c>
      <c r="L707" s="11">
        <v>900</v>
      </c>
      <c r="M707" s="22">
        <v>137.5</v>
      </c>
      <c r="N707" s="3" t="str">
        <f>IF(Table1[[#This Row],[Exchange_Rate]]&lt;5,"Strong Currency", IF(Table1[[#This Row],[Exchange_Rate]]&lt;=1000, "Medium Currency","Weak Currency"))</f>
        <v>Medium Currency</v>
      </c>
      <c r="O707" s="11">
        <f>(Table1[[#This Row],[Living_Cost_Index]]/123.3)*1850</f>
        <v>1231.8329278183292</v>
      </c>
      <c r="P707" s="11">
        <f>Table1[[#This Row],[Monthly_Estimated_Living_cost]]*12</f>
        <v>14781.99513381995</v>
      </c>
      <c r="Q707" s="13">
        <f>Table1[[#This Row],[Tuition_USD]]+Table1[[#This Row],[Rent_USD]]+Table1[[#This Row],[Insurance_USD]]+Table1[[#This Row],[Visa_Fee_USD]]+Table1[[#This Row],[Annual_Estimated_Living_cost]]</f>
        <v>16821.99513381995</v>
      </c>
    </row>
    <row r="708" spans="1:17" x14ac:dyDescent="0.25">
      <c r="A708" s="2" t="s">
        <v>974</v>
      </c>
      <c r="B708" s="1" t="s">
        <v>1009</v>
      </c>
      <c r="C708" s="1" t="s">
        <v>1010</v>
      </c>
      <c r="D708" s="1" t="s">
        <v>63</v>
      </c>
      <c r="E708" s="1" t="s">
        <v>16</v>
      </c>
      <c r="F708" s="1">
        <v>2</v>
      </c>
      <c r="G708" s="1" t="str">
        <f>CONCATENATE(Table1[[#This Row],[Duration_Years]]," ","years")</f>
        <v>2 years</v>
      </c>
      <c r="H708" s="11">
        <v>3800</v>
      </c>
      <c r="I708" s="1">
        <v>35.4</v>
      </c>
      <c r="J708" s="11">
        <v>280</v>
      </c>
      <c r="K708" s="11">
        <v>80</v>
      </c>
      <c r="L708" s="11">
        <v>300</v>
      </c>
      <c r="M708" s="22">
        <v>3950</v>
      </c>
      <c r="N708" s="3" t="str">
        <f>IF(Table1[[#This Row],[Exchange_Rate]]&lt;5,"Strong Currency", IF(Table1[[#This Row],[Exchange_Rate]]&lt;=1000, "Medium Currency","Weak Currency"))</f>
        <v>Weak Currency</v>
      </c>
      <c r="O708" s="11">
        <f>(Table1[[#This Row],[Living_Cost_Index]]/123.3)*1850</f>
        <v>531.14355231143554</v>
      </c>
      <c r="P708" s="11">
        <f>Table1[[#This Row],[Monthly_Estimated_Living_cost]]*12</f>
        <v>6373.7226277372265</v>
      </c>
      <c r="Q708" s="13">
        <f>Table1[[#This Row],[Tuition_USD]]+Table1[[#This Row],[Rent_USD]]+Table1[[#This Row],[Insurance_USD]]+Table1[[#This Row],[Visa_Fee_USD]]+Table1[[#This Row],[Annual_Estimated_Living_cost]]</f>
        <v>10833.722627737227</v>
      </c>
    </row>
    <row r="709" spans="1:17" x14ac:dyDescent="0.25">
      <c r="A709" s="2" t="s">
        <v>160</v>
      </c>
      <c r="B709" s="1" t="s">
        <v>1011</v>
      </c>
      <c r="C709" s="1" t="s">
        <v>1012</v>
      </c>
      <c r="D709" s="1" t="s">
        <v>15</v>
      </c>
      <c r="E709" s="1" t="s">
        <v>1353</v>
      </c>
      <c r="F709" s="1">
        <v>4</v>
      </c>
      <c r="G709" s="1" t="str">
        <f>CONCATENATE(Table1[[#This Row],[Duration_Years]]," ","years")</f>
        <v>4 years</v>
      </c>
      <c r="H709" s="11">
        <v>2700</v>
      </c>
      <c r="I709" s="1">
        <v>51.2</v>
      </c>
      <c r="J709" s="11">
        <v>580</v>
      </c>
      <c r="K709" s="11">
        <v>80</v>
      </c>
      <c r="L709" s="11">
        <v>400</v>
      </c>
      <c r="M709" s="22">
        <v>4.0999999999999996</v>
      </c>
      <c r="N709" s="3" t="str">
        <f>IF(Table1[[#This Row],[Exchange_Rate]]&lt;5,"Strong Currency", IF(Table1[[#This Row],[Exchange_Rate]]&lt;=1000, "Medium Currency","Weak Currency"))</f>
        <v>Strong Currency</v>
      </c>
      <c r="O709" s="11">
        <f>(Table1[[#This Row],[Living_Cost_Index]]/123.3)*1850</f>
        <v>768.20762368207625</v>
      </c>
      <c r="P709" s="11">
        <f>Table1[[#This Row],[Monthly_Estimated_Living_cost]]*12</f>
        <v>9218.491484184915</v>
      </c>
      <c r="Q709" s="13">
        <f>Table1[[#This Row],[Tuition_USD]]+Table1[[#This Row],[Rent_USD]]+Table1[[#This Row],[Insurance_USD]]+Table1[[#This Row],[Visa_Fee_USD]]+Table1[[#This Row],[Annual_Estimated_Living_cost]]</f>
        <v>12978.491484184915</v>
      </c>
    </row>
    <row r="710" spans="1:17" x14ac:dyDescent="0.25">
      <c r="A710" s="2" t="s">
        <v>977</v>
      </c>
      <c r="B710" s="1" t="s">
        <v>1013</v>
      </c>
      <c r="C710" s="1" t="s">
        <v>1014</v>
      </c>
      <c r="D710" s="1" t="s">
        <v>215</v>
      </c>
      <c r="E710" s="1" t="s">
        <v>16</v>
      </c>
      <c r="F710" s="1">
        <v>2</v>
      </c>
      <c r="G710" s="1" t="str">
        <f>CONCATENATE(Table1[[#This Row],[Duration_Years]]," ","years")</f>
        <v>2 years</v>
      </c>
      <c r="H710" s="11">
        <v>2100</v>
      </c>
      <c r="I710" s="1">
        <v>41.8</v>
      </c>
      <c r="J710" s="11">
        <v>350</v>
      </c>
      <c r="K710" s="11">
        <v>120</v>
      </c>
      <c r="L710" s="11">
        <v>350</v>
      </c>
      <c r="M710" s="22">
        <v>4.6500000000000004</v>
      </c>
      <c r="N710" s="3" t="str">
        <f>IF(Table1[[#This Row],[Exchange_Rate]]&lt;5,"Strong Currency", IF(Table1[[#This Row],[Exchange_Rate]]&lt;=1000, "Medium Currency","Weak Currency"))</f>
        <v>Strong Currency</v>
      </c>
      <c r="O710" s="11">
        <f>(Table1[[#This Row],[Living_Cost_Index]]/123.3)*1850</f>
        <v>627.16950527169513</v>
      </c>
      <c r="P710" s="11">
        <f>Table1[[#This Row],[Monthly_Estimated_Living_cost]]*12</f>
        <v>7526.034063260342</v>
      </c>
      <c r="Q710" s="13">
        <f>Table1[[#This Row],[Tuition_USD]]+Table1[[#This Row],[Rent_USD]]+Table1[[#This Row],[Insurance_USD]]+Table1[[#This Row],[Visa_Fee_USD]]+Table1[[#This Row],[Annual_Estimated_Living_cost]]</f>
        <v>10446.034063260342</v>
      </c>
    </row>
    <row r="711" spans="1:17" x14ac:dyDescent="0.25">
      <c r="A711" s="2" t="s">
        <v>980</v>
      </c>
      <c r="B711" s="1" t="s">
        <v>1015</v>
      </c>
      <c r="C711" s="1" t="s">
        <v>1016</v>
      </c>
      <c r="D711" s="1" t="s">
        <v>71</v>
      </c>
      <c r="E711" s="1" t="s">
        <v>16</v>
      </c>
      <c r="F711" s="1">
        <v>2</v>
      </c>
      <c r="G711" s="1" t="str">
        <f>CONCATENATE(Table1[[#This Row],[Duration_Years]]," ","years")</f>
        <v>2 years</v>
      </c>
      <c r="H711" s="11">
        <v>400</v>
      </c>
      <c r="I711" s="1">
        <v>81.5</v>
      </c>
      <c r="J711" s="11">
        <v>1300</v>
      </c>
      <c r="K711" s="11">
        <v>100</v>
      </c>
      <c r="L711" s="11">
        <v>800</v>
      </c>
      <c r="M711" s="22">
        <v>0.92</v>
      </c>
      <c r="N711" s="3" t="str">
        <f>IF(Table1[[#This Row],[Exchange_Rate]]&lt;5,"Strong Currency", IF(Table1[[#This Row],[Exchange_Rate]]&lt;=1000, "Medium Currency","Weak Currency"))</f>
        <v>Strong Currency</v>
      </c>
      <c r="O711" s="11">
        <f>(Table1[[#This Row],[Living_Cost_Index]]/123.3)*1850</f>
        <v>1222.830494728305</v>
      </c>
      <c r="P711" s="11">
        <f>Table1[[#This Row],[Monthly_Estimated_Living_cost]]*12</f>
        <v>14673.96593673966</v>
      </c>
      <c r="Q711" s="13">
        <f>Table1[[#This Row],[Tuition_USD]]+Table1[[#This Row],[Rent_USD]]+Table1[[#This Row],[Insurance_USD]]+Table1[[#This Row],[Visa_Fee_USD]]+Table1[[#This Row],[Annual_Estimated_Living_cost]]</f>
        <v>17273.96593673966</v>
      </c>
    </row>
    <row r="712" spans="1:17" x14ac:dyDescent="0.25">
      <c r="A712" s="2" t="s">
        <v>372</v>
      </c>
      <c r="B712" s="1" t="s">
        <v>1017</v>
      </c>
      <c r="C712" s="1" t="s">
        <v>1018</v>
      </c>
      <c r="D712" s="1" t="s">
        <v>207</v>
      </c>
      <c r="E712" s="1" t="s">
        <v>75</v>
      </c>
      <c r="F712" s="1">
        <v>4</v>
      </c>
      <c r="G712" s="1" t="str">
        <f>CONCATENATE(Table1[[#This Row],[Duration_Years]]," ","years")</f>
        <v>4 years</v>
      </c>
      <c r="H712" s="11">
        <v>3800</v>
      </c>
      <c r="I712" s="1">
        <v>41.5</v>
      </c>
      <c r="J712" s="11">
        <v>280</v>
      </c>
      <c r="K712" s="11">
        <v>150</v>
      </c>
      <c r="L712" s="11">
        <v>250</v>
      </c>
      <c r="M712" s="22">
        <v>15600</v>
      </c>
      <c r="N712" s="3" t="str">
        <f>IF(Table1[[#This Row],[Exchange_Rate]]&lt;5,"Strong Currency", IF(Table1[[#This Row],[Exchange_Rate]]&lt;=1000, "Medium Currency","Weak Currency"))</f>
        <v>Weak Currency</v>
      </c>
      <c r="O712" s="11">
        <f>(Table1[[#This Row],[Living_Cost_Index]]/123.3)*1850</f>
        <v>622.66828872668293</v>
      </c>
      <c r="P712" s="11">
        <f>Table1[[#This Row],[Monthly_Estimated_Living_cost]]*12</f>
        <v>7472.0194647201952</v>
      </c>
      <c r="Q712" s="13">
        <f>Table1[[#This Row],[Tuition_USD]]+Table1[[#This Row],[Rent_USD]]+Table1[[#This Row],[Insurance_USD]]+Table1[[#This Row],[Visa_Fee_USD]]+Table1[[#This Row],[Annual_Estimated_Living_cost]]</f>
        <v>11952.019464720195</v>
      </c>
    </row>
    <row r="713" spans="1:17" x14ac:dyDescent="0.25">
      <c r="A713" s="2" t="s">
        <v>971</v>
      </c>
      <c r="B713" s="1" t="s">
        <v>1019</v>
      </c>
      <c r="C713" s="1" t="s">
        <v>1020</v>
      </c>
      <c r="D713" s="1" t="s">
        <v>1021</v>
      </c>
      <c r="E713" s="1" t="s">
        <v>75</v>
      </c>
      <c r="F713" s="1">
        <v>3</v>
      </c>
      <c r="G713" s="1" t="str">
        <f>CONCATENATE(Table1[[#This Row],[Duration_Years]]," ","years")</f>
        <v>3 years</v>
      </c>
      <c r="H713" s="11">
        <v>0</v>
      </c>
      <c r="I713" s="1">
        <v>81.2</v>
      </c>
      <c r="J713" s="11">
        <v>950</v>
      </c>
      <c r="K713" s="11">
        <v>140</v>
      </c>
      <c r="L713" s="11">
        <v>900</v>
      </c>
      <c r="M713" s="22">
        <v>137.5</v>
      </c>
      <c r="N713" s="3" t="str">
        <f>IF(Table1[[#This Row],[Exchange_Rate]]&lt;5,"Strong Currency", IF(Table1[[#This Row],[Exchange_Rate]]&lt;=1000, "Medium Currency","Weak Currency"))</f>
        <v>Medium Currency</v>
      </c>
      <c r="O713" s="11">
        <f>(Table1[[#This Row],[Living_Cost_Index]]/123.3)*1850</f>
        <v>1218.3292781832929</v>
      </c>
      <c r="P713" s="11">
        <f>Table1[[#This Row],[Monthly_Estimated_Living_cost]]*12</f>
        <v>14619.951338199515</v>
      </c>
      <c r="Q713" s="13">
        <f>Table1[[#This Row],[Tuition_USD]]+Table1[[#This Row],[Rent_USD]]+Table1[[#This Row],[Insurance_USD]]+Table1[[#This Row],[Visa_Fee_USD]]+Table1[[#This Row],[Annual_Estimated_Living_cost]]</f>
        <v>16609.951338199513</v>
      </c>
    </row>
    <row r="714" spans="1:17" x14ac:dyDescent="0.25">
      <c r="A714" s="2" t="s">
        <v>974</v>
      </c>
      <c r="B714" s="1" t="s">
        <v>1022</v>
      </c>
      <c r="C714" s="1" t="s">
        <v>1023</v>
      </c>
      <c r="D714" s="1" t="s">
        <v>20</v>
      </c>
      <c r="E714" s="1" t="s">
        <v>1353</v>
      </c>
      <c r="F714" s="1">
        <v>4</v>
      </c>
      <c r="G714" s="1" t="str">
        <f>CONCATENATE(Table1[[#This Row],[Duration_Years]]," ","years")</f>
        <v>4 years</v>
      </c>
      <c r="H714" s="11">
        <v>3500</v>
      </c>
      <c r="I714" s="1">
        <v>34.799999999999997</v>
      </c>
      <c r="J714" s="11">
        <v>260</v>
      </c>
      <c r="K714" s="11">
        <v>80</v>
      </c>
      <c r="L714" s="11">
        <v>300</v>
      </c>
      <c r="M714" s="22">
        <v>3950</v>
      </c>
      <c r="N714" s="3" t="str">
        <f>IF(Table1[[#This Row],[Exchange_Rate]]&lt;5,"Strong Currency", IF(Table1[[#This Row],[Exchange_Rate]]&lt;=1000, "Medium Currency","Weak Currency"))</f>
        <v>Weak Currency</v>
      </c>
      <c r="O714" s="11">
        <f>(Table1[[#This Row],[Living_Cost_Index]]/123.3)*1850</f>
        <v>522.14111922141115</v>
      </c>
      <c r="P714" s="11">
        <f>Table1[[#This Row],[Monthly_Estimated_Living_cost]]*12</f>
        <v>6265.6934306569337</v>
      </c>
      <c r="Q714" s="13">
        <f>Table1[[#This Row],[Tuition_USD]]+Table1[[#This Row],[Rent_USD]]+Table1[[#This Row],[Insurance_USD]]+Table1[[#This Row],[Visa_Fee_USD]]+Table1[[#This Row],[Annual_Estimated_Living_cost]]</f>
        <v>10405.693430656935</v>
      </c>
    </row>
    <row r="715" spans="1:17" x14ac:dyDescent="0.25">
      <c r="A715" s="2" t="s">
        <v>160</v>
      </c>
      <c r="B715" s="1" t="s">
        <v>1024</v>
      </c>
      <c r="C715" s="1" t="s">
        <v>1025</v>
      </c>
      <c r="D715" s="1" t="s">
        <v>300</v>
      </c>
      <c r="E715" s="1" t="s">
        <v>16</v>
      </c>
      <c r="F715" s="1">
        <v>2</v>
      </c>
      <c r="G715" s="1" t="str">
        <f>CONCATENATE(Table1[[#This Row],[Duration_Years]]," ","years")</f>
        <v>2 years</v>
      </c>
      <c r="H715" s="11">
        <v>2500</v>
      </c>
      <c r="I715" s="1">
        <v>49.8</v>
      </c>
      <c r="J715" s="11">
        <v>520</v>
      </c>
      <c r="K715" s="11">
        <v>80</v>
      </c>
      <c r="L715" s="11">
        <v>400</v>
      </c>
      <c r="M715" s="22">
        <v>4.0999999999999996</v>
      </c>
      <c r="N715" s="3" t="str">
        <f>IF(Table1[[#This Row],[Exchange_Rate]]&lt;5,"Strong Currency", IF(Table1[[#This Row],[Exchange_Rate]]&lt;=1000, "Medium Currency","Weak Currency"))</f>
        <v>Strong Currency</v>
      </c>
      <c r="O715" s="11">
        <f>(Table1[[#This Row],[Living_Cost_Index]]/123.3)*1850</f>
        <v>747.20194647201947</v>
      </c>
      <c r="P715" s="11">
        <f>Table1[[#This Row],[Monthly_Estimated_Living_cost]]*12</f>
        <v>8966.4233576642328</v>
      </c>
      <c r="Q715" s="13">
        <f>Table1[[#This Row],[Tuition_USD]]+Table1[[#This Row],[Rent_USD]]+Table1[[#This Row],[Insurance_USD]]+Table1[[#This Row],[Visa_Fee_USD]]+Table1[[#This Row],[Annual_Estimated_Living_cost]]</f>
        <v>12466.423357664233</v>
      </c>
    </row>
    <row r="716" spans="1:17" x14ac:dyDescent="0.25">
      <c r="A716" s="2" t="s">
        <v>977</v>
      </c>
      <c r="B716" s="1" t="s">
        <v>1026</v>
      </c>
      <c r="C716" s="1" t="s">
        <v>1027</v>
      </c>
      <c r="D716" s="1" t="s">
        <v>63</v>
      </c>
      <c r="E716" s="1" t="s">
        <v>75</v>
      </c>
      <c r="F716" s="1">
        <v>4</v>
      </c>
      <c r="G716" s="1" t="str">
        <f>CONCATENATE(Table1[[#This Row],[Duration_Years]]," ","years")</f>
        <v>4 years</v>
      </c>
      <c r="H716" s="11">
        <v>2000</v>
      </c>
      <c r="I716" s="1">
        <v>40.5</v>
      </c>
      <c r="J716" s="11">
        <v>330</v>
      </c>
      <c r="K716" s="11">
        <v>120</v>
      </c>
      <c r="L716" s="11">
        <v>350</v>
      </c>
      <c r="M716" s="22">
        <v>4.6500000000000004</v>
      </c>
      <c r="N716" s="3" t="str">
        <f>IF(Table1[[#This Row],[Exchange_Rate]]&lt;5,"Strong Currency", IF(Table1[[#This Row],[Exchange_Rate]]&lt;=1000, "Medium Currency","Weak Currency"))</f>
        <v>Strong Currency</v>
      </c>
      <c r="O716" s="11">
        <f>(Table1[[#This Row],[Living_Cost_Index]]/123.3)*1850</f>
        <v>607.66423357664235</v>
      </c>
      <c r="P716" s="11">
        <f>Table1[[#This Row],[Monthly_Estimated_Living_cost]]*12</f>
        <v>7291.9708029197081</v>
      </c>
      <c r="Q716" s="13">
        <f>Table1[[#This Row],[Tuition_USD]]+Table1[[#This Row],[Rent_USD]]+Table1[[#This Row],[Insurance_USD]]+Table1[[#This Row],[Visa_Fee_USD]]+Table1[[#This Row],[Annual_Estimated_Living_cost]]</f>
        <v>10091.970802919708</v>
      </c>
    </row>
    <row r="717" spans="1:17" x14ac:dyDescent="0.25">
      <c r="A717" s="2" t="s">
        <v>980</v>
      </c>
      <c r="B717" s="1" t="s">
        <v>1028</v>
      </c>
      <c r="C717" s="1" t="s">
        <v>1029</v>
      </c>
      <c r="D717" s="1" t="s">
        <v>222</v>
      </c>
      <c r="E717" s="1" t="s">
        <v>16</v>
      </c>
      <c r="F717" s="1">
        <v>2</v>
      </c>
      <c r="G717" s="1" t="str">
        <f>CONCATENATE(Table1[[#This Row],[Duration_Years]]," ","years")</f>
        <v>2 years</v>
      </c>
      <c r="H717" s="11">
        <v>400</v>
      </c>
      <c r="I717" s="1">
        <v>77.8</v>
      </c>
      <c r="J717" s="11">
        <v>1150</v>
      </c>
      <c r="K717" s="11">
        <v>100</v>
      </c>
      <c r="L717" s="11">
        <v>800</v>
      </c>
      <c r="M717" s="22">
        <v>0.92</v>
      </c>
      <c r="N717" s="3" t="str">
        <f>IF(Table1[[#This Row],[Exchange_Rate]]&lt;5,"Strong Currency", IF(Table1[[#This Row],[Exchange_Rate]]&lt;=1000, "Medium Currency","Weak Currency"))</f>
        <v>Strong Currency</v>
      </c>
      <c r="O717" s="11">
        <f>(Table1[[#This Row],[Living_Cost_Index]]/123.3)*1850</f>
        <v>1167.315490673155</v>
      </c>
      <c r="P717" s="11">
        <f>Table1[[#This Row],[Monthly_Estimated_Living_cost]]*12</f>
        <v>14007.785888077859</v>
      </c>
      <c r="Q717" s="13">
        <f>Table1[[#This Row],[Tuition_USD]]+Table1[[#This Row],[Rent_USD]]+Table1[[#This Row],[Insurance_USD]]+Table1[[#This Row],[Visa_Fee_USD]]+Table1[[#This Row],[Annual_Estimated_Living_cost]]</f>
        <v>16457.785888077859</v>
      </c>
    </row>
    <row r="718" spans="1:17" x14ac:dyDescent="0.25">
      <c r="A718" s="2" t="s">
        <v>372</v>
      </c>
      <c r="B718" s="1" t="s">
        <v>1030</v>
      </c>
      <c r="C718" s="1" t="s">
        <v>1031</v>
      </c>
      <c r="D718" s="1" t="s">
        <v>40</v>
      </c>
      <c r="E718" s="1" t="s">
        <v>16</v>
      </c>
      <c r="F718" s="1">
        <v>2</v>
      </c>
      <c r="G718" s="1" t="str">
        <f>CONCATENATE(Table1[[#This Row],[Duration_Years]]," ","years")</f>
        <v>2 years</v>
      </c>
      <c r="H718" s="11">
        <v>3500</v>
      </c>
      <c r="I718" s="1">
        <v>39.799999999999997</v>
      </c>
      <c r="J718" s="11">
        <v>240</v>
      </c>
      <c r="K718" s="11">
        <v>150</v>
      </c>
      <c r="L718" s="11">
        <v>250</v>
      </c>
      <c r="M718" s="22">
        <v>15600</v>
      </c>
      <c r="N718" s="3" t="str">
        <f>IF(Table1[[#This Row],[Exchange_Rate]]&lt;5,"Strong Currency", IF(Table1[[#This Row],[Exchange_Rate]]&lt;=1000, "Medium Currency","Weak Currency"))</f>
        <v>Weak Currency</v>
      </c>
      <c r="O718" s="11">
        <f>(Table1[[#This Row],[Living_Cost_Index]]/123.3)*1850</f>
        <v>597.16139497161384</v>
      </c>
      <c r="P718" s="11">
        <f>Table1[[#This Row],[Monthly_Estimated_Living_cost]]*12</f>
        <v>7165.9367396593661</v>
      </c>
      <c r="Q718" s="13">
        <f>Table1[[#This Row],[Tuition_USD]]+Table1[[#This Row],[Rent_USD]]+Table1[[#This Row],[Insurance_USD]]+Table1[[#This Row],[Visa_Fee_USD]]+Table1[[#This Row],[Annual_Estimated_Living_cost]]</f>
        <v>11305.936739659366</v>
      </c>
    </row>
    <row r="719" spans="1:17" x14ac:dyDescent="0.25">
      <c r="A719" s="2" t="s">
        <v>160</v>
      </c>
      <c r="B719" s="1" t="s">
        <v>1032</v>
      </c>
      <c r="C719" s="1" t="s">
        <v>1033</v>
      </c>
      <c r="D719" s="1" t="s">
        <v>207</v>
      </c>
      <c r="E719" s="1" t="s">
        <v>16</v>
      </c>
      <c r="F719" s="1">
        <v>2</v>
      </c>
      <c r="G719" s="1" t="str">
        <f>CONCATENATE(Table1[[#This Row],[Duration_Years]]," ","years")</f>
        <v>2 years</v>
      </c>
      <c r="H719" s="11">
        <v>2400</v>
      </c>
      <c r="I719" s="1">
        <v>48.5</v>
      </c>
      <c r="J719" s="11">
        <v>500</v>
      </c>
      <c r="K719" s="11">
        <v>80</v>
      </c>
      <c r="L719" s="11">
        <v>400</v>
      </c>
      <c r="M719" s="22">
        <v>4.0999999999999996</v>
      </c>
      <c r="N719" s="3" t="str">
        <f>IF(Table1[[#This Row],[Exchange_Rate]]&lt;5,"Strong Currency", IF(Table1[[#This Row],[Exchange_Rate]]&lt;=1000, "Medium Currency","Weak Currency"))</f>
        <v>Strong Currency</v>
      </c>
      <c r="O719" s="11">
        <f>(Table1[[#This Row],[Living_Cost_Index]]/123.3)*1850</f>
        <v>727.69667477696669</v>
      </c>
      <c r="P719" s="11">
        <f>Table1[[#This Row],[Monthly_Estimated_Living_cost]]*12</f>
        <v>8732.3600973236007</v>
      </c>
      <c r="Q719" s="13">
        <f>Table1[[#This Row],[Tuition_USD]]+Table1[[#This Row],[Rent_USD]]+Table1[[#This Row],[Insurance_USD]]+Table1[[#This Row],[Visa_Fee_USD]]+Table1[[#This Row],[Annual_Estimated_Living_cost]]</f>
        <v>12112.360097323601</v>
      </c>
    </row>
    <row r="720" spans="1:17" x14ac:dyDescent="0.25">
      <c r="A720" s="2" t="s">
        <v>977</v>
      </c>
      <c r="B720" s="1" t="s">
        <v>1034</v>
      </c>
      <c r="C720" s="1" t="s">
        <v>1035</v>
      </c>
      <c r="D720" s="1" t="s">
        <v>71</v>
      </c>
      <c r="E720" s="1" t="s">
        <v>16</v>
      </c>
      <c r="F720" s="1">
        <v>2</v>
      </c>
      <c r="G720" s="1" t="str">
        <f>CONCATENATE(Table1[[#This Row],[Duration_Years]]," ","years")</f>
        <v>2 years</v>
      </c>
      <c r="H720" s="11">
        <v>1900</v>
      </c>
      <c r="I720" s="1">
        <v>39.799999999999997</v>
      </c>
      <c r="J720" s="11">
        <v>320</v>
      </c>
      <c r="K720" s="11">
        <v>120</v>
      </c>
      <c r="L720" s="11">
        <v>350</v>
      </c>
      <c r="M720" s="22">
        <v>4.6500000000000004</v>
      </c>
      <c r="N720" s="3" t="str">
        <f>IF(Table1[[#This Row],[Exchange_Rate]]&lt;5,"Strong Currency", IF(Table1[[#This Row],[Exchange_Rate]]&lt;=1000, "Medium Currency","Weak Currency"))</f>
        <v>Strong Currency</v>
      </c>
      <c r="O720" s="11">
        <f>(Table1[[#This Row],[Living_Cost_Index]]/123.3)*1850</f>
        <v>597.16139497161384</v>
      </c>
      <c r="P720" s="11">
        <f>Table1[[#This Row],[Monthly_Estimated_Living_cost]]*12</f>
        <v>7165.9367396593661</v>
      </c>
      <c r="Q720" s="13">
        <f>Table1[[#This Row],[Tuition_USD]]+Table1[[#This Row],[Rent_USD]]+Table1[[#This Row],[Insurance_USD]]+Table1[[#This Row],[Visa_Fee_USD]]+Table1[[#This Row],[Annual_Estimated_Living_cost]]</f>
        <v>9855.9367396593661</v>
      </c>
    </row>
    <row r="721" spans="1:17" x14ac:dyDescent="0.25">
      <c r="A721" s="2" t="s">
        <v>980</v>
      </c>
      <c r="B721" s="1" t="s">
        <v>1036</v>
      </c>
      <c r="C721" s="1" t="s">
        <v>1037</v>
      </c>
      <c r="D721" s="1" t="s">
        <v>456</v>
      </c>
      <c r="E721" s="1" t="s">
        <v>75</v>
      </c>
      <c r="F721" s="1">
        <v>3</v>
      </c>
      <c r="G721" s="1" t="str">
        <f>CONCATENATE(Table1[[#This Row],[Duration_Years]]," ","years")</f>
        <v>3 years</v>
      </c>
      <c r="H721" s="11">
        <v>400</v>
      </c>
      <c r="I721" s="1">
        <v>76.5</v>
      </c>
      <c r="J721" s="11">
        <v>1100</v>
      </c>
      <c r="K721" s="11">
        <v>100</v>
      </c>
      <c r="L721" s="11">
        <v>800</v>
      </c>
      <c r="M721" s="22">
        <v>0.92</v>
      </c>
      <c r="N721" s="3" t="str">
        <f>IF(Table1[[#This Row],[Exchange_Rate]]&lt;5,"Strong Currency", IF(Table1[[#This Row],[Exchange_Rate]]&lt;=1000, "Medium Currency","Weak Currency"))</f>
        <v>Strong Currency</v>
      </c>
      <c r="O721" s="11">
        <f>(Table1[[#This Row],[Living_Cost_Index]]/123.3)*1850</f>
        <v>1147.8102189781023</v>
      </c>
      <c r="P721" s="11">
        <f>Table1[[#This Row],[Monthly_Estimated_Living_cost]]*12</f>
        <v>13773.722627737228</v>
      </c>
      <c r="Q721" s="13">
        <f>Table1[[#This Row],[Tuition_USD]]+Table1[[#This Row],[Rent_USD]]+Table1[[#This Row],[Insurance_USD]]+Table1[[#This Row],[Visa_Fee_USD]]+Table1[[#This Row],[Annual_Estimated_Living_cost]]</f>
        <v>16173.722627737228</v>
      </c>
    </row>
    <row r="722" spans="1:17" x14ac:dyDescent="0.25">
      <c r="A722" s="2" t="s">
        <v>372</v>
      </c>
      <c r="B722" s="1" t="s">
        <v>1038</v>
      </c>
      <c r="C722" s="1" t="s">
        <v>1039</v>
      </c>
      <c r="D722" s="1" t="s">
        <v>15</v>
      </c>
      <c r="E722" s="1" t="s">
        <v>1353</v>
      </c>
      <c r="F722" s="1">
        <v>4</v>
      </c>
      <c r="G722" s="1" t="str">
        <f>CONCATENATE(Table1[[#This Row],[Duration_Years]]," ","years")</f>
        <v>4 years</v>
      </c>
      <c r="H722" s="11">
        <v>3200</v>
      </c>
      <c r="I722" s="1">
        <v>38.5</v>
      </c>
      <c r="J722" s="11">
        <v>220</v>
      </c>
      <c r="K722" s="11">
        <v>150</v>
      </c>
      <c r="L722" s="11">
        <v>250</v>
      </c>
      <c r="M722" s="22">
        <v>15600</v>
      </c>
      <c r="N722" s="3" t="str">
        <f>IF(Table1[[#This Row],[Exchange_Rate]]&lt;5,"Strong Currency", IF(Table1[[#This Row],[Exchange_Rate]]&lt;=1000, "Medium Currency","Weak Currency"))</f>
        <v>Weak Currency</v>
      </c>
      <c r="O722" s="11">
        <f>(Table1[[#This Row],[Living_Cost_Index]]/123.3)*1850</f>
        <v>577.65612327656117</v>
      </c>
      <c r="P722" s="11">
        <f>Table1[[#This Row],[Monthly_Estimated_Living_cost]]*12</f>
        <v>6931.8734793187341</v>
      </c>
      <c r="Q722" s="13">
        <f>Table1[[#This Row],[Tuition_USD]]+Table1[[#This Row],[Rent_USD]]+Table1[[#This Row],[Insurance_USD]]+Table1[[#This Row],[Visa_Fee_USD]]+Table1[[#This Row],[Annual_Estimated_Living_cost]]</f>
        <v>10751.873479318734</v>
      </c>
    </row>
    <row r="723" spans="1:17" x14ac:dyDescent="0.25">
      <c r="A723" s="2" t="s">
        <v>971</v>
      </c>
      <c r="B723" s="1" t="s">
        <v>1040</v>
      </c>
      <c r="C723" s="1" t="s">
        <v>1041</v>
      </c>
      <c r="D723" s="1" t="s">
        <v>1042</v>
      </c>
      <c r="E723" s="1" t="s">
        <v>16</v>
      </c>
      <c r="F723" s="1">
        <v>2</v>
      </c>
      <c r="G723" s="1" t="str">
        <f>CONCATENATE(Table1[[#This Row],[Duration_Years]]," ","years")</f>
        <v>2 years</v>
      </c>
      <c r="H723" s="11">
        <v>0</v>
      </c>
      <c r="I723" s="1">
        <v>79.8</v>
      </c>
      <c r="J723" s="11">
        <v>900</v>
      </c>
      <c r="K723" s="11">
        <v>140</v>
      </c>
      <c r="L723" s="11">
        <v>900</v>
      </c>
      <c r="M723" s="22">
        <v>137.5</v>
      </c>
      <c r="N723" s="3" t="str">
        <f>IF(Table1[[#This Row],[Exchange_Rate]]&lt;5,"Strong Currency", IF(Table1[[#This Row],[Exchange_Rate]]&lt;=1000, "Medium Currency","Weak Currency"))</f>
        <v>Medium Currency</v>
      </c>
      <c r="O723" s="11">
        <f>(Table1[[#This Row],[Living_Cost_Index]]/123.3)*1850</f>
        <v>1197.3236009732359</v>
      </c>
      <c r="P723" s="11">
        <f>Table1[[#This Row],[Monthly_Estimated_Living_cost]]*12</f>
        <v>14367.883211678831</v>
      </c>
      <c r="Q723" s="13">
        <f>Table1[[#This Row],[Tuition_USD]]+Table1[[#This Row],[Rent_USD]]+Table1[[#This Row],[Insurance_USD]]+Table1[[#This Row],[Visa_Fee_USD]]+Table1[[#This Row],[Annual_Estimated_Living_cost]]</f>
        <v>16307.883211678831</v>
      </c>
    </row>
    <row r="724" spans="1:17" x14ac:dyDescent="0.25">
      <c r="A724" s="2" t="s">
        <v>974</v>
      </c>
      <c r="B724" s="1" t="s">
        <v>1043</v>
      </c>
      <c r="C724" s="1" t="s">
        <v>1044</v>
      </c>
      <c r="D724" s="1" t="s">
        <v>215</v>
      </c>
      <c r="E724" s="1" t="s">
        <v>16</v>
      </c>
      <c r="F724" s="1">
        <v>2</v>
      </c>
      <c r="G724" s="1" t="str">
        <f>CONCATENATE(Table1[[#This Row],[Duration_Years]]," ","years")</f>
        <v>2 years</v>
      </c>
      <c r="H724" s="11">
        <v>3300</v>
      </c>
      <c r="I724" s="1">
        <v>35.200000000000003</v>
      </c>
      <c r="J724" s="11">
        <v>290</v>
      </c>
      <c r="K724" s="11">
        <v>80</v>
      </c>
      <c r="L724" s="11">
        <v>300</v>
      </c>
      <c r="M724" s="22">
        <v>3950</v>
      </c>
      <c r="N724" s="3" t="str">
        <f>IF(Table1[[#This Row],[Exchange_Rate]]&lt;5,"Strong Currency", IF(Table1[[#This Row],[Exchange_Rate]]&lt;=1000, "Medium Currency","Weak Currency"))</f>
        <v>Weak Currency</v>
      </c>
      <c r="O724" s="11">
        <f>(Table1[[#This Row],[Living_Cost_Index]]/123.3)*1850</f>
        <v>528.14274128142745</v>
      </c>
      <c r="P724" s="11">
        <f>Table1[[#This Row],[Monthly_Estimated_Living_cost]]*12</f>
        <v>6337.7128953771298</v>
      </c>
      <c r="Q724" s="13">
        <f>Table1[[#This Row],[Tuition_USD]]+Table1[[#This Row],[Rent_USD]]+Table1[[#This Row],[Insurance_USD]]+Table1[[#This Row],[Visa_Fee_USD]]+Table1[[#This Row],[Annual_Estimated_Living_cost]]</f>
        <v>10307.71289537713</v>
      </c>
    </row>
    <row r="725" spans="1:17" x14ac:dyDescent="0.25">
      <c r="A725" s="2" t="s">
        <v>160</v>
      </c>
      <c r="B725" s="1" t="s">
        <v>1045</v>
      </c>
      <c r="C725" s="1" t="s">
        <v>1046</v>
      </c>
      <c r="D725" s="1" t="s">
        <v>63</v>
      </c>
      <c r="E725" s="1" t="s">
        <v>75</v>
      </c>
      <c r="F725" s="1">
        <v>3</v>
      </c>
      <c r="G725" s="1" t="str">
        <f>CONCATENATE(Table1[[#This Row],[Duration_Years]]," ","years")</f>
        <v>3 years</v>
      </c>
      <c r="H725" s="11">
        <v>2300</v>
      </c>
      <c r="I725" s="1">
        <v>47.8</v>
      </c>
      <c r="J725" s="11">
        <v>480</v>
      </c>
      <c r="K725" s="11">
        <v>80</v>
      </c>
      <c r="L725" s="11">
        <v>400</v>
      </c>
      <c r="M725" s="22">
        <v>4.0999999999999996</v>
      </c>
      <c r="N725" s="3" t="str">
        <f>IF(Table1[[#This Row],[Exchange_Rate]]&lt;5,"Strong Currency", IF(Table1[[#This Row],[Exchange_Rate]]&lt;=1000, "Medium Currency","Weak Currency"))</f>
        <v>Strong Currency</v>
      </c>
      <c r="O725" s="11">
        <f>(Table1[[#This Row],[Living_Cost_Index]]/123.3)*1850</f>
        <v>717.19383617193841</v>
      </c>
      <c r="P725" s="11">
        <f>Table1[[#This Row],[Monthly_Estimated_Living_cost]]*12</f>
        <v>8606.3260340632605</v>
      </c>
      <c r="Q725" s="13">
        <f>Table1[[#This Row],[Tuition_USD]]+Table1[[#This Row],[Rent_USD]]+Table1[[#This Row],[Insurance_USD]]+Table1[[#This Row],[Visa_Fee_USD]]+Table1[[#This Row],[Annual_Estimated_Living_cost]]</f>
        <v>11866.326034063261</v>
      </c>
    </row>
    <row r="726" spans="1:17" x14ac:dyDescent="0.25">
      <c r="A726" s="2" t="s">
        <v>977</v>
      </c>
      <c r="B726" s="1" t="s">
        <v>1047</v>
      </c>
      <c r="C726" s="1" t="s">
        <v>1048</v>
      </c>
      <c r="D726" s="1" t="s">
        <v>241</v>
      </c>
      <c r="E726" s="1" t="s">
        <v>1353</v>
      </c>
      <c r="F726" s="1">
        <v>4</v>
      </c>
      <c r="G726" s="1" t="str">
        <f>CONCATENATE(Table1[[#This Row],[Duration_Years]]," ","years")</f>
        <v>4 years</v>
      </c>
      <c r="H726" s="11">
        <v>2200</v>
      </c>
      <c r="I726" s="1">
        <v>38.9</v>
      </c>
      <c r="J726" s="11">
        <v>300</v>
      </c>
      <c r="K726" s="11">
        <v>120</v>
      </c>
      <c r="L726" s="11">
        <v>350</v>
      </c>
      <c r="M726" s="22">
        <v>4.6500000000000004</v>
      </c>
      <c r="N726" s="3" t="str">
        <f>IF(Table1[[#This Row],[Exchange_Rate]]&lt;5,"Strong Currency", IF(Table1[[#This Row],[Exchange_Rate]]&lt;=1000, "Medium Currency","Weak Currency"))</f>
        <v>Strong Currency</v>
      </c>
      <c r="O726" s="11">
        <f>(Table1[[#This Row],[Living_Cost_Index]]/123.3)*1850</f>
        <v>583.65774533657748</v>
      </c>
      <c r="P726" s="11">
        <f>Table1[[#This Row],[Monthly_Estimated_Living_cost]]*12</f>
        <v>7003.8929440389293</v>
      </c>
      <c r="Q726" s="13">
        <f>Table1[[#This Row],[Tuition_USD]]+Table1[[#This Row],[Rent_USD]]+Table1[[#This Row],[Insurance_USD]]+Table1[[#This Row],[Visa_Fee_USD]]+Table1[[#This Row],[Annual_Estimated_Living_cost]]</f>
        <v>9973.8929440389293</v>
      </c>
    </row>
    <row r="727" spans="1:17" x14ac:dyDescent="0.25">
      <c r="A727" s="2" t="s">
        <v>980</v>
      </c>
      <c r="B727" s="1" t="s">
        <v>1049</v>
      </c>
      <c r="C727" s="1" t="s">
        <v>1050</v>
      </c>
      <c r="D727" s="1" t="s">
        <v>24</v>
      </c>
      <c r="E727" s="1" t="s">
        <v>16</v>
      </c>
      <c r="F727" s="1">
        <v>2</v>
      </c>
      <c r="G727" s="1" t="str">
        <f>CONCATENATE(Table1[[#This Row],[Duration_Years]]," ","years")</f>
        <v>2 years</v>
      </c>
      <c r="H727" s="11">
        <v>400</v>
      </c>
      <c r="I727" s="1">
        <v>75.400000000000006</v>
      </c>
      <c r="J727" s="11">
        <v>1050</v>
      </c>
      <c r="K727" s="11">
        <v>100</v>
      </c>
      <c r="L727" s="11">
        <v>800</v>
      </c>
      <c r="M727" s="22">
        <v>0.92</v>
      </c>
      <c r="N727" s="3" t="str">
        <f>IF(Table1[[#This Row],[Exchange_Rate]]&lt;5,"Strong Currency", IF(Table1[[#This Row],[Exchange_Rate]]&lt;=1000, "Medium Currency","Weak Currency"))</f>
        <v>Strong Currency</v>
      </c>
      <c r="O727" s="11">
        <f>(Table1[[#This Row],[Living_Cost_Index]]/123.3)*1850</f>
        <v>1131.3057583130576</v>
      </c>
      <c r="P727" s="11">
        <f>Table1[[#This Row],[Monthly_Estimated_Living_cost]]*12</f>
        <v>13575.669099756691</v>
      </c>
      <c r="Q727" s="13">
        <f>Table1[[#This Row],[Tuition_USD]]+Table1[[#This Row],[Rent_USD]]+Table1[[#This Row],[Insurance_USD]]+Table1[[#This Row],[Visa_Fee_USD]]+Table1[[#This Row],[Annual_Estimated_Living_cost]]</f>
        <v>15925.669099756691</v>
      </c>
    </row>
    <row r="728" spans="1:17" x14ac:dyDescent="0.25">
      <c r="A728" s="2" t="s">
        <v>372</v>
      </c>
      <c r="B728" s="1" t="s">
        <v>1051</v>
      </c>
      <c r="C728" s="1" t="s">
        <v>1052</v>
      </c>
      <c r="D728" s="1" t="s">
        <v>222</v>
      </c>
      <c r="E728" s="1" t="s">
        <v>16</v>
      </c>
      <c r="F728" s="1">
        <v>2</v>
      </c>
      <c r="G728" s="1" t="str">
        <f>CONCATENATE(Table1[[#This Row],[Duration_Years]]," ","years")</f>
        <v>2 years</v>
      </c>
      <c r="H728" s="11">
        <v>3000</v>
      </c>
      <c r="I728" s="1">
        <v>37.9</v>
      </c>
      <c r="J728" s="11">
        <v>200</v>
      </c>
      <c r="K728" s="11">
        <v>150</v>
      </c>
      <c r="L728" s="11">
        <v>250</v>
      </c>
      <c r="M728" s="22">
        <v>15600</v>
      </c>
      <c r="N728" s="3" t="str">
        <f>IF(Table1[[#This Row],[Exchange_Rate]]&lt;5,"Strong Currency", IF(Table1[[#This Row],[Exchange_Rate]]&lt;=1000, "Medium Currency","Weak Currency"))</f>
        <v>Weak Currency</v>
      </c>
      <c r="O728" s="11">
        <f>(Table1[[#This Row],[Living_Cost_Index]]/123.3)*1850</f>
        <v>568.65369018653689</v>
      </c>
      <c r="P728" s="11">
        <f>Table1[[#This Row],[Monthly_Estimated_Living_cost]]*12</f>
        <v>6823.8442822384422</v>
      </c>
      <c r="Q728" s="13">
        <f>Table1[[#This Row],[Tuition_USD]]+Table1[[#This Row],[Rent_USD]]+Table1[[#This Row],[Insurance_USD]]+Table1[[#This Row],[Visa_Fee_USD]]+Table1[[#This Row],[Annual_Estimated_Living_cost]]</f>
        <v>10423.844282238442</v>
      </c>
    </row>
    <row r="729" spans="1:17" x14ac:dyDescent="0.25">
      <c r="A729" s="2" t="s">
        <v>1053</v>
      </c>
      <c r="B729" s="1" t="s">
        <v>1054</v>
      </c>
      <c r="C729" s="1" t="s">
        <v>1055</v>
      </c>
      <c r="D729" s="1" t="s">
        <v>15</v>
      </c>
      <c r="E729" s="1" t="s">
        <v>16</v>
      </c>
      <c r="F729" s="1">
        <v>2</v>
      </c>
      <c r="G729" s="1" t="str">
        <f>CONCATENATE(Table1[[#This Row],[Duration_Years]]," ","years")</f>
        <v>2 years</v>
      </c>
      <c r="H729" s="11">
        <v>1500</v>
      </c>
      <c r="I729" s="1">
        <v>35.799999999999997</v>
      </c>
      <c r="J729" s="11">
        <v>250</v>
      </c>
      <c r="K729" s="11">
        <v>60</v>
      </c>
      <c r="L729" s="11">
        <v>200</v>
      </c>
      <c r="M729" s="22">
        <v>3.15</v>
      </c>
      <c r="N729" s="3" t="str">
        <f>IF(Table1[[#This Row],[Exchange_Rate]]&lt;5,"Strong Currency", IF(Table1[[#This Row],[Exchange_Rate]]&lt;=1000, "Medium Currency","Weak Currency"))</f>
        <v>Strong Currency</v>
      </c>
      <c r="O729" s="11">
        <f>(Table1[[#This Row],[Living_Cost_Index]]/123.3)*1850</f>
        <v>537.14517437145162</v>
      </c>
      <c r="P729" s="11">
        <f>Table1[[#This Row],[Monthly_Estimated_Living_cost]]*12</f>
        <v>6445.7420924574199</v>
      </c>
      <c r="Q729" s="13">
        <f>Table1[[#This Row],[Tuition_USD]]+Table1[[#This Row],[Rent_USD]]+Table1[[#This Row],[Insurance_USD]]+Table1[[#This Row],[Visa_Fee_USD]]+Table1[[#This Row],[Annual_Estimated_Living_cost]]</f>
        <v>8455.7420924574199</v>
      </c>
    </row>
    <row r="730" spans="1:17" x14ac:dyDescent="0.25">
      <c r="A730" s="2" t="s">
        <v>1056</v>
      </c>
      <c r="B730" s="1" t="s">
        <v>1057</v>
      </c>
      <c r="C730" s="1" t="s">
        <v>1058</v>
      </c>
      <c r="D730" s="1" t="s">
        <v>20</v>
      </c>
      <c r="E730" s="1" t="s">
        <v>16</v>
      </c>
      <c r="F730" s="1">
        <v>2</v>
      </c>
      <c r="G730" s="1" t="str">
        <f>CONCATENATE(Table1[[#This Row],[Duration_Years]]," ","years")</f>
        <v>2 years</v>
      </c>
      <c r="H730" s="11">
        <v>8000</v>
      </c>
      <c r="I730" s="1">
        <v>65.400000000000006</v>
      </c>
      <c r="J730" s="11">
        <v>600</v>
      </c>
      <c r="K730" s="11">
        <v>100</v>
      </c>
      <c r="L730" s="11">
        <v>500</v>
      </c>
      <c r="M730" s="22">
        <v>0.92</v>
      </c>
      <c r="N730" s="3" t="str">
        <f>IF(Table1[[#This Row],[Exchange_Rate]]&lt;5,"Strong Currency", IF(Table1[[#This Row],[Exchange_Rate]]&lt;=1000, "Medium Currency","Weak Currency"))</f>
        <v>Strong Currency</v>
      </c>
      <c r="O730" s="11">
        <f>(Table1[[#This Row],[Living_Cost_Index]]/123.3)*1850</f>
        <v>981.26520681265208</v>
      </c>
      <c r="P730" s="11">
        <f>Table1[[#This Row],[Monthly_Estimated_Living_cost]]*12</f>
        <v>11775.182481751825</v>
      </c>
      <c r="Q730" s="13">
        <f>Table1[[#This Row],[Tuition_USD]]+Table1[[#This Row],[Rent_USD]]+Table1[[#This Row],[Insurance_USD]]+Table1[[#This Row],[Visa_Fee_USD]]+Table1[[#This Row],[Annual_Estimated_Living_cost]]</f>
        <v>20975.182481751825</v>
      </c>
    </row>
    <row r="731" spans="1:17" x14ac:dyDescent="0.25">
      <c r="A731" s="2" t="s">
        <v>1059</v>
      </c>
      <c r="B731" s="1" t="s">
        <v>1060</v>
      </c>
      <c r="C731" s="1" t="s">
        <v>1061</v>
      </c>
      <c r="D731" s="1" t="s">
        <v>207</v>
      </c>
      <c r="E731" s="1" t="s">
        <v>1353</v>
      </c>
      <c r="F731" s="1">
        <v>4</v>
      </c>
      <c r="G731" s="1" t="str">
        <f>CONCATENATE(Table1[[#This Row],[Duration_Years]]," ","years")</f>
        <v>4 years</v>
      </c>
      <c r="H731" s="11">
        <v>4000</v>
      </c>
      <c r="I731" s="1">
        <v>58.9</v>
      </c>
      <c r="J731" s="11">
        <v>450</v>
      </c>
      <c r="K731" s="11">
        <v>80</v>
      </c>
      <c r="L731" s="11">
        <v>400</v>
      </c>
      <c r="M731" s="22">
        <v>7.35</v>
      </c>
      <c r="N731" s="3" t="str">
        <f>IF(Table1[[#This Row],[Exchange_Rate]]&lt;5,"Strong Currency", IF(Table1[[#This Row],[Exchange_Rate]]&lt;=1000, "Medium Currency","Weak Currency"))</f>
        <v>Medium Currency</v>
      </c>
      <c r="O731" s="11">
        <f>(Table1[[#This Row],[Living_Cost_Index]]/123.3)*1850</f>
        <v>883.7388483373885</v>
      </c>
      <c r="P731" s="11">
        <f>Table1[[#This Row],[Monthly_Estimated_Living_cost]]*12</f>
        <v>10604.866180048662</v>
      </c>
      <c r="Q731" s="13">
        <f>Table1[[#This Row],[Tuition_USD]]+Table1[[#This Row],[Rent_USD]]+Table1[[#This Row],[Insurance_USD]]+Table1[[#This Row],[Visa_Fee_USD]]+Table1[[#This Row],[Annual_Estimated_Living_cost]]</f>
        <v>15534.866180048662</v>
      </c>
    </row>
    <row r="732" spans="1:17" x14ac:dyDescent="0.25">
      <c r="A732" s="2" t="s">
        <v>1062</v>
      </c>
      <c r="B732" s="1" t="s">
        <v>1063</v>
      </c>
      <c r="C732" s="1" t="s">
        <v>1064</v>
      </c>
      <c r="D732" s="1" t="s">
        <v>63</v>
      </c>
      <c r="E732" s="1" t="s">
        <v>75</v>
      </c>
      <c r="F732" s="1">
        <v>4</v>
      </c>
      <c r="G732" s="1" t="str">
        <f>CONCATENATE(Table1[[#This Row],[Duration_Years]]," ","years")</f>
        <v>4 years</v>
      </c>
      <c r="H732" s="11">
        <v>6000</v>
      </c>
      <c r="I732" s="1">
        <v>42.5</v>
      </c>
      <c r="J732" s="11">
        <v>350</v>
      </c>
      <c r="K732" s="11">
        <v>100</v>
      </c>
      <c r="L732" s="11">
        <v>300</v>
      </c>
      <c r="M732" s="22">
        <v>56.8</v>
      </c>
      <c r="N732" s="3" t="str">
        <f>IF(Table1[[#This Row],[Exchange_Rate]]&lt;5,"Strong Currency", IF(Table1[[#This Row],[Exchange_Rate]]&lt;=1000, "Medium Currency","Weak Currency"))</f>
        <v>Medium Currency</v>
      </c>
      <c r="O732" s="11">
        <f>(Table1[[#This Row],[Living_Cost_Index]]/123.3)*1850</f>
        <v>637.6723438767234</v>
      </c>
      <c r="P732" s="11">
        <f>Table1[[#This Row],[Monthly_Estimated_Living_cost]]*12</f>
        <v>7652.0681265206804</v>
      </c>
      <c r="Q732" s="13">
        <f>Table1[[#This Row],[Tuition_USD]]+Table1[[#This Row],[Rent_USD]]+Table1[[#This Row],[Insurance_USD]]+Table1[[#This Row],[Visa_Fee_USD]]+Table1[[#This Row],[Annual_Estimated_Living_cost]]</f>
        <v>14402.06812652068</v>
      </c>
    </row>
    <row r="733" spans="1:17" x14ac:dyDescent="0.25">
      <c r="A733" s="2" t="s">
        <v>1065</v>
      </c>
      <c r="B733" s="1" t="s">
        <v>1066</v>
      </c>
      <c r="C733" s="1" t="s">
        <v>1067</v>
      </c>
      <c r="D733" s="1" t="s">
        <v>215</v>
      </c>
      <c r="E733" s="1" t="s">
        <v>16</v>
      </c>
      <c r="F733" s="1">
        <v>2</v>
      </c>
      <c r="G733" s="1" t="str">
        <f>CONCATENATE(Table1[[#This Row],[Duration_Years]]," ","years")</f>
        <v>2 years</v>
      </c>
      <c r="H733" s="11">
        <v>2000</v>
      </c>
      <c r="I733" s="1">
        <v>41.2</v>
      </c>
      <c r="J733" s="11">
        <v>300</v>
      </c>
      <c r="K733" s="11">
        <v>70</v>
      </c>
      <c r="L733" s="11">
        <v>250</v>
      </c>
      <c r="M733" s="22">
        <v>10.15</v>
      </c>
      <c r="N733" s="3" t="str">
        <f>IF(Table1[[#This Row],[Exchange_Rate]]&lt;5,"Strong Currency", IF(Table1[[#This Row],[Exchange_Rate]]&lt;=1000, "Medium Currency","Weak Currency"))</f>
        <v>Medium Currency</v>
      </c>
      <c r="O733" s="11">
        <f>(Table1[[#This Row],[Living_Cost_Index]]/123.3)*1850</f>
        <v>618.16707218167073</v>
      </c>
      <c r="P733" s="11">
        <f>Table1[[#This Row],[Monthly_Estimated_Living_cost]]*12</f>
        <v>7418.0048661800483</v>
      </c>
      <c r="Q733" s="13">
        <f>Table1[[#This Row],[Tuition_USD]]+Table1[[#This Row],[Rent_USD]]+Table1[[#This Row],[Insurance_USD]]+Table1[[#This Row],[Visa_Fee_USD]]+Table1[[#This Row],[Annual_Estimated_Living_cost]]</f>
        <v>10038.004866180048</v>
      </c>
    </row>
    <row r="734" spans="1:17" x14ac:dyDescent="0.25">
      <c r="A734" s="2" t="s">
        <v>1068</v>
      </c>
      <c r="B734" s="1" t="s">
        <v>1069</v>
      </c>
      <c r="C734" s="1" t="s">
        <v>1070</v>
      </c>
      <c r="D734" s="1" t="s">
        <v>71</v>
      </c>
      <c r="E734" s="1" t="s">
        <v>16</v>
      </c>
      <c r="F734" s="1">
        <v>2</v>
      </c>
      <c r="G734" s="1" t="str">
        <f>CONCATENATE(Table1[[#This Row],[Duration_Years]]," ","years")</f>
        <v>2 years</v>
      </c>
      <c r="H734" s="11">
        <v>8500</v>
      </c>
      <c r="I734" s="1">
        <v>44.8</v>
      </c>
      <c r="J734" s="11">
        <v>400</v>
      </c>
      <c r="K734" s="11">
        <v>120</v>
      </c>
      <c r="L734" s="11">
        <v>350</v>
      </c>
      <c r="M734" s="22">
        <v>3.75</v>
      </c>
      <c r="N734" s="3" t="str">
        <f>IF(Table1[[#This Row],[Exchange_Rate]]&lt;5,"Strong Currency", IF(Table1[[#This Row],[Exchange_Rate]]&lt;=1000, "Medium Currency","Weak Currency"))</f>
        <v>Strong Currency</v>
      </c>
      <c r="O734" s="11">
        <f>(Table1[[#This Row],[Living_Cost_Index]]/123.3)*1850</f>
        <v>672.18167072181666</v>
      </c>
      <c r="P734" s="11">
        <f>Table1[[#This Row],[Monthly_Estimated_Living_cost]]*12</f>
        <v>8066.1800486617994</v>
      </c>
      <c r="Q734" s="13">
        <f>Table1[[#This Row],[Tuition_USD]]+Table1[[#This Row],[Rent_USD]]+Table1[[#This Row],[Insurance_USD]]+Table1[[#This Row],[Visa_Fee_USD]]+Table1[[#This Row],[Annual_Estimated_Living_cost]]</f>
        <v>17436.180048661801</v>
      </c>
    </row>
    <row r="735" spans="1:17" x14ac:dyDescent="0.25">
      <c r="A735" s="2" t="s">
        <v>369</v>
      </c>
      <c r="B735" s="1" t="s">
        <v>370</v>
      </c>
      <c r="C735" s="1" t="s">
        <v>371</v>
      </c>
      <c r="D735" s="1" t="s">
        <v>15</v>
      </c>
      <c r="E735" s="1" t="s">
        <v>1353</v>
      </c>
      <c r="F735" s="1">
        <v>4</v>
      </c>
      <c r="G735" s="1" t="str">
        <f>CONCATENATE(Table1[[#This Row],[Duration_Years]]," ","years")</f>
        <v>4 years</v>
      </c>
      <c r="H735" s="11">
        <v>0</v>
      </c>
      <c r="I735" s="1">
        <v>42.5</v>
      </c>
      <c r="J735" s="11">
        <v>350</v>
      </c>
      <c r="K735" s="11">
        <v>90</v>
      </c>
      <c r="L735" s="11">
        <v>280</v>
      </c>
      <c r="M735" s="22">
        <v>275</v>
      </c>
      <c r="N735" s="3" t="str">
        <f>IF(Table1[[#This Row],[Exchange_Rate]]&lt;5,"Strong Currency", IF(Table1[[#This Row],[Exchange_Rate]]&lt;=1000, "Medium Currency","Weak Currency"))</f>
        <v>Medium Currency</v>
      </c>
      <c r="O735" s="11">
        <f>(Table1[[#This Row],[Living_Cost_Index]]/123.3)*1850</f>
        <v>637.6723438767234</v>
      </c>
      <c r="P735" s="11">
        <f>Table1[[#This Row],[Monthly_Estimated_Living_cost]]*12</f>
        <v>7652.0681265206804</v>
      </c>
      <c r="Q735" s="13">
        <f>Table1[[#This Row],[Tuition_USD]]+Table1[[#This Row],[Rent_USD]]+Table1[[#This Row],[Insurance_USD]]+Table1[[#This Row],[Visa_Fee_USD]]+Table1[[#This Row],[Annual_Estimated_Living_cost]]</f>
        <v>8372.0681265206804</v>
      </c>
    </row>
    <row r="736" spans="1:17" x14ac:dyDescent="0.25">
      <c r="A736" s="2" t="s">
        <v>1053</v>
      </c>
      <c r="B736" s="1" t="s">
        <v>1071</v>
      </c>
      <c r="C736" s="1" t="s">
        <v>1072</v>
      </c>
      <c r="D736" s="1" t="s">
        <v>40</v>
      </c>
      <c r="E736" s="1" t="s">
        <v>16</v>
      </c>
      <c r="F736" s="1">
        <v>2</v>
      </c>
      <c r="G736" s="1" t="str">
        <f>CONCATENATE(Table1[[#This Row],[Duration_Years]]," ","years")</f>
        <v>2 years</v>
      </c>
      <c r="H736" s="11">
        <v>1400</v>
      </c>
      <c r="I736" s="1">
        <v>33.200000000000003</v>
      </c>
      <c r="J736" s="11">
        <v>200</v>
      </c>
      <c r="K736" s="11">
        <v>60</v>
      </c>
      <c r="L736" s="11">
        <v>200</v>
      </c>
      <c r="M736" s="22">
        <v>3.15</v>
      </c>
      <c r="N736" s="3" t="str">
        <f>IF(Table1[[#This Row],[Exchange_Rate]]&lt;5,"Strong Currency", IF(Table1[[#This Row],[Exchange_Rate]]&lt;=1000, "Medium Currency","Weak Currency"))</f>
        <v>Strong Currency</v>
      </c>
      <c r="O736" s="11">
        <f>(Table1[[#This Row],[Living_Cost_Index]]/123.3)*1850</f>
        <v>498.13463098134633</v>
      </c>
      <c r="P736" s="11">
        <f>Table1[[#This Row],[Monthly_Estimated_Living_cost]]*12</f>
        <v>5977.6155717761558</v>
      </c>
      <c r="Q736" s="13">
        <f>Table1[[#This Row],[Tuition_USD]]+Table1[[#This Row],[Rent_USD]]+Table1[[#This Row],[Insurance_USD]]+Table1[[#This Row],[Visa_Fee_USD]]+Table1[[#This Row],[Annual_Estimated_Living_cost]]</f>
        <v>7837.6155717761558</v>
      </c>
    </row>
    <row r="737" spans="1:17" x14ac:dyDescent="0.25">
      <c r="A737" s="2" t="s">
        <v>1056</v>
      </c>
      <c r="B737" s="1" t="s">
        <v>1073</v>
      </c>
      <c r="C737" s="1" t="s">
        <v>1074</v>
      </c>
      <c r="D737" s="1" t="s">
        <v>241</v>
      </c>
      <c r="E737" s="1" t="s">
        <v>75</v>
      </c>
      <c r="F737" s="1">
        <v>4</v>
      </c>
      <c r="G737" s="1" t="str">
        <f>CONCATENATE(Table1[[#This Row],[Duration_Years]]," ","years")</f>
        <v>4 years</v>
      </c>
      <c r="H737" s="11">
        <v>7500</v>
      </c>
      <c r="I737" s="1">
        <v>62.8</v>
      </c>
      <c r="J737" s="11">
        <v>550</v>
      </c>
      <c r="K737" s="11">
        <v>100</v>
      </c>
      <c r="L737" s="11">
        <v>500</v>
      </c>
      <c r="M737" s="22">
        <v>0.92</v>
      </c>
      <c r="N737" s="3" t="str">
        <f>IF(Table1[[#This Row],[Exchange_Rate]]&lt;5,"Strong Currency", IF(Table1[[#This Row],[Exchange_Rate]]&lt;=1000, "Medium Currency","Weak Currency"))</f>
        <v>Strong Currency</v>
      </c>
      <c r="O737" s="11">
        <f>(Table1[[#This Row],[Living_Cost_Index]]/123.3)*1850</f>
        <v>942.25466342254663</v>
      </c>
      <c r="P737" s="11">
        <f>Table1[[#This Row],[Monthly_Estimated_Living_cost]]*12</f>
        <v>11307.05596107056</v>
      </c>
      <c r="Q737" s="13">
        <f>Table1[[#This Row],[Tuition_USD]]+Table1[[#This Row],[Rent_USD]]+Table1[[#This Row],[Insurance_USD]]+Table1[[#This Row],[Visa_Fee_USD]]+Table1[[#This Row],[Annual_Estimated_Living_cost]]</f>
        <v>19957.05596107056</v>
      </c>
    </row>
    <row r="738" spans="1:17" x14ac:dyDescent="0.25">
      <c r="A738" s="2" t="s">
        <v>1059</v>
      </c>
      <c r="B738" s="1" t="s">
        <v>1075</v>
      </c>
      <c r="C738" s="1" t="s">
        <v>1076</v>
      </c>
      <c r="D738" s="1" t="s">
        <v>251</v>
      </c>
      <c r="E738" s="1" t="s">
        <v>16</v>
      </c>
      <c r="F738" s="1">
        <v>2</v>
      </c>
      <c r="G738" s="1" t="str">
        <f>CONCATENATE(Table1[[#This Row],[Duration_Years]]," ","years")</f>
        <v>2 years</v>
      </c>
      <c r="H738" s="11">
        <v>3800</v>
      </c>
      <c r="I738" s="1">
        <v>56.4</v>
      </c>
      <c r="J738" s="11">
        <v>400</v>
      </c>
      <c r="K738" s="11">
        <v>80</v>
      </c>
      <c r="L738" s="11">
        <v>400</v>
      </c>
      <c r="M738" s="22">
        <v>7.35</v>
      </c>
      <c r="N738" s="3" t="str">
        <f>IF(Table1[[#This Row],[Exchange_Rate]]&lt;5,"Strong Currency", IF(Table1[[#This Row],[Exchange_Rate]]&lt;=1000, "Medium Currency","Weak Currency"))</f>
        <v>Medium Currency</v>
      </c>
      <c r="O738" s="11">
        <f>(Table1[[#This Row],[Living_Cost_Index]]/123.3)*1850</f>
        <v>846.22871046228715</v>
      </c>
      <c r="P738" s="11">
        <f>Table1[[#This Row],[Monthly_Estimated_Living_cost]]*12</f>
        <v>10154.744525547445</v>
      </c>
      <c r="Q738" s="13">
        <f>Table1[[#This Row],[Tuition_USD]]+Table1[[#This Row],[Rent_USD]]+Table1[[#This Row],[Insurance_USD]]+Table1[[#This Row],[Visa_Fee_USD]]+Table1[[#This Row],[Annual_Estimated_Living_cost]]</f>
        <v>14834.744525547445</v>
      </c>
    </row>
    <row r="739" spans="1:17" x14ac:dyDescent="0.25">
      <c r="A739" s="2" t="s">
        <v>1062</v>
      </c>
      <c r="B739" s="1" t="s">
        <v>1077</v>
      </c>
      <c r="C739" s="1" t="s">
        <v>1078</v>
      </c>
      <c r="D739" s="1" t="s">
        <v>222</v>
      </c>
      <c r="E739" s="1" t="s">
        <v>16</v>
      </c>
      <c r="F739" s="1">
        <v>2</v>
      </c>
      <c r="G739" s="1" t="str">
        <f>CONCATENATE(Table1[[#This Row],[Duration_Years]]," ","years")</f>
        <v>2 years</v>
      </c>
      <c r="H739" s="11">
        <v>5500</v>
      </c>
      <c r="I739" s="1">
        <v>40.200000000000003</v>
      </c>
      <c r="J739" s="11">
        <v>300</v>
      </c>
      <c r="K739" s="11">
        <v>100</v>
      </c>
      <c r="L739" s="11">
        <v>300</v>
      </c>
      <c r="M739" s="22">
        <v>56.8</v>
      </c>
      <c r="N739" s="3" t="str">
        <f>IF(Table1[[#This Row],[Exchange_Rate]]&lt;5,"Strong Currency", IF(Table1[[#This Row],[Exchange_Rate]]&lt;=1000, "Medium Currency","Weak Currency"))</f>
        <v>Medium Currency</v>
      </c>
      <c r="O739" s="11">
        <f>(Table1[[#This Row],[Living_Cost_Index]]/123.3)*1850</f>
        <v>603.16301703163026</v>
      </c>
      <c r="P739" s="11">
        <f>Table1[[#This Row],[Monthly_Estimated_Living_cost]]*12</f>
        <v>7237.9562043795631</v>
      </c>
      <c r="Q739" s="13">
        <f>Table1[[#This Row],[Tuition_USD]]+Table1[[#This Row],[Rent_USD]]+Table1[[#This Row],[Insurance_USD]]+Table1[[#This Row],[Visa_Fee_USD]]+Table1[[#This Row],[Annual_Estimated_Living_cost]]</f>
        <v>13437.956204379563</v>
      </c>
    </row>
    <row r="740" spans="1:17" x14ac:dyDescent="0.25">
      <c r="A740" s="2" t="s">
        <v>1065</v>
      </c>
      <c r="B740" s="1" t="s">
        <v>1079</v>
      </c>
      <c r="C740" s="1" t="s">
        <v>1080</v>
      </c>
      <c r="D740" s="1" t="s">
        <v>63</v>
      </c>
      <c r="E740" s="1" t="s">
        <v>1353</v>
      </c>
      <c r="F740" s="1">
        <v>4</v>
      </c>
      <c r="G740" s="1" t="str">
        <f>CONCATENATE(Table1[[#This Row],[Duration_Years]]," ","years")</f>
        <v>4 years</v>
      </c>
      <c r="H740" s="11">
        <v>2200</v>
      </c>
      <c r="I740" s="1">
        <v>43.5</v>
      </c>
      <c r="J740" s="11">
        <v>350</v>
      </c>
      <c r="K740" s="11">
        <v>70</v>
      </c>
      <c r="L740" s="11">
        <v>250</v>
      </c>
      <c r="M740" s="22">
        <v>10.15</v>
      </c>
      <c r="N740" s="3" t="str">
        <f>IF(Table1[[#This Row],[Exchange_Rate]]&lt;5,"Strong Currency", IF(Table1[[#This Row],[Exchange_Rate]]&lt;=1000, "Medium Currency","Weak Currency"))</f>
        <v>Medium Currency</v>
      </c>
      <c r="O740" s="11">
        <f>(Table1[[#This Row],[Living_Cost_Index]]/123.3)*1850</f>
        <v>652.67639902676399</v>
      </c>
      <c r="P740" s="11">
        <f>Table1[[#This Row],[Monthly_Estimated_Living_cost]]*12</f>
        <v>7832.1167883211674</v>
      </c>
      <c r="Q740" s="13">
        <f>Table1[[#This Row],[Tuition_USD]]+Table1[[#This Row],[Rent_USD]]+Table1[[#This Row],[Insurance_USD]]+Table1[[#This Row],[Visa_Fee_USD]]+Table1[[#This Row],[Annual_Estimated_Living_cost]]</f>
        <v>10702.116788321167</v>
      </c>
    </row>
    <row r="741" spans="1:17" x14ac:dyDescent="0.25">
      <c r="A741" s="2" t="s">
        <v>1068</v>
      </c>
      <c r="B741" s="1" t="s">
        <v>1081</v>
      </c>
      <c r="C741" s="1" t="s">
        <v>1082</v>
      </c>
      <c r="D741" s="1" t="s">
        <v>207</v>
      </c>
      <c r="E741" s="1" t="s">
        <v>75</v>
      </c>
      <c r="F741" s="1">
        <v>4</v>
      </c>
      <c r="G741" s="1" t="str">
        <f>CONCATENATE(Table1[[#This Row],[Duration_Years]]," ","years")</f>
        <v>4 years</v>
      </c>
      <c r="H741" s="11">
        <v>7000</v>
      </c>
      <c r="I741" s="1">
        <v>41.2</v>
      </c>
      <c r="J741" s="11">
        <v>300</v>
      </c>
      <c r="K741" s="11">
        <v>120</v>
      </c>
      <c r="L741" s="11">
        <v>350</v>
      </c>
      <c r="M741" s="22">
        <v>3.75</v>
      </c>
      <c r="N741" s="3" t="str">
        <f>IF(Table1[[#This Row],[Exchange_Rate]]&lt;5,"Strong Currency", IF(Table1[[#This Row],[Exchange_Rate]]&lt;=1000, "Medium Currency","Weak Currency"))</f>
        <v>Strong Currency</v>
      </c>
      <c r="O741" s="11">
        <f>(Table1[[#This Row],[Living_Cost_Index]]/123.3)*1850</f>
        <v>618.16707218167073</v>
      </c>
      <c r="P741" s="11">
        <f>Table1[[#This Row],[Monthly_Estimated_Living_cost]]*12</f>
        <v>7418.0048661800483</v>
      </c>
      <c r="Q741" s="13">
        <f>Table1[[#This Row],[Tuition_USD]]+Table1[[#This Row],[Rent_USD]]+Table1[[#This Row],[Insurance_USD]]+Table1[[#This Row],[Visa_Fee_USD]]+Table1[[#This Row],[Annual_Estimated_Living_cost]]</f>
        <v>15188.004866180048</v>
      </c>
    </row>
    <row r="742" spans="1:17" x14ac:dyDescent="0.25">
      <c r="A742" s="2" t="s">
        <v>369</v>
      </c>
      <c r="B742" s="1" t="s">
        <v>1083</v>
      </c>
      <c r="C742" s="1" t="s">
        <v>1084</v>
      </c>
      <c r="D742" s="1" t="s">
        <v>20</v>
      </c>
      <c r="E742" s="1" t="s">
        <v>16</v>
      </c>
      <c r="F742" s="1">
        <v>2</v>
      </c>
      <c r="G742" s="1" t="str">
        <f>CONCATENATE(Table1[[#This Row],[Duration_Years]]," ","years")</f>
        <v>2 years</v>
      </c>
      <c r="H742" s="11">
        <v>0</v>
      </c>
      <c r="I742" s="1">
        <v>39.799999999999997</v>
      </c>
      <c r="J742" s="11">
        <v>280</v>
      </c>
      <c r="K742" s="11">
        <v>90</v>
      </c>
      <c r="L742" s="11">
        <v>280</v>
      </c>
      <c r="M742" s="22">
        <v>275</v>
      </c>
      <c r="N742" s="3" t="str">
        <f>IF(Table1[[#This Row],[Exchange_Rate]]&lt;5,"Strong Currency", IF(Table1[[#This Row],[Exchange_Rate]]&lt;=1000, "Medium Currency","Weak Currency"))</f>
        <v>Medium Currency</v>
      </c>
      <c r="O742" s="11">
        <f>(Table1[[#This Row],[Living_Cost_Index]]/123.3)*1850</f>
        <v>597.16139497161384</v>
      </c>
      <c r="P742" s="11">
        <f>Table1[[#This Row],[Monthly_Estimated_Living_cost]]*12</f>
        <v>7165.9367396593661</v>
      </c>
      <c r="Q742" s="13">
        <f>Table1[[#This Row],[Tuition_USD]]+Table1[[#This Row],[Rent_USD]]+Table1[[#This Row],[Insurance_USD]]+Table1[[#This Row],[Visa_Fee_USD]]+Table1[[#This Row],[Annual_Estimated_Living_cost]]</f>
        <v>7815.9367396593661</v>
      </c>
    </row>
    <row r="743" spans="1:17" x14ac:dyDescent="0.25">
      <c r="A743" s="2" t="s">
        <v>1053</v>
      </c>
      <c r="B743" s="1" t="s">
        <v>1085</v>
      </c>
      <c r="C743" s="1" t="s">
        <v>1086</v>
      </c>
      <c r="D743" s="1" t="s">
        <v>500</v>
      </c>
      <c r="E743" s="1" t="s">
        <v>75</v>
      </c>
      <c r="F743" s="1">
        <v>3</v>
      </c>
      <c r="G743" s="1" t="str">
        <f>CONCATENATE(Table1[[#This Row],[Duration_Years]]," ","years")</f>
        <v>3 years</v>
      </c>
      <c r="H743" s="11">
        <v>1300</v>
      </c>
      <c r="I743" s="1">
        <v>32.5</v>
      </c>
      <c r="J743" s="11">
        <v>180</v>
      </c>
      <c r="K743" s="11">
        <v>60</v>
      </c>
      <c r="L743" s="11">
        <v>200</v>
      </c>
      <c r="M743" s="22">
        <v>3.15</v>
      </c>
      <c r="N743" s="3" t="str">
        <f>IF(Table1[[#This Row],[Exchange_Rate]]&lt;5,"Strong Currency", IF(Table1[[#This Row],[Exchange_Rate]]&lt;=1000, "Medium Currency","Weak Currency"))</f>
        <v>Strong Currency</v>
      </c>
      <c r="O743" s="11">
        <f>(Table1[[#This Row],[Living_Cost_Index]]/123.3)*1850</f>
        <v>487.63179237631789</v>
      </c>
      <c r="P743" s="11">
        <f>Table1[[#This Row],[Monthly_Estimated_Living_cost]]*12</f>
        <v>5851.5815085158147</v>
      </c>
      <c r="Q743" s="13">
        <f>Table1[[#This Row],[Tuition_USD]]+Table1[[#This Row],[Rent_USD]]+Table1[[#This Row],[Insurance_USD]]+Table1[[#This Row],[Visa_Fee_USD]]+Table1[[#This Row],[Annual_Estimated_Living_cost]]</f>
        <v>7591.5815085158147</v>
      </c>
    </row>
    <row r="744" spans="1:17" x14ac:dyDescent="0.25">
      <c r="A744" s="2" t="s">
        <v>1056</v>
      </c>
      <c r="B744" s="1" t="s">
        <v>1087</v>
      </c>
      <c r="C744" s="1" t="s">
        <v>1088</v>
      </c>
      <c r="D744" s="1" t="s">
        <v>40</v>
      </c>
      <c r="E744" s="1" t="s">
        <v>1353</v>
      </c>
      <c r="F744" s="1">
        <v>4</v>
      </c>
      <c r="G744" s="1" t="str">
        <f>CONCATENATE(Table1[[#This Row],[Duration_Years]]," ","years")</f>
        <v>4 years</v>
      </c>
      <c r="H744" s="11">
        <v>8200</v>
      </c>
      <c r="I744" s="1">
        <v>61.5</v>
      </c>
      <c r="J744" s="11">
        <v>500</v>
      </c>
      <c r="K744" s="11">
        <v>100</v>
      </c>
      <c r="L744" s="11">
        <v>500</v>
      </c>
      <c r="M744" s="22">
        <v>0.92</v>
      </c>
      <c r="N744" s="3" t="str">
        <f>IF(Table1[[#This Row],[Exchange_Rate]]&lt;5,"Strong Currency", IF(Table1[[#This Row],[Exchange_Rate]]&lt;=1000, "Medium Currency","Weak Currency"))</f>
        <v>Strong Currency</v>
      </c>
      <c r="O744" s="11">
        <f>(Table1[[#This Row],[Living_Cost_Index]]/123.3)*1850</f>
        <v>922.74939172749396</v>
      </c>
      <c r="P744" s="11">
        <f>Table1[[#This Row],[Monthly_Estimated_Living_cost]]*12</f>
        <v>11072.992700729927</v>
      </c>
      <c r="Q744" s="13">
        <f>Table1[[#This Row],[Tuition_USD]]+Table1[[#This Row],[Rent_USD]]+Table1[[#This Row],[Insurance_USD]]+Table1[[#This Row],[Visa_Fee_USD]]+Table1[[#This Row],[Annual_Estimated_Living_cost]]</f>
        <v>20372.992700729927</v>
      </c>
    </row>
    <row r="745" spans="1:17" x14ac:dyDescent="0.25">
      <c r="A745" s="2" t="s">
        <v>1059</v>
      </c>
      <c r="B745" s="1" t="s">
        <v>1089</v>
      </c>
      <c r="C745" s="1" t="s">
        <v>1090</v>
      </c>
      <c r="D745" s="1" t="s">
        <v>215</v>
      </c>
      <c r="E745" s="1" t="s">
        <v>16</v>
      </c>
      <c r="F745" s="1">
        <v>2</v>
      </c>
      <c r="G745" s="1" t="str">
        <f>CONCATENATE(Table1[[#This Row],[Duration_Years]]," ","years")</f>
        <v>2 years</v>
      </c>
      <c r="H745" s="11">
        <v>3500</v>
      </c>
      <c r="I745" s="1">
        <v>54.8</v>
      </c>
      <c r="J745" s="11">
        <v>380</v>
      </c>
      <c r="K745" s="11">
        <v>80</v>
      </c>
      <c r="L745" s="11">
        <v>400</v>
      </c>
      <c r="M745" s="22">
        <v>7.35</v>
      </c>
      <c r="N745" s="3" t="str">
        <f>IF(Table1[[#This Row],[Exchange_Rate]]&lt;5,"Strong Currency", IF(Table1[[#This Row],[Exchange_Rate]]&lt;=1000, "Medium Currency","Weak Currency"))</f>
        <v>Medium Currency</v>
      </c>
      <c r="O745" s="11">
        <f>(Table1[[#This Row],[Living_Cost_Index]]/123.3)*1850</f>
        <v>822.22222222222217</v>
      </c>
      <c r="P745" s="11">
        <f>Table1[[#This Row],[Monthly_Estimated_Living_cost]]*12</f>
        <v>9866.6666666666661</v>
      </c>
      <c r="Q745" s="13">
        <f>Table1[[#This Row],[Tuition_USD]]+Table1[[#This Row],[Rent_USD]]+Table1[[#This Row],[Insurance_USD]]+Table1[[#This Row],[Visa_Fee_USD]]+Table1[[#This Row],[Annual_Estimated_Living_cost]]</f>
        <v>14226.666666666666</v>
      </c>
    </row>
    <row r="746" spans="1:17" x14ac:dyDescent="0.25">
      <c r="A746" s="2" t="s">
        <v>1062</v>
      </c>
      <c r="B746" s="1" t="s">
        <v>1091</v>
      </c>
      <c r="C746" s="1" t="s">
        <v>1092</v>
      </c>
      <c r="D746" s="1" t="s">
        <v>15</v>
      </c>
      <c r="E746" s="1" t="s">
        <v>75</v>
      </c>
      <c r="F746" s="1">
        <v>4</v>
      </c>
      <c r="G746" s="1" t="str">
        <f>CONCATENATE(Table1[[#This Row],[Duration_Years]]," ","years")</f>
        <v>4 years</v>
      </c>
      <c r="H746" s="11">
        <v>5000</v>
      </c>
      <c r="I746" s="1">
        <v>38.5</v>
      </c>
      <c r="J746" s="11">
        <v>280</v>
      </c>
      <c r="K746" s="11">
        <v>100</v>
      </c>
      <c r="L746" s="11">
        <v>300</v>
      </c>
      <c r="M746" s="22">
        <v>56.8</v>
      </c>
      <c r="N746" s="3" t="str">
        <f>IF(Table1[[#This Row],[Exchange_Rate]]&lt;5,"Strong Currency", IF(Table1[[#This Row],[Exchange_Rate]]&lt;=1000, "Medium Currency","Weak Currency"))</f>
        <v>Medium Currency</v>
      </c>
      <c r="O746" s="11">
        <f>(Table1[[#This Row],[Living_Cost_Index]]/123.3)*1850</f>
        <v>577.65612327656117</v>
      </c>
      <c r="P746" s="11">
        <f>Table1[[#This Row],[Monthly_Estimated_Living_cost]]*12</f>
        <v>6931.8734793187341</v>
      </c>
      <c r="Q746" s="13">
        <f>Table1[[#This Row],[Tuition_USD]]+Table1[[#This Row],[Rent_USD]]+Table1[[#This Row],[Insurance_USD]]+Table1[[#This Row],[Visa_Fee_USD]]+Table1[[#This Row],[Annual_Estimated_Living_cost]]</f>
        <v>12611.873479318734</v>
      </c>
    </row>
    <row r="747" spans="1:17" x14ac:dyDescent="0.25">
      <c r="A747" s="2" t="s">
        <v>1065</v>
      </c>
      <c r="B747" s="1" t="s">
        <v>1093</v>
      </c>
      <c r="C747" s="1" t="s">
        <v>1094</v>
      </c>
      <c r="D747" s="1" t="s">
        <v>71</v>
      </c>
      <c r="E747" s="1" t="s">
        <v>16</v>
      </c>
      <c r="F747" s="1">
        <v>2</v>
      </c>
      <c r="G747" s="1" t="str">
        <f>CONCATENATE(Table1[[#This Row],[Duration_Years]]," ","years")</f>
        <v>2 years</v>
      </c>
      <c r="H747" s="11">
        <v>1800</v>
      </c>
      <c r="I747" s="1">
        <v>39.799999999999997</v>
      </c>
      <c r="J747" s="11">
        <v>250</v>
      </c>
      <c r="K747" s="11">
        <v>70</v>
      </c>
      <c r="L747" s="11">
        <v>250</v>
      </c>
      <c r="M747" s="22">
        <v>10.15</v>
      </c>
      <c r="N747" s="3" t="str">
        <f>IF(Table1[[#This Row],[Exchange_Rate]]&lt;5,"Strong Currency", IF(Table1[[#This Row],[Exchange_Rate]]&lt;=1000, "Medium Currency","Weak Currency"))</f>
        <v>Medium Currency</v>
      </c>
      <c r="O747" s="11">
        <f>(Table1[[#This Row],[Living_Cost_Index]]/123.3)*1850</f>
        <v>597.16139497161384</v>
      </c>
      <c r="P747" s="11">
        <f>Table1[[#This Row],[Monthly_Estimated_Living_cost]]*12</f>
        <v>7165.9367396593661</v>
      </c>
      <c r="Q747" s="13">
        <f>Table1[[#This Row],[Tuition_USD]]+Table1[[#This Row],[Rent_USD]]+Table1[[#This Row],[Insurance_USD]]+Table1[[#This Row],[Visa_Fee_USD]]+Table1[[#This Row],[Annual_Estimated_Living_cost]]</f>
        <v>9535.9367396593661</v>
      </c>
    </row>
    <row r="748" spans="1:17" x14ac:dyDescent="0.25">
      <c r="A748" s="2" t="s">
        <v>1068</v>
      </c>
      <c r="B748" s="1" t="s">
        <v>1095</v>
      </c>
      <c r="C748" s="1" t="s">
        <v>1096</v>
      </c>
      <c r="D748" s="1" t="s">
        <v>241</v>
      </c>
      <c r="E748" s="1" t="s">
        <v>1353</v>
      </c>
      <c r="F748" s="1">
        <v>4</v>
      </c>
      <c r="G748" s="1" t="str">
        <f>CONCATENATE(Table1[[#This Row],[Duration_Years]]," ","years")</f>
        <v>4 years</v>
      </c>
      <c r="H748" s="11">
        <v>7500</v>
      </c>
      <c r="I748" s="1">
        <v>40.5</v>
      </c>
      <c r="J748" s="11">
        <v>280</v>
      </c>
      <c r="K748" s="11">
        <v>120</v>
      </c>
      <c r="L748" s="11">
        <v>350</v>
      </c>
      <c r="M748" s="22">
        <v>3.75</v>
      </c>
      <c r="N748" s="3" t="str">
        <f>IF(Table1[[#This Row],[Exchange_Rate]]&lt;5,"Strong Currency", IF(Table1[[#This Row],[Exchange_Rate]]&lt;=1000, "Medium Currency","Weak Currency"))</f>
        <v>Strong Currency</v>
      </c>
      <c r="O748" s="11">
        <f>(Table1[[#This Row],[Living_Cost_Index]]/123.3)*1850</f>
        <v>607.66423357664235</v>
      </c>
      <c r="P748" s="11">
        <f>Table1[[#This Row],[Monthly_Estimated_Living_cost]]*12</f>
        <v>7291.9708029197081</v>
      </c>
      <c r="Q748" s="13">
        <f>Table1[[#This Row],[Tuition_USD]]+Table1[[#This Row],[Rent_USD]]+Table1[[#This Row],[Insurance_USD]]+Table1[[#This Row],[Visa_Fee_USD]]+Table1[[#This Row],[Annual_Estimated_Living_cost]]</f>
        <v>15541.970802919708</v>
      </c>
    </row>
    <row r="749" spans="1:17" x14ac:dyDescent="0.25">
      <c r="A749" s="2" t="s">
        <v>369</v>
      </c>
      <c r="B749" s="1" t="s">
        <v>1097</v>
      </c>
      <c r="C749" s="1" t="s">
        <v>1098</v>
      </c>
      <c r="D749" s="1" t="s">
        <v>63</v>
      </c>
      <c r="E749" s="1" t="s">
        <v>16</v>
      </c>
      <c r="F749" s="1">
        <v>2</v>
      </c>
      <c r="G749" s="1" t="str">
        <f>CONCATENATE(Table1[[#This Row],[Duration_Years]]," ","years")</f>
        <v>2 years</v>
      </c>
      <c r="H749" s="11">
        <v>0</v>
      </c>
      <c r="I749" s="1">
        <v>38.5</v>
      </c>
      <c r="J749" s="11">
        <v>260</v>
      </c>
      <c r="K749" s="11">
        <v>90</v>
      </c>
      <c r="L749" s="11">
        <v>280</v>
      </c>
      <c r="M749" s="22">
        <v>275</v>
      </c>
      <c r="N749" s="3" t="str">
        <f>IF(Table1[[#This Row],[Exchange_Rate]]&lt;5,"Strong Currency", IF(Table1[[#This Row],[Exchange_Rate]]&lt;=1000, "Medium Currency","Weak Currency"))</f>
        <v>Medium Currency</v>
      </c>
      <c r="O749" s="11">
        <f>(Table1[[#This Row],[Living_Cost_Index]]/123.3)*1850</f>
        <v>577.65612327656117</v>
      </c>
      <c r="P749" s="11">
        <f>Table1[[#This Row],[Monthly_Estimated_Living_cost]]*12</f>
        <v>6931.8734793187341</v>
      </c>
      <c r="Q749" s="13">
        <f>Table1[[#This Row],[Tuition_USD]]+Table1[[#This Row],[Rent_USD]]+Table1[[#This Row],[Insurance_USD]]+Table1[[#This Row],[Visa_Fee_USD]]+Table1[[#This Row],[Annual_Estimated_Living_cost]]</f>
        <v>7561.8734793187341</v>
      </c>
    </row>
    <row r="750" spans="1:17" x14ac:dyDescent="0.25">
      <c r="A750" s="2" t="s">
        <v>1053</v>
      </c>
      <c r="B750" s="1" t="s">
        <v>1099</v>
      </c>
      <c r="C750" s="1" t="s">
        <v>1100</v>
      </c>
      <c r="D750" s="1" t="s">
        <v>20</v>
      </c>
      <c r="E750" s="1" t="s">
        <v>1353</v>
      </c>
      <c r="F750" s="1">
        <v>4</v>
      </c>
      <c r="G750" s="1" t="str">
        <f>CONCATENATE(Table1[[#This Row],[Duration_Years]]," ","years")</f>
        <v>4 years</v>
      </c>
      <c r="H750" s="11">
        <v>1600</v>
      </c>
      <c r="I750" s="1">
        <v>31.8</v>
      </c>
      <c r="J750" s="11">
        <v>170</v>
      </c>
      <c r="K750" s="11">
        <v>60</v>
      </c>
      <c r="L750" s="11">
        <v>200</v>
      </c>
      <c r="M750" s="22">
        <v>3.15</v>
      </c>
      <c r="N750" s="3" t="str">
        <f>IF(Table1[[#This Row],[Exchange_Rate]]&lt;5,"Strong Currency", IF(Table1[[#This Row],[Exchange_Rate]]&lt;=1000, "Medium Currency","Weak Currency"))</f>
        <v>Strong Currency</v>
      </c>
      <c r="O750" s="11">
        <f>(Table1[[#This Row],[Living_Cost_Index]]/123.3)*1850</f>
        <v>477.12895377128956</v>
      </c>
      <c r="P750" s="11">
        <f>Table1[[#This Row],[Monthly_Estimated_Living_cost]]*12</f>
        <v>5725.5474452554745</v>
      </c>
      <c r="Q750" s="13">
        <f>Table1[[#This Row],[Tuition_USD]]+Table1[[#This Row],[Rent_USD]]+Table1[[#This Row],[Insurance_USD]]+Table1[[#This Row],[Visa_Fee_USD]]+Table1[[#This Row],[Annual_Estimated_Living_cost]]</f>
        <v>7755.5474452554745</v>
      </c>
    </row>
    <row r="751" spans="1:17" x14ac:dyDescent="0.25">
      <c r="A751" s="2" t="s">
        <v>1056</v>
      </c>
      <c r="B751" s="1" t="s">
        <v>1101</v>
      </c>
      <c r="C751" s="1" t="s">
        <v>1102</v>
      </c>
      <c r="D751" s="1" t="s">
        <v>207</v>
      </c>
      <c r="E751" s="1" t="s">
        <v>16</v>
      </c>
      <c r="F751" s="1">
        <v>2</v>
      </c>
      <c r="G751" s="1" t="str">
        <f>CONCATENATE(Table1[[#This Row],[Duration_Years]]," ","years")</f>
        <v>2 years</v>
      </c>
      <c r="H751" s="11">
        <v>7800</v>
      </c>
      <c r="I751" s="1">
        <v>59.8</v>
      </c>
      <c r="J751" s="11">
        <v>480</v>
      </c>
      <c r="K751" s="11">
        <v>100</v>
      </c>
      <c r="L751" s="11">
        <v>500</v>
      </c>
      <c r="M751" s="22">
        <v>0.92</v>
      </c>
      <c r="N751" s="3" t="str">
        <f>IF(Table1[[#This Row],[Exchange_Rate]]&lt;5,"Strong Currency", IF(Table1[[#This Row],[Exchange_Rate]]&lt;=1000, "Medium Currency","Weak Currency"))</f>
        <v>Strong Currency</v>
      </c>
      <c r="O751" s="11">
        <f>(Table1[[#This Row],[Living_Cost_Index]]/123.3)*1850</f>
        <v>897.24249797242499</v>
      </c>
      <c r="P751" s="11">
        <f>Table1[[#This Row],[Monthly_Estimated_Living_cost]]*12</f>
        <v>10766.909975669099</v>
      </c>
      <c r="Q751" s="13">
        <f>Table1[[#This Row],[Tuition_USD]]+Table1[[#This Row],[Rent_USD]]+Table1[[#This Row],[Insurance_USD]]+Table1[[#This Row],[Visa_Fee_USD]]+Table1[[#This Row],[Annual_Estimated_Living_cost]]</f>
        <v>19646.909975669099</v>
      </c>
    </row>
    <row r="752" spans="1:17" x14ac:dyDescent="0.25">
      <c r="A752" s="2" t="s">
        <v>1059</v>
      </c>
      <c r="B752" s="1" t="s">
        <v>1103</v>
      </c>
      <c r="C752" s="1" t="s">
        <v>1104</v>
      </c>
      <c r="D752" s="1" t="s">
        <v>15</v>
      </c>
      <c r="E752" s="1" t="s">
        <v>75</v>
      </c>
      <c r="F752" s="1">
        <v>3</v>
      </c>
      <c r="G752" s="1" t="str">
        <f>CONCATENATE(Table1[[#This Row],[Duration_Years]]," ","years")</f>
        <v>3 years</v>
      </c>
      <c r="H752" s="11">
        <v>3200</v>
      </c>
      <c r="I752" s="1">
        <v>52.5</v>
      </c>
      <c r="J752" s="11">
        <v>350</v>
      </c>
      <c r="K752" s="11">
        <v>80</v>
      </c>
      <c r="L752" s="11">
        <v>400</v>
      </c>
      <c r="M752" s="22">
        <v>7.35</v>
      </c>
      <c r="N752" s="3" t="str">
        <f>IF(Table1[[#This Row],[Exchange_Rate]]&lt;5,"Strong Currency", IF(Table1[[#This Row],[Exchange_Rate]]&lt;=1000, "Medium Currency","Weak Currency"))</f>
        <v>Medium Currency</v>
      </c>
      <c r="O752" s="11">
        <f>(Table1[[#This Row],[Living_Cost_Index]]/123.3)*1850</f>
        <v>787.71289537712903</v>
      </c>
      <c r="P752" s="11">
        <f>Table1[[#This Row],[Monthly_Estimated_Living_cost]]*12</f>
        <v>9452.5547445255488</v>
      </c>
      <c r="Q752" s="13">
        <f>Table1[[#This Row],[Tuition_USD]]+Table1[[#This Row],[Rent_USD]]+Table1[[#This Row],[Insurance_USD]]+Table1[[#This Row],[Visa_Fee_USD]]+Table1[[#This Row],[Annual_Estimated_Living_cost]]</f>
        <v>13482.554744525549</v>
      </c>
    </row>
    <row r="753" spans="1:17" x14ac:dyDescent="0.25">
      <c r="A753" s="2" t="s">
        <v>1062</v>
      </c>
      <c r="B753" s="1" t="s">
        <v>1105</v>
      </c>
      <c r="C753" s="1" t="s">
        <v>1106</v>
      </c>
      <c r="D753" s="1" t="s">
        <v>215</v>
      </c>
      <c r="E753" s="1" t="s">
        <v>16</v>
      </c>
      <c r="F753" s="1">
        <v>2</v>
      </c>
      <c r="G753" s="1" t="str">
        <f>CONCATENATE(Table1[[#This Row],[Duration_Years]]," ","years")</f>
        <v>2 years</v>
      </c>
      <c r="H753" s="11">
        <v>4800</v>
      </c>
      <c r="I753" s="1">
        <v>37.200000000000003</v>
      </c>
      <c r="J753" s="11">
        <v>260</v>
      </c>
      <c r="K753" s="11">
        <v>100</v>
      </c>
      <c r="L753" s="11">
        <v>300</v>
      </c>
      <c r="M753" s="22">
        <v>56.8</v>
      </c>
      <c r="N753" s="3" t="str">
        <f>IF(Table1[[#This Row],[Exchange_Rate]]&lt;5,"Strong Currency", IF(Table1[[#This Row],[Exchange_Rate]]&lt;=1000, "Medium Currency","Weak Currency"))</f>
        <v>Medium Currency</v>
      </c>
      <c r="O753" s="11">
        <f>(Table1[[#This Row],[Living_Cost_Index]]/123.3)*1850</f>
        <v>558.1508515815085</v>
      </c>
      <c r="P753" s="11">
        <f>Table1[[#This Row],[Monthly_Estimated_Living_cost]]*12</f>
        <v>6697.8102189781021</v>
      </c>
      <c r="Q753" s="13">
        <f>Table1[[#This Row],[Tuition_USD]]+Table1[[#This Row],[Rent_USD]]+Table1[[#This Row],[Insurance_USD]]+Table1[[#This Row],[Visa_Fee_USD]]+Table1[[#This Row],[Annual_Estimated_Living_cost]]</f>
        <v>12157.810218978102</v>
      </c>
    </row>
    <row r="754" spans="1:17" x14ac:dyDescent="0.25">
      <c r="A754" s="2" t="s">
        <v>1065</v>
      </c>
      <c r="B754" s="1" t="s">
        <v>1107</v>
      </c>
      <c r="C754" s="1" t="s">
        <v>1108</v>
      </c>
      <c r="D754" s="1" t="s">
        <v>40</v>
      </c>
      <c r="E754" s="1" t="s">
        <v>1353</v>
      </c>
      <c r="F754" s="1">
        <v>4</v>
      </c>
      <c r="G754" s="1" t="str">
        <f>CONCATENATE(Table1[[#This Row],[Duration_Years]]," ","years")</f>
        <v>4 years</v>
      </c>
      <c r="H754" s="11">
        <v>2100</v>
      </c>
      <c r="I754" s="1">
        <v>40.5</v>
      </c>
      <c r="J754" s="11">
        <v>280</v>
      </c>
      <c r="K754" s="11">
        <v>70</v>
      </c>
      <c r="L754" s="11">
        <v>250</v>
      </c>
      <c r="M754" s="22">
        <v>10.15</v>
      </c>
      <c r="N754" s="3" t="str">
        <f>IF(Table1[[#This Row],[Exchange_Rate]]&lt;5,"Strong Currency", IF(Table1[[#This Row],[Exchange_Rate]]&lt;=1000, "Medium Currency","Weak Currency"))</f>
        <v>Medium Currency</v>
      </c>
      <c r="O754" s="11">
        <f>(Table1[[#This Row],[Living_Cost_Index]]/123.3)*1850</f>
        <v>607.66423357664235</v>
      </c>
      <c r="P754" s="11">
        <f>Table1[[#This Row],[Monthly_Estimated_Living_cost]]*12</f>
        <v>7291.9708029197081</v>
      </c>
      <c r="Q754" s="13">
        <f>Table1[[#This Row],[Tuition_USD]]+Table1[[#This Row],[Rent_USD]]+Table1[[#This Row],[Insurance_USD]]+Table1[[#This Row],[Visa_Fee_USD]]+Table1[[#This Row],[Annual_Estimated_Living_cost]]</f>
        <v>9991.9708029197081</v>
      </c>
    </row>
    <row r="755" spans="1:17" x14ac:dyDescent="0.25">
      <c r="A755" s="2" t="s">
        <v>1068</v>
      </c>
      <c r="B755" s="1" t="s">
        <v>1109</v>
      </c>
      <c r="C755" s="1" t="s">
        <v>1110</v>
      </c>
      <c r="D755" s="1" t="s">
        <v>71</v>
      </c>
      <c r="E755" s="1" t="s">
        <v>16</v>
      </c>
      <c r="F755" s="1">
        <v>2</v>
      </c>
      <c r="G755" s="1" t="str">
        <f>CONCATENATE(Table1[[#This Row],[Duration_Years]]," ","years")</f>
        <v>2 years</v>
      </c>
      <c r="H755" s="11">
        <v>6800</v>
      </c>
      <c r="I755" s="1">
        <v>39.799999999999997</v>
      </c>
      <c r="J755" s="11">
        <v>260</v>
      </c>
      <c r="K755" s="11">
        <v>120</v>
      </c>
      <c r="L755" s="11">
        <v>350</v>
      </c>
      <c r="M755" s="22">
        <v>3.75</v>
      </c>
      <c r="N755" s="3" t="str">
        <f>IF(Table1[[#This Row],[Exchange_Rate]]&lt;5,"Strong Currency", IF(Table1[[#This Row],[Exchange_Rate]]&lt;=1000, "Medium Currency","Weak Currency"))</f>
        <v>Strong Currency</v>
      </c>
      <c r="O755" s="11">
        <f>(Table1[[#This Row],[Living_Cost_Index]]/123.3)*1850</f>
        <v>597.16139497161384</v>
      </c>
      <c r="P755" s="11">
        <f>Table1[[#This Row],[Monthly_Estimated_Living_cost]]*12</f>
        <v>7165.9367396593661</v>
      </c>
      <c r="Q755" s="13">
        <f>Table1[[#This Row],[Tuition_USD]]+Table1[[#This Row],[Rent_USD]]+Table1[[#This Row],[Insurance_USD]]+Table1[[#This Row],[Visa_Fee_USD]]+Table1[[#This Row],[Annual_Estimated_Living_cost]]</f>
        <v>14695.936739659366</v>
      </c>
    </row>
    <row r="756" spans="1:17" x14ac:dyDescent="0.25">
      <c r="A756" s="2" t="s">
        <v>369</v>
      </c>
      <c r="B756" s="1" t="s">
        <v>1111</v>
      </c>
      <c r="C756" s="1" t="s">
        <v>1112</v>
      </c>
      <c r="D756" s="1" t="s">
        <v>241</v>
      </c>
      <c r="E756" s="1" t="s">
        <v>75</v>
      </c>
      <c r="F756" s="1">
        <v>4</v>
      </c>
      <c r="G756" s="1" t="str">
        <f>CONCATENATE(Table1[[#This Row],[Duration_Years]]," ","years")</f>
        <v>4 years</v>
      </c>
      <c r="H756" s="11">
        <v>0</v>
      </c>
      <c r="I756" s="1">
        <v>37.5</v>
      </c>
      <c r="J756" s="11">
        <v>240</v>
      </c>
      <c r="K756" s="11">
        <v>90</v>
      </c>
      <c r="L756" s="11">
        <v>280</v>
      </c>
      <c r="M756" s="22">
        <v>275</v>
      </c>
      <c r="N756" s="3" t="str">
        <f>IF(Table1[[#This Row],[Exchange_Rate]]&lt;5,"Strong Currency", IF(Table1[[#This Row],[Exchange_Rate]]&lt;=1000, "Medium Currency","Weak Currency"))</f>
        <v>Medium Currency</v>
      </c>
      <c r="O756" s="11">
        <f>(Table1[[#This Row],[Living_Cost_Index]]/123.3)*1850</f>
        <v>562.6520681265207</v>
      </c>
      <c r="P756" s="11">
        <f>Table1[[#This Row],[Monthly_Estimated_Living_cost]]*12</f>
        <v>6751.8248175182489</v>
      </c>
      <c r="Q756" s="13">
        <f>Table1[[#This Row],[Tuition_USD]]+Table1[[#This Row],[Rent_USD]]+Table1[[#This Row],[Insurance_USD]]+Table1[[#This Row],[Visa_Fee_USD]]+Table1[[#This Row],[Annual_Estimated_Living_cost]]</f>
        <v>7361.8248175182489</v>
      </c>
    </row>
    <row r="757" spans="1:17" x14ac:dyDescent="0.25">
      <c r="A757" s="2" t="s">
        <v>1053</v>
      </c>
      <c r="B757" s="1" t="s">
        <v>1113</v>
      </c>
      <c r="C757" s="1" t="s">
        <v>1114</v>
      </c>
      <c r="D757" s="1" t="s">
        <v>63</v>
      </c>
      <c r="E757" s="1" t="s">
        <v>16</v>
      </c>
      <c r="F757" s="1">
        <v>2</v>
      </c>
      <c r="G757" s="1" t="str">
        <f>CONCATENATE(Table1[[#This Row],[Duration_Years]]," ","years")</f>
        <v>2 years</v>
      </c>
      <c r="H757" s="11">
        <v>1400</v>
      </c>
      <c r="I757" s="1">
        <v>30.5</v>
      </c>
      <c r="J757" s="11">
        <v>160</v>
      </c>
      <c r="K757" s="11">
        <v>60</v>
      </c>
      <c r="L757" s="11">
        <v>200</v>
      </c>
      <c r="M757" s="22">
        <v>3.15</v>
      </c>
      <c r="N757" s="3" t="str">
        <f>IF(Table1[[#This Row],[Exchange_Rate]]&lt;5,"Strong Currency", IF(Table1[[#This Row],[Exchange_Rate]]&lt;=1000, "Medium Currency","Weak Currency"))</f>
        <v>Strong Currency</v>
      </c>
      <c r="O757" s="11">
        <f>(Table1[[#This Row],[Living_Cost_Index]]/123.3)*1850</f>
        <v>457.62368207623683</v>
      </c>
      <c r="P757" s="11">
        <f>Table1[[#This Row],[Monthly_Estimated_Living_cost]]*12</f>
        <v>5491.4841849148415</v>
      </c>
      <c r="Q757" s="13">
        <f>Table1[[#This Row],[Tuition_USD]]+Table1[[#This Row],[Rent_USD]]+Table1[[#This Row],[Insurance_USD]]+Table1[[#This Row],[Visa_Fee_USD]]+Table1[[#This Row],[Annual_Estimated_Living_cost]]</f>
        <v>7311.4841849148415</v>
      </c>
    </row>
    <row r="758" spans="1:17" x14ac:dyDescent="0.25">
      <c r="A758" s="2" t="s">
        <v>1059</v>
      </c>
      <c r="B758" s="1" t="s">
        <v>1115</v>
      </c>
      <c r="C758" s="1" t="s">
        <v>1116</v>
      </c>
      <c r="D758" s="1" t="s">
        <v>222</v>
      </c>
      <c r="E758" s="1" t="s">
        <v>1353</v>
      </c>
      <c r="F758" s="1">
        <v>4</v>
      </c>
      <c r="G758" s="1" t="str">
        <f>CONCATENATE(Table1[[#This Row],[Duration_Years]]," ","years")</f>
        <v>4 years</v>
      </c>
      <c r="H758" s="11">
        <v>3600</v>
      </c>
      <c r="I758" s="1">
        <v>53.2</v>
      </c>
      <c r="J758" s="11">
        <v>370</v>
      </c>
      <c r="K758" s="11">
        <v>80</v>
      </c>
      <c r="L758" s="11">
        <v>400</v>
      </c>
      <c r="M758" s="22">
        <v>7.35</v>
      </c>
      <c r="N758" s="3" t="str">
        <f>IF(Table1[[#This Row],[Exchange_Rate]]&lt;5,"Strong Currency", IF(Table1[[#This Row],[Exchange_Rate]]&lt;=1000, "Medium Currency","Weak Currency"))</f>
        <v>Medium Currency</v>
      </c>
      <c r="O758" s="11">
        <f>(Table1[[#This Row],[Living_Cost_Index]]/123.3)*1850</f>
        <v>798.2157339821573</v>
      </c>
      <c r="P758" s="11">
        <f>Table1[[#This Row],[Monthly_Estimated_Living_cost]]*12</f>
        <v>9578.5888077858872</v>
      </c>
      <c r="Q758" s="13">
        <f>Table1[[#This Row],[Tuition_USD]]+Table1[[#This Row],[Rent_USD]]+Table1[[#This Row],[Insurance_USD]]+Table1[[#This Row],[Visa_Fee_USD]]+Table1[[#This Row],[Annual_Estimated_Living_cost]]</f>
        <v>14028.588807785887</v>
      </c>
    </row>
    <row r="759" spans="1:17" x14ac:dyDescent="0.25">
      <c r="A759" s="2" t="s">
        <v>1056</v>
      </c>
      <c r="B759" s="1" t="s">
        <v>1117</v>
      </c>
      <c r="C759" s="1" t="s">
        <v>1118</v>
      </c>
      <c r="D759" s="1" t="s">
        <v>20</v>
      </c>
      <c r="E759" s="1" t="s">
        <v>75</v>
      </c>
      <c r="F759" s="1">
        <v>3</v>
      </c>
      <c r="G759" s="1" t="str">
        <f>CONCATENATE(Table1[[#This Row],[Duration_Years]]," ","years")</f>
        <v>3 years</v>
      </c>
      <c r="H759" s="11">
        <v>7400</v>
      </c>
      <c r="I759" s="1">
        <v>58.5</v>
      </c>
      <c r="J759" s="11">
        <v>450</v>
      </c>
      <c r="K759" s="11">
        <v>100</v>
      </c>
      <c r="L759" s="11">
        <v>500</v>
      </c>
      <c r="M759" s="22">
        <v>0.92</v>
      </c>
      <c r="N759" s="3" t="str">
        <f>IF(Table1[[#This Row],[Exchange_Rate]]&lt;5,"Strong Currency", IF(Table1[[#This Row],[Exchange_Rate]]&lt;=1000, "Medium Currency","Weak Currency"))</f>
        <v>Strong Currency</v>
      </c>
      <c r="O759" s="11">
        <f>(Table1[[#This Row],[Living_Cost_Index]]/123.3)*1850</f>
        <v>877.73722627737232</v>
      </c>
      <c r="P759" s="11">
        <f>Table1[[#This Row],[Monthly_Estimated_Living_cost]]*12</f>
        <v>10532.846715328467</v>
      </c>
      <c r="Q759" s="13">
        <f>Table1[[#This Row],[Tuition_USD]]+Table1[[#This Row],[Rent_USD]]+Table1[[#This Row],[Insurance_USD]]+Table1[[#This Row],[Visa_Fee_USD]]+Table1[[#This Row],[Annual_Estimated_Living_cost]]</f>
        <v>18982.846715328466</v>
      </c>
    </row>
    <row r="760" spans="1:17" x14ac:dyDescent="0.25">
      <c r="A760" s="2" t="s">
        <v>1062</v>
      </c>
      <c r="B760" s="1" t="s">
        <v>1119</v>
      </c>
      <c r="C760" s="1" t="s">
        <v>1120</v>
      </c>
      <c r="D760" s="1" t="s">
        <v>15</v>
      </c>
      <c r="E760" s="1" t="s">
        <v>1353</v>
      </c>
      <c r="F760" s="1">
        <v>4</v>
      </c>
      <c r="G760" s="1" t="str">
        <f>CONCATENATE(Table1[[#This Row],[Duration_Years]]," ","years")</f>
        <v>4 years</v>
      </c>
      <c r="H760" s="11">
        <v>4500</v>
      </c>
      <c r="I760" s="1">
        <v>36.799999999999997</v>
      </c>
      <c r="J760" s="11">
        <v>250</v>
      </c>
      <c r="K760" s="11">
        <v>100</v>
      </c>
      <c r="L760" s="11">
        <v>300</v>
      </c>
      <c r="M760" s="22">
        <v>56.8</v>
      </c>
      <c r="N760" s="3" t="str">
        <f>IF(Table1[[#This Row],[Exchange_Rate]]&lt;5,"Strong Currency", IF(Table1[[#This Row],[Exchange_Rate]]&lt;=1000, "Medium Currency","Weak Currency"))</f>
        <v>Medium Currency</v>
      </c>
      <c r="O760" s="11">
        <f>(Table1[[#This Row],[Living_Cost_Index]]/123.3)*1850</f>
        <v>552.14922952149232</v>
      </c>
      <c r="P760" s="11">
        <f>Table1[[#This Row],[Monthly_Estimated_Living_cost]]*12</f>
        <v>6625.7907542579078</v>
      </c>
      <c r="Q760" s="13">
        <f>Table1[[#This Row],[Tuition_USD]]+Table1[[#This Row],[Rent_USD]]+Table1[[#This Row],[Insurance_USD]]+Table1[[#This Row],[Visa_Fee_USD]]+Table1[[#This Row],[Annual_Estimated_Living_cost]]</f>
        <v>11775.790754257909</v>
      </c>
    </row>
    <row r="761" spans="1:17" x14ac:dyDescent="0.25">
      <c r="A761" s="2" t="s">
        <v>1065</v>
      </c>
      <c r="B761" s="1" t="s">
        <v>1121</v>
      </c>
      <c r="C761" s="1" t="s">
        <v>1122</v>
      </c>
      <c r="D761" s="1" t="s">
        <v>207</v>
      </c>
      <c r="E761" s="1" t="s">
        <v>16</v>
      </c>
      <c r="F761" s="1">
        <v>2</v>
      </c>
      <c r="G761" s="1" t="str">
        <f>CONCATENATE(Table1[[#This Row],[Duration_Years]]," ","years")</f>
        <v>2 years</v>
      </c>
      <c r="H761" s="11">
        <v>1900</v>
      </c>
      <c r="I761" s="1">
        <v>38.9</v>
      </c>
      <c r="J761" s="11">
        <v>260</v>
      </c>
      <c r="K761" s="11">
        <v>70</v>
      </c>
      <c r="L761" s="11">
        <v>250</v>
      </c>
      <c r="M761" s="22">
        <v>10.15</v>
      </c>
      <c r="N761" s="3" t="str">
        <f>IF(Table1[[#This Row],[Exchange_Rate]]&lt;5,"Strong Currency", IF(Table1[[#This Row],[Exchange_Rate]]&lt;=1000, "Medium Currency","Weak Currency"))</f>
        <v>Medium Currency</v>
      </c>
      <c r="O761" s="11">
        <f>(Table1[[#This Row],[Living_Cost_Index]]/123.3)*1850</f>
        <v>583.65774533657748</v>
      </c>
      <c r="P761" s="11">
        <f>Table1[[#This Row],[Monthly_Estimated_Living_cost]]*12</f>
        <v>7003.8929440389293</v>
      </c>
      <c r="Q761" s="13">
        <f>Table1[[#This Row],[Tuition_USD]]+Table1[[#This Row],[Rent_USD]]+Table1[[#This Row],[Insurance_USD]]+Table1[[#This Row],[Visa_Fee_USD]]+Table1[[#This Row],[Annual_Estimated_Living_cost]]</f>
        <v>9483.8929440389293</v>
      </c>
    </row>
    <row r="762" spans="1:17" x14ac:dyDescent="0.25">
      <c r="A762" s="2" t="s">
        <v>1068</v>
      </c>
      <c r="B762" s="1" t="s">
        <v>1123</v>
      </c>
      <c r="C762" s="1" t="s">
        <v>1124</v>
      </c>
      <c r="D762" s="1" t="s">
        <v>215</v>
      </c>
      <c r="E762" s="1" t="s">
        <v>16</v>
      </c>
      <c r="F762" s="1">
        <v>2</v>
      </c>
      <c r="G762" s="1" t="str">
        <f>CONCATENATE(Table1[[#This Row],[Duration_Years]]," ","years")</f>
        <v>2 years</v>
      </c>
      <c r="H762" s="11">
        <v>7200</v>
      </c>
      <c r="I762" s="1">
        <v>38.5</v>
      </c>
      <c r="J762" s="11">
        <v>250</v>
      </c>
      <c r="K762" s="11">
        <v>120</v>
      </c>
      <c r="L762" s="11">
        <v>350</v>
      </c>
      <c r="M762" s="22">
        <v>3.75</v>
      </c>
      <c r="N762" s="3" t="str">
        <f>IF(Table1[[#This Row],[Exchange_Rate]]&lt;5,"Strong Currency", IF(Table1[[#This Row],[Exchange_Rate]]&lt;=1000, "Medium Currency","Weak Currency"))</f>
        <v>Strong Currency</v>
      </c>
      <c r="O762" s="11">
        <f>(Table1[[#This Row],[Living_Cost_Index]]/123.3)*1850</f>
        <v>577.65612327656117</v>
      </c>
      <c r="P762" s="11">
        <f>Table1[[#This Row],[Monthly_Estimated_Living_cost]]*12</f>
        <v>6931.8734793187341</v>
      </c>
      <c r="Q762" s="13">
        <f>Table1[[#This Row],[Tuition_USD]]+Table1[[#This Row],[Rent_USD]]+Table1[[#This Row],[Insurance_USD]]+Table1[[#This Row],[Visa_Fee_USD]]+Table1[[#This Row],[Annual_Estimated_Living_cost]]</f>
        <v>14851.873479318734</v>
      </c>
    </row>
    <row r="763" spans="1:17" x14ac:dyDescent="0.25">
      <c r="A763" s="2" t="s">
        <v>369</v>
      </c>
      <c r="B763" s="1" t="s">
        <v>1125</v>
      </c>
      <c r="C763" s="1" t="s">
        <v>1126</v>
      </c>
      <c r="D763" s="1" t="s">
        <v>71</v>
      </c>
      <c r="E763" s="1" t="s">
        <v>1353</v>
      </c>
      <c r="F763" s="1">
        <v>4</v>
      </c>
      <c r="G763" s="1" t="str">
        <f>CONCATENATE(Table1[[#This Row],[Duration_Years]]," ","years")</f>
        <v>4 years</v>
      </c>
      <c r="H763" s="11">
        <v>0</v>
      </c>
      <c r="I763" s="1">
        <v>36.799999999999997</v>
      </c>
      <c r="J763" s="11">
        <v>230</v>
      </c>
      <c r="K763" s="11">
        <v>90</v>
      </c>
      <c r="L763" s="11">
        <v>280</v>
      </c>
      <c r="M763" s="22">
        <v>275</v>
      </c>
      <c r="N763" s="3" t="str">
        <f>IF(Table1[[#This Row],[Exchange_Rate]]&lt;5,"Strong Currency", IF(Table1[[#This Row],[Exchange_Rate]]&lt;=1000, "Medium Currency","Weak Currency"))</f>
        <v>Medium Currency</v>
      </c>
      <c r="O763" s="11">
        <f>(Table1[[#This Row],[Living_Cost_Index]]/123.3)*1850</f>
        <v>552.14922952149232</v>
      </c>
      <c r="P763" s="11">
        <f>Table1[[#This Row],[Monthly_Estimated_Living_cost]]*12</f>
        <v>6625.7907542579078</v>
      </c>
      <c r="Q763" s="13">
        <f>Table1[[#This Row],[Tuition_USD]]+Table1[[#This Row],[Rent_USD]]+Table1[[#This Row],[Insurance_USD]]+Table1[[#This Row],[Visa_Fee_USD]]+Table1[[#This Row],[Annual_Estimated_Living_cost]]</f>
        <v>7225.7907542579078</v>
      </c>
    </row>
    <row r="764" spans="1:17" x14ac:dyDescent="0.25">
      <c r="A764" s="2" t="s">
        <v>1053</v>
      </c>
      <c r="B764" s="1" t="s">
        <v>1127</v>
      </c>
      <c r="C764" s="1" t="s">
        <v>1128</v>
      </c>
      <c r="D764" s="1" t="s">
        <v>40</v>
      </c>
      <c r="E764" s="1" t="s">
        <v>75</v>
      </c>
      <c r="F764" s="1">
        <v>3</v>
      </c>
      <c r="G764" s="1" t="str">
        <f>CONCATENATE(Table1[[#This Row],[Duration_Years]]," ","years")</f>
        <v>3 years</v>
      </c>
      <c r="H764" s="11">
        <v>1200</v>
      </c>
      <c r="I764" s="1">
        <v>29.8</v>
      </c>
      <c r="J764" s="11">
        <v>150</v>
      </c>
      <c r="K764" s="11">
        <v>60</v>
      </c>
      <c r="L764" s="11">
        <v>200</v>
      </c>
      <c r="M764" s="22">
        <v>3.15</v>
      </c>
      <c r="N764" s="3" t="str">
        <f>IF(Table1[[#This Row],[Exchange_Rate]]&lt;5,"Strong Currency", IF(Table1[[#This Row],[Exchange_Rate]]&lt;=1000, "Medium Currency","Weak Currency"))</f>
        <v>Strong Currency</v>
      </c>
      <c r="O764" s="11">
        <f>(Table1[[#This Row],[Living_Cost_Index]]/123.3)*1850</f>
        <v>447.12084347120845</v>
      </c>
      <c r="P764" s="11">
        <f>Table1[[#This Row],[Monthly_Estimated_Living_cost]]*12</f>
        <v>5365.4501216545013</v>
      </c>
      <c r="Q764" s="13">
        <f>Table1[[#This Row],[Tuition_USD]]+Table1[[#This Row],[Rent_USD]]+Table1[[#This Row],[Insurance_USD]]+Table1[[#This Row],[Visa_Fee_USD]]+Table1[[#This Row],[Annual_Estimated_Living_cost]]</f>
        <v>6975.4501216545013</v>
      </c>
    </row>
    <row r="765" spans="1:17" x14ac:dyDescent="0.25">
      <c r="A765" s="2" t="s">
        <v>1056</v>
      </c>
      <c r="B765" s="1" t="s">
        <v>1129</v>
      </c>
      <c r="C765" s="1" t="s">
        <v>1130</v>
      </c>
      <c r="D765" s="1" t="s">
        <v>63</v>
      </c>
      <c r="E765" s="1" t="s">
        <v>16</v>
      </c>
      <c r="F765" s="1">
        <v>2</v>
      </c>
      <c r="G765" s="1" t="str">
        <f>CONCATENATE(Table1[[#This Row],[Duration_Years]]," ","years")</f>
        <v>2 years</v>
      </c>
      <c r="H765" s="11">
        <v>7600</v>
      </c>
      <c r="I765" s="1">
        <v>57.8</v>
      </c>
      <c r="J765" s="11">
        <v>430</v>
      </c>
      <c r="K765" s="11">
        <v>100</v>
      </c>
      <c r="L765" s="11">
        <v>500</v>
      </c>
      <c r="M765" s="22">
        <v>0.92</v>
      </c>
      <c r="N765" s="3" t="str">
        <f>IF(Table1[[#This Row],[Exchange_Rate]]&lt;5,"Strong Currency", IF(Table1[[#This Row],[Exchange_Rate]]&lt;=1000, "Medium Currency","Weak Currency"))</f>
        <v>Strong Currency</v>
      </c>
      <c r="O765" s="11">
        <f>(Table1[[#This Row],[Living_Cost_Index]]/123.3)*1850</f>
        <v>867.23438767234393</v>
      </c>
      <c r="P765" s="11">
        <f>Table1[[#This Row],[Monthly_Estimated_Living_cost]]*12</f>
        <v>10406.812652068127</v>
      </c>
      <c r="Q765" s="13">
        <f>Table1[[#This Row],[Tuition_USD]]+Table1[[#This Row],[Rent_USD]]+Table1[[#This Row],[Insurance_USD]]+Table1[[#This Row],[Visa_Fee_USD]]+Table1[[#This Row],[Annual_Estimated_Living_cost]]</f>
        <v>19036.812652068125</v>
      </c>
    </row>
    <row r="766" spans="1:17" x14ac:dyDescent="0.25">
      <c r="A766" s="2" t="s">
        <v>1059</v>
      </c>
      <c r="B766" s="1" t="s">
        <v>1131</v>
      </c>
      <c r="C766" s="1" t="s">
        <v>1132</v>
      </c>
      <c r="D766" s="1" t="s">
        <v>241</v>
      </c>
      <c r="E766" s="1" t="s">
        <v>16</v>
      </c>
      <c r="F766" s="1">
        <v>2</v>
      </c>
      <c r="G766" s="1" t="str">
        <f>CONCATENATE(Table1[[#This Row],[Duration_Years]]," ","years")</f>
        <v>2 years</v>
      </c>
      <c r="H766" s="11">
        <v>3400</v>
      </c>
      <c r="I766" s="1">
        <v>54.5</v>
      </c>
      <c r="J766" s="11">
        <v>390</v>
      </c>
      <c r="K766" s="11">
        <v>80</v>
      </c>
      <c r="L766" s="11">
        <v>400</v>
      </c>
      <c r="M766" s="22">
        <v>7.35</v>
      </c>
      <c r="N766" s="3" t="str">
        <f>IF(Table1[[#This Row],[Exchange_Rate]]&lt;5,"Strong Currency", IF(Table1[[#This Row],[Exchange_Rate]]&lt;=1000, "Medium Currency","Weak Currency"))</f>
        <v>Medium Currency</v>
      </c>
      <c r="O766" s="11">
        <f>(Table1[[#This Row],[Living_Cost_Index]]/123.3)*1850</f>
        <v>817.72100567721009</v>
      </c>
      <c r="P766" s="11">
        <f>Table1[[#This Row],[Monthly_Estimated_Living_cost]]*12</f>
        <v>9812.652068126521</v>
      </c>
      <c r="Q766" s="13">
        <f>Table1[[#This Row],[Tuition_USD]]+Table1[[#This Row],[Rent_USD]]+Table1[[#This Row],[Insurance_USD]]+Table1[[#This Row],[Visa_Fee_USD]]+Table1[[#This Row],[Annual_Estimated_Living_cost]]</f>
        <v>14082.652068126521</v>
      </c>
    </row>
    <row r="767" spans="1:17" x14ac:dyDescent="0.25">
      <c r="A767" s="2" t="s">
        <v>1065</v>
      </c>
      <c r="B767" s="1" t="s">
        <v>1133</v>
      </c>
      <c r="C767" s="1" t="s">
        <v>1134</v>
      </c>
      <c r="D767" s="1" t="s">
        <v>15</v>
      </c>
      <c r="E767" s="1" t="s">
        <v>75</v>
      </c>
      <c r="F767" s="1">
        <v>4</v>
      </c>
      <c r="G767" s="1" t="str">
        <f>CONCATENATE(Table1[[#This Row],[Duration_Years]]," ","years")</f>
        <v>4 years</v>
      </c>
      <c r="H767" s="11">
        <v>1700</v>
      </c>
      <c r="I767" s="1">
        <v>37.5</v>
      </c>
      <c r="J767" s="11">
        <v>240</v>
      </c>
      <c r="K767" s="11">
        <v>70</v>
      </c>
      <c r="L767" s="11">
        <v>250</v>
      </c>
      <c r="M767" s="22">
        <v>10.15</v>
      </c>
      <c r="N767" s="3" t="str">
        <f>IF(Table1[[#This Row],[Exchange_Rate]]&lt;5,"Strong Currency", IF(Table1[[#This Row],[Exchange_Rate]]&lt;=1000, "Medium Currency","Weak Currency"))</f>
        <v>Medium Currency</v>
      </c>
      <c r="O767" s="11">
        <f>(Table1[[#This Row],[Living_Cost_Index]]/123.3)*1850</f>
        <v>562.6520681265207</v>
      </c>
      <c r="P767" s="11">
        <f>Table1[[#This Row],[Monthly_Estimated_Living_cost]]*12</f>
        <v>6751.8248175182489</v>
      </c>
      <c r="Q767" s="13">
        <f>Table1[[#This Row],[Tuition_USD]]+Table1[[#This Row],[Rent_USD]]+Table1[[#This Row],[Insurance_USD]]+Table1[[#This Row],[Visa_Fee_USD]]+Table1[[#This Row],[Annual_Estimated_Living_cost]]</f>
        <v>9011.8248175182489</v>
      </c>
    </row>
    <row r="768" spans="1:17" x14ac:dyDescent="0.25">
      <c r="A768" s="2" t="s">
        <v>1068</v>
      </c>
      <c r="B768" s="1" t="s">
        <v>1135</v>
      </c>
      <c r="C768" s="1" t="s">
        <v>1136</v>
      </c>
      <c r="D768" s="1" t="s">
        <v>251</v>
      </c>
      <c r="E768" s="1" t="s">
        <v>1353</v>
      </c>
      <c r="F768" s="1">
        <v>4</v>
      </c>
      <c r="G768" s="1" t="str">
        <f>CONCATENATE(Table1[[#This Row],[Duration_Years]]," ","years")</f>
        <v>4 years</v>
      </c>
      <c r="H768" s="11">
        <v>6500</v>
      </c>
      <c r="I768" s="1">
        <v>37.799999999999997</v>
      </c>
      <c r="J768" s="11">
        <v>240</v>
      </c>
      <c r="K768" s="11">
        <v>120</v>
      </c>
      <c r="L768" s="11">
        <v>350</v>
      </c>
      <c r="M768" s="22">
        <v>3.75</v>
      </c>
      <c r="N768" s="3" t="str">
        <f>IF(Table1[[#This Row],[Exchange_Rate]]&lt;5,"Strong Currency", IF(Table1[[#This Row],[Exchange_Rate]]&lt;=1000, "Medium Currency","Weak Currency"))</f>
        <v>Strong Currency</v>
      </c>
      <c r="O768" s="11">
        <f>(Table1[[#This Row],[Living_Cost_Index]]/123.3)*1850</f>
        <v>567.15328467153279</v>
      </c>
      <c r="P768" s="11">
        <f>Table1[[#This Row],[Monthly_Estimated_Living_cost]]*12</f>
        <v>6805.8394160583939</v>
      </c>
      <c r="Q768" s="13">
        <f>Table1[[#This Row],[Tuition_USD]]+Table1[[#This Row],[Rent_USD]]+Table1[[#This Row],[Insurance_USD]]+Table1[[#This Row],[Visa_Fee_USD]]+Table1[[#This Row],[Annual_Estimated_Living_cost]]</f>
        <v>14015.839416058394</v>
      </c>
    </row>
    <row r="769" spans="1:17" x14ac:dyDescent="0.25">
      <c r="A769" s="2" t="s">
        <v>1137</v>
      </c>
      <c r="B769" s="1" t="s">
        <v>1138</v>
      </c>
      <c r="C769" s="1" t="s">
        <v>1139</v>
      </c>
      <c r="D769" s="1" t="s">
        <v>15</v>
      </c>
      <c r="E769" s="1" t="s">
        <v>16</v>
      </c>
      <c r="F769" s="1">
        <v>2</v>
      </c>
      <c r="G769" s="1" t="str">
        <f>CONCATENATE(Table1[[#This Row],[Duration_Years]]," ","years")</f>
        <v>2 years</v>
      </c>
      <c r="H769" s="11">
        <v>8500</v>
      </c>
      <c r="I769" s="1">
        <v>45.8</v>
      </c>
      <c r="J769" s="11">
        <v>400</v>
      </c>
      <c r="K769" s="11">
        <v>100</v>
      </c>
      <c r="L769" s="11">
        <v>300</v>
      </c>
      <c r="M769" s="22">
        <v>1</v>
      </c>
      <c r="N769" s="3" t="str">
        <f>IF(Table1[[#This Row],[Exchange_Rate]]&lt;5,"Strong Currency", IF(Table1[[#This Row],[Exchange_Rate]]&lt;=1000, "Medium Currency","Weak Currency"))</f>
        <v>Strong Currency</v>
      </c>
      <c r="O769" s="11">
        <f>(Table1[[#This Row],[Living_Cost_Index]]/123.3)*1850</f>
        <v>687.18572587185724</v>
      </c>
      <c r="P769" s="11">
        <f>Table1[[#This Row],[Monthly_Estimated_Living_cost]]*12</f>
        <v>8246.2287104622865</v>
      </c>
      <c r="Q769" s="13">
        <f>Table1[[#This Row],[Tuition_USD]]+Table1[[#This Row],[Rent_USD]]+Table1[[#This Row],[Insurance_USD]]+Table1[[#This Row],[Visa_Fee_USD]]+Table1[[#This Row],[Annual_Estimated_Living_cost]]</f>
        <v>17546.228710462288</v>
      </c>
    </row>
    <row r="770" spans="1:17" x14ac:dyDescent="0.25">
      <c r="A770" s="2" t="s">
        <v>1140</v>
      </c>
      <c r="B770" s="1" t="s">
        <v>1141</v>
      </c>
      <c r="C770" s="1" t="s">
        <v>1142</v>
      </c>
      <c r="D770" s="1" t="s">
        <v>20</v>
      </c>
      <c r="E770" s="1" t="s">
        <v>16</v>
      </c>
      <c r="F770" s="1">
        <v>2</v>
      </c>
      <c r="G770" s="1" t="str">
        <f>CONCATENATE(Table1[[#This Row],[Duration_Years]]," ","years")</f>
        <v>2 years</v>
      </c>
      <c r="H770" s="11">
        <v>20000</v>
      </c>
      <c r="I770" s="1">
        <v>58.9</v>
      </c>
      <c r="J770" s="11">
        <v>600</v>
      </c>
      <c r="K770" s="11">
        <v>150</v>
      </c>
      <c r="L770" s="11">
        <v>500</v>
      </c>
      <c r="M770" s="22">
        <v>15000</v>
      </c>
      <c r="N770" s="3" t="str">
        <f>IF(Table1[[#This Row],[Exchange_Rate]]&lt;5,"Strong Currency", IF(Table1[[#This Row],[Exchange_Rate]]&lt;=1000, "Medium Currency","Weak Currency"))</f>
        <v>Weak Currency</v>
      </c>
      <c r="O770" s="11">
        <f>(Table1[[#This Row],[Living_Cost_Index]]/123.3)*1850</f>
        <v>883.7388483373885</v>
      </c>
      <c r="P770" s="11">
        <f>Table1[[#This Row],[Monthly_Estimated_Living_cost]]*12</f>
        <v>10604.866180048662</v>
      </c>
      <c r="Q770" s="13">
        <f>Table1[[#This Row],[Tuition_USD]]+Table1[[#This Row],[Rent_USD]]+Table1[[#This Row],[Insurance_USD]]+Table1[[#This Row],[Visa_Fee_USD]]+Table1[[#This Row],[Annual_Estimated_Living_cost]]</f>
        <v>31854.866180048662</v>
      </c>
    </row>
    <row r="771" spans="1:17" x14ac:dyDescent="0.25">
      <c r="A771" s="2" t="s">
        <v>1143</v>
      </c>
      <c r="B771" s="1" t="s">
        <v>1144</v>
      </c>
      <c r="C771" s="1" t="s">
        <v>1145</v>
      </c>
      <c r="D771" s="1" t="s">
        <v>207</v>
      </c>
      <c r="E771" s="1" t="s">
        <v>75</v>
      </c>
      <c r="F771" s="1">
        <v>4</v>
      </c>
      <c r="G771" s="1" t="str">
        <f>CONCATENATE(Table1[[#This Row],[Duration_Years]]," ","years")</f>
        <v>4 years</v>
      </c>
      <c r="H771" s="11">
        <v>7000</v>
      </c>
      <c r="I771" s="1">
        <v>65.400000000000006</v>
      </c>
      <c r="J771" s="11">
        <v>700</v>
      </c>
      <c r="K771" s="11">
        <v>130</v>
      </c>
      <c r="L771" s="11">
        <v>600</v>
      </c>
      <c r="M771" s="22">
        <v>0.38</v>
      </c>
      <c r="N771" s="3" t="str">
        <f>IF(Table1[[#This Row],[Exchange_Rate]]&lt;5,"Strong Currency", IF(Table1[[#This Row],[Exchange_Rate]]&lt;=1000, "Medium Currency","Weak Currency"))</f>
        <v>Strong Currency</v>
      </c>
      <c r="O771" s="11">
        <f>(Table1[[#This Row],[Living_Cost_Index]]/123.3)*1850</f>
        <v>981.26520681265208</v>
      </c>
      <c r="P771" s="11">
        <f>Table1[[#This Row],[Monthly_Estimated_Living_cost]]*12</f>
        <v>11775.182481751825</v>
      </c>
      <c r="Q771" s="13">
        <f>Table1[[#This Row],[Tuition_USD]]+Table1[[#This Row],[Rent_USD]]+Table1[[#This Row],[Insurance_USD]]+Table1[[#This Row],[Visa_Fee_USD]]+Table1[[#This Row],[Annual_Estimated_Living_cost]]</f>
        <v>20205.182481751825</v>
      </c>
    </row>
    <row r="772" spans="1:17" x14ac:dyDescent="0.25">
      <c r="A772" s="2" t="s">
        <v>1146</v>
      </c>
      <c r="B772" s="1" t="s">
        <v>1147</v>
      </c>
      <c r="C772" s="1" t="s">
        <v>1148</v>
      </c>
      <c r="D772" s="1" t="s">
        <v>63</v>
      </c>
      <c r="E772" s="1" t="s">
        <v>1353</v>
      </c>
      <c r="F772" s="1">
        <v>4</v>
      </c>
      <c r="G772" s="1" t="str">
        <f>CONCATENATE(Table1[[#This Row],[Duration_Years]]," ","years")</f>
        <v>4 years</v>
      </c>
      <c r="H772" s="11">
        <v>0</v>
      </c>
      <c r="I772" s="1">
        <v>52.4</v>
      </c>
      <c r="J772" s="11">
        <v>450</v>
      </c>
      <c r="K772" s="11">
        <v>90</v>
      </c>
      <c r="L772" s="11">
        <v>350</v>
      </c>
      <c r="M772" s="22">
        <v>39.5</v>
      </c>
      <c r="N772" s="3" t="str">
        <f>IF(Table1[[#This Row],[Exchange_Rate]]&lt;5,"Strong Currency", IF(Table1[[#This Row],[Exchange_Rate]]&lt;=1000, "Medium Currency","Weak Currency"))</f>
        <v>Medium Currency</v>
      </c>
      <c r="O772" s="11">
        <f>(Table1[[#This Row],[Living_Cost_Index]]/123.3)*1850</f>
        <v>786.21248986212493</v>
      </c>
      <c r="P772" s="11">
        <f>Table1[[#This Row],[Monthly_Estimated_Living_cost]]*12</f>
        <v>9434.5498783454987</v>
      </c>
      <c r="Q772" s="13">
        <f>Table1[[#This Row],[Tuition_USD]]+Table1[[#This Row],[Rent_USD]]+Table1[[#This Row],[Insurance_USD]]+Table1[[#This Row],[Visa_Fee_USD]]+Table1[[#This Row],[Annual_Estimated_Living_cost]]</f>
        <v>10324.549878345499</v>
      </c>
    </row>
    <row r="773" spans="1:17" x14ac:dyDescent="0.25">
      <c r="A773" s="2" t="s">
        <v>1149</v>
      </c>
      <c r="B773" s="1" t="s">
        <v>1150</v>
      </c>
      <c r="C773" s="1" t="s">
        <v>1151</v>
      </c>
      <c r="D773" s="1" t="s">
        <v>215</v>
      </c>
      <c r="E773" s="1" t="s">
        <v>16</v>
      </c>
      <c r="F773" s="1">
        <v>2</v>
      </c>
      <c r="G773" s="1" t="str">
        <f>CONCATENATE(Table1[[#This Row],[Duration_Years]]," ","years")</f>
        <v>2 years</v>
      </c>
      <c r="H773" s="11">
        <v>3500</v>
      </c>
      <c r="I773" s="1">
        <v>48.5</v>
      </c>
      <c r="J773" s="11">
        <v>400</v>
      </c>
      <c r="K773" s="11">
        <v>110</v>
      </c>
      <c r="L773" s="11">
        <v>300</v>
      </c>
      <c r="M773" s="22">
        <v>1.85</v>
      </c>
      <c r="N773" s="3" t="str">
        <f>IF(Table1[[#This Row],[Exchange_Rate]]&lt;5,"Strong Currency", IF(Table1[[#This Row],[Exchange_Rate]]&lt;=1000, "Medium Currency","Weak Currency"))</f>
        <v>Strong Currency</v>
      </c>
      <c r="O773" s="11">
        <f>(Table1[[#This Row],[Living_Cost_Index]]/123.3)*1850</f>
        <v>727.69667477696669</v>
      </c>
      <c r="P773" s="11">
        <f>Table1[[#This Row],[Monthly_Estimated_Living_cost]]*12</f>
        <v>8732.3600973236007</v>
      </c>
      <c r="Q773" s="13">
        <f>Table1[[#This Row],[Tuition_USD]]+Table1[[#This Row],[Rent_USD]]+Table1[[#This Row],[Insurance_USD]]+Table1[[#This Row],[Visa_Fee_USD]]+Table1[[#This Row],[Annual_Estimated_Living_cost]]</f>
        <v>13042.360097323601</v>
      </c>
    </row>
    <row r="774" spans="1:17" x14ac:dyDescent="0.25">
      <c r="A774" s="2" t="s">
        <v>1152</v>
      </c>
      <c r="B774" s="1" t="s">
        <v>1153</v>
      </c>
      <c r="C774" s="1" t="s">
        <v>1154</v>
      </c>
      <c r="D774" s="1" t="s">
        <v>71</v>
      </c>
      <c r="E774" s="1" t="s">
        <v>16</v>
      </c>
      <c r="F774" s="1">
        <v>2</v>
      </c>
      <c r="G774" s="1" t="str">
        <f>CONCATENATE(Table1[[#This Row],[Duration_Years]]," ","years")</f>
        <v>2 years</v>
      </c>
      <c r="H774" s="11">
        <v>4500</v>
      </c>
      <c r="I774" s="1">
        <v>42.1</v>
      </c>
      <c r="J774" s="11">
        <v>300</v>
      </c>
      <c r="K774" s="11">
        <v>120</v>
      </c>
      <c r="L774" s="11">
        <v>250</v>
      </c>
      <c r="M774" s="22">
        <v>12</v>
      </c>
      <c r="N774" s="3" t="str">
        <f>IF(Table1[[#This Row],[Exchange_Rate]]&lt;5,"Strong Currency", IF(Table1[[#This Row],[Exchange_Rate]]&lt;=1000, "Medium Currency","Weak Currency"))</f>
        <v>Medium Currency</v>
      </c>
      <c r="O774" s="11">
        <f>(Table1[[#This Row],[Living_Cost_Index]]/123.3)*1850</f>
        <v>631.67072181670721</v>
      </c>
      <c r="P774" s="11">
        <f>Table1[[#This Row],[Monthly_Estimated_Living_cost]]*12</f>
        <v>7580.048661800487</v>
      </c>
      <c r="Q774" s="13">
        <f>Table1[[#This Row],[Tuition_USD]]+Table1[[#This Row],[Rent_USD]]+Table1[[#This Row],[Insurance_USD]]+Table1[[#This Row],[Visa_Fee_USD]]+Table1[[#This Row],[Annual_Estimated_Living_cost]]</f>
        <v>12750.048661800487</v>
      </c>
    </row>
    <row r="775" spans="1:17" x14ac:dyDescent="0.25">
      <c r="A775" s="2" t="s">
        <v>1155</v>
      </c>
      <c r="B775" s="1" t="s">
        <v>1156</v>
      </c>
      <c r="C775" s="1" t="s">
        <v>1157</v>
      </c>
      <c r="D775" s="1" t="s">
        <v>15</v>
      </c>
      <c r="E775" s="1" t="s">
        <v>75</v>
      </c>
      <c r="F775" s="1">
        <v>3</v>
      </c>
      <c r="G775" s="1" t="str">
        <f>CONCATENATE(Table1[[#This Row],[Duration_Years]]," ","years")</f>
        <v>3 years</v>
      </c>
      <c r="H775" s="11">
        <v>1200</v>
      </c>
      <c r="I775" s="1">
        <v>38.5</v>
      </c>
      <c r="J775" s="11">
        <v>250</v>
      </c>
      <c r="K775" s="11">
        <v>80</v>
      </c>
      <c r="L775" s="11">
        <v>200</v>
      </c>
      <c r="M775" s="22">
        <v>137.5</v>
      </c>
      <c r="N775" s="3" t="str">
        <f>IF(Table1[[#This Row],[Exchange_Rate]]&lt;5,"Strong Currency", IF(Table1[[#This Row],[Exchange_Rate]]&lt;=1000, "Medium Currency","Weak Currency"))</f>
        <v>Medium Currency</v>
      </c>
      <c r="O775" s="11">
        <f>(Table1[[#This Row],[Living_Cost_Index]]/123.3)*1850</f>
        <v>577.65612327656117</v>
      </c>
      <c r="P775" s="11">
        <f>Table1[[#This Row],[Monthly_Estimated_Living_cost]]*12</f>
        <v>6931.8734793187341</v>
      </c>
      <c r="Q775" s="13">
        <f>Table1[[#This Row],[Tuition_USD]]+Table1[[#This Row],[Rent_USD]]+Table1[[#This Row],[Insurance_USD]]+Table1[[#This Row],[Visa_Fee_USD]]+Table1[[#This Row],[Annual_Estimated_Living_cost]]</f>
        <v>8661.8734793187341</v>
      </c>
    </row>
    <row r="776" spans="1:17" x14ac:dyDescent="0.25">
      <c r="A776" s="2" t="s">
        <v>1158</v>
      </c>
      <c r="B776" s="1" t="s">
        <v>1159</v>
      </c>
      <c r="C776" s="1" t="s">
        <v>1160</v>
      </c>
      <c r="D776" s="1" t="s">
        <v>40</v>
      </c>
      <c r="E776" s="1" t="s">
        <v>16</v>
      </c>
      <c r="F776" s="1">
        <v>2</v>
      </c>
      <c r="G776" s="1" t="str">
        <f>CONCATENATE(Table1[[#This Row],[Duration_Years]]," ","years")</f>
        <v>2 years</v>
      </c>
      <c r="H776" s="11">
        <v>7500</v>
      </c>
      <c r="I776" s="1">
        <v>51.2</v>
      </c>
      <c r="J776" s="11">
        <v>600</v>
      </c>
      <c r="K776" s="11">
        <v>100</v>
      </c>
      <c r="L776" s="11">
        <v>400</v>
      </c>
      <c r="M776" s="22">
        <v>1</v>
      </c>
      <c r="N776" s="3" t="str">
        <f>IF(Table1[[#This Row],[Exchange_Rate]]&lt;5,"Strong Currency", IF(Table1[[#This Row],[Exchange_Rate]]&lt;=1000, "Medium Currency","Weak Currency"))</f>
        <v>Strong Currency</v>
      </c>
      <c r="O776" s="11">
        <f>(Table1[[#This Row],[Living_Cost_Index]]/123.3)*1850</f>
        <v>768.20762368207625</v>
      </c>
      <c r="P776" s="11">
        <f>Table1[[#This Row],[Monthly_Estimated_Living_cost]]*12</f>
        <v>9218.491484184915</v>
      </c>
      <c r="Q776" s="13">
        <f>Table1[[#This Row],[Tuition_USD]]+Table1[[#This Row],[Rent_USD]]+Table1[[#This Row],[Insurance_USD]]+Table1[[#This Row],[Visa_Fee_USD]]+Table1[[#This Row],[Annual_Estimated_Living_cost]]</f>
        <v>17818.491484184917</v>
      </c>
    </row>
    <row r="777" spans="1:17" x14ac:dyDescent="0.25">
      <c r="A777" s="2" t="s">
        <v>1137</v>
      </c>
      <c r="B777" s="1" t="s">
        <v>1161</v>
      </c>
      <c r="C777" s="1" t="s">
        <v>1162</v>
      </c>
      <c r="D777" s="1" t="s">
        <v>241</v>
      </c>
      <c r="E777" s="1" t="s">
        <v>1353</v>
      </c>
      <c r="F777" s="1">
        <v>4</v>
      </c>
      <c r="G777" s="1" t="str">
        <f>CONCATENATE(Table1[[#This Row],[Duration_Years]]," ","years")</f>
        <v>4 years</v>
      </c>
      <c r="H777" s="11">
        <v>7800</v>
      </c>
      <c r="I777" s="1">
        <v>43.2</v>
      </c>
      <c r="J777" s="11">
        <v>350</v>
      </c>
      <c r="K777" s="11">
        <v>100</v>
      </c>
      <c r="L777" s="11">
        <v>300</v>
      </c>
      <c r="M777" s="22">
        <v>1</v>
      </c>
      <c r="N777" s="3" t="str">
        <f>IF(Table1[[#This Row],[Exchange_Rate]]&lt;5,"Strong Currency", IF(Table1[[#This Row],[Exchange_Rate]]&lt;=1000, "Medium Currency","Weak Currency"))</f>
        <v>Strong Currency</v>
      </c>
      <c r="O777" s="11">
        <f>(Table1[[#This Row],[Living_Cost_Index]]/123.3)*1850</f>
        <v>648.1751824817519</v>
      </c>
      <c r="P777" s="11">
        <f>Table1[[#This Row],[Monthly_Estimated_Living_cost]]*12</f>
        <v>7778.1021897810224</v>
      </c>
      <c r="Q777" s="13">
        <f>Table1[[#This Row],[Tuition_USD]]+Table1[[#This Row],[Rent_USD]]+Table1[[#This Row],[Insurance_USD]]+Table1[[#This Row],[Visa_Fee_USD]]+Table1[[#This Row],[Annual_Estimated_Living_cost]]</f>
        <v>16328.102189781022</v>
      </c>
    </row>
    <row r="778" spans="1:17" x14ac:dyDescent="0.25">
      <c r="A778" s="2" t="s">
        <v>1140</v>
      </c>
      <c r="B778" s="1" t="s">
        <v>1163</v>
      </c>
      <c r="C778" s="1" t="s">
        <v>1164</v>
      </c>
      <c r="D778" s="1" t="s">
        <v>251</v>
      </c>
      <c r="E778" s="1" t="s">
        <v>16</v>
      </c>
      <c r="F778" s="1">
        <v>2</v>
      </c>
      <c r="G778" s="1" t="str">
        <f>CONCATENATE(Table1[[#This Row],[Duration_Years]]," ","years")</f>
        <v>2 years</v>
      </c>
      <c r="H778" s="11">
        <v>18000</v>
      </c>
      <c r="I778" s="1">
        <v>55.4</v>
      </c>
      <c r="J778" s="11">
        <v>500</v>
      </c>
      <c r="K778" s="11">
        <v>150</v>
      </c>
      <c r="L778" s="11">
        <v>500</v>
      </c>
      <c r="M778" s="22">
        <v>15000</v>
      </c>
      <c r="N778" s="3" t="str">
        <f>IF(Table1[[#This Row],[Exchange_Rate]]&lt;5,"Strong Currency", IF(Table1[[#This Row],[Exchange_Rate]]&lt;=1000, "Medium Currency","Weak Currency"))</f>
        <v>Weak Currency</v>
      </c>
      <c r="O778" s="11">
        <f>(Table1[[#This Row],[Living_Cost_Index]]/123.3)*1850</f>
        <v>831.22465531224657</v>
      </c>
      <c r="P778" s="11">
        <f>Table1[[#This Row],[Monthly_Estimated_Living_cost]]*12</f>
        <v>9974.6958637469579</v>
      </c>
      <c r="Q778" s="13">
        <f>Table1[[#This Row],[Tuition_USD]]+Table1[[#This Row],[Rent_USD]]+Table1[[#This Row],[Insurance_USD]]+Table1[[#This Row],[Visa_Fee_USD]]+Table1[[#This Row],[Annual_Estimated_Living_cost]]</f>
        <v>29124.695863746958</v>
      </c>
    </row>
    <row r="779" spans="1:17" x14ac:dyDescent="0.25">
      <c r="A779" s="2" t="s">
        <v>1143</v>
      </c>
      <c r="B779" s="1" t="s">
        <v>1165</v>
      </c>
      <c r="C779" s="1" t="s">
        <v>1166</v>
      </c>
      <c r="D779" s="1" t="s">
        <v>222</v>
      </c>
      <c r="E779" s="1" t="s">
        <v>16</v>
      </c>
      <c r="F779" s="1">
        <v>2</v>
      </c>
      <c r="G779" s="1" t="str">
        <f>CONCATENATE(Table1[[#This Row],[Duration_Years]]," ","years")</f>
        <v>2 years</v>
      </c>
      <c r="H779" s="11">
        <v>8000</v>
      </c>
      <c r="I779" s="1">
        <v>63.2</v>
      </c>
      <c r="J779" s="11">
        <v>650</v>
      </c>
      <c r="K779" s="11">
        <v>130</v>
      </c>
      <c r="L779" s="11">
        <v>600</v>
      </c>
      <c r="M779" s="22">
        <v>0.38</v>
      </c>
      <c r="N779" s="3" t="str">
        <f>IF(Table1[[#This Row],[Exchange_Rate]]&lt;5,"Strong Currency", IF(Table1[[#This Row],[Exchange_Rate]]&lt;=1000, "Medium Currency","Weak Currency"))</f>
        <v>Strong Currency</v>
      </c>
      <c r="O779" s="11">
        <f>(Table1[[#This Row],[Living_Cost_Index]]/123.3)*1850</f>
        <v>948.25628548256282</v>
      </c>
      <c r="P779" s="11">
        <f>Table1[[#This Row],[Monthly_Estimated_Living_cost]]*12</f>
        <v>11379.075425790754</v>
      </c>
      <c r="Q779" s="13">
        <f>Table1[[#This Row],[Tuition_USD]]+Table1[[#This Row],[Rent_USD]]+Table1[[#This Row],[Insurance_USD]]+Table1[[#This Row],[Visa_Fee_USD]]+Table1[[#This Row],[Annual_Estimated_Living_cost]]</f>
        <v>20759.075425790754</v>
      </c>
    </row>
    <row r="780" spans="1:17" x14ac:dyDescent="0.25">
      <c r="A780" s="2" t="s">
        <v>1146</v>
      </c>
      <c r="B780" s="1" t="s">
        <v>1167</v>
      </c>
      <c r="C780" s="1" t="s">
        <v>1168</v>
      </c>
      <c r="D780" s="1" t="s">
        <v>15</v>
      </c>
      <c r="E780" s="1" t="s">
        <v>16</v>
      </c>
      <c r="F780" s="1">
        <v>2</v>
      </c>
      <c r="G780" s="1" t="str">
        <f>CONCATENATE(Table1[[#This Row],[Duration_Years]]," ","years")</f>
        <v>2 years</v>
      </c>
      <c r="H780" s="11">
        <v>6500</v>
      </c>
      <c r="I780" s="1">
        <v>48.5</v>
      </c>
      <c r="J780" s="11">
        <v>380</v>
      </c>
      <c r="K780" s="11">
        <v>90</v>
      </c>
      <c r="L780" s="11">
        <v>350</v>
      </c>
      <c r="M780" s="22">
        <v>39.5</v>
      </c>
      <c r="N780" s="3" t="str">
        <f>IF(Table1[[#This Row],[Exchange_Rate]]&lt;5,"Strong Currency", IF(Table1[[#This Row],[Exchange_Rate]]&lt;=1000, "Medium Currency","Weak Currency"))</f>
        <v>Medium Currency</v>
      </c>
      <c r="O780" s="11">
        <f>(Table1[[#This Row],[Living_Cost_Index]]/123.3)*1850</f>
        <v>727.69667477696669</v>
      </c>
      <c r="P780" s="11">
        <f>Table1[[#This Row],[Monthly_Estimated_Living_cost]]*12</f>
        <v>8732.3600973236007</v>
      </c>
      <c r="Q780" s="13">
        <f>Table1[[#This Row],[Tuition_USD]]+Table1[[#This Row],[Rent_USD]]+Table1[[#This Row],[Insurance_USD]]+Table1[[#This Row],[Visa_Fee_USD]]+Table1[[#This Row],[Annual_Estimated_Living_cost]]</f>
        <v>16052.360097323601</v>
      </c>
    </row>
    <row r="781" spans="1:17" x14ac:dyDescent="0.25">
      <c r="A781" s="2" t="s">
        <v>1149</v>
      </c>
      <c r="B781" s="1" t="s">
        <v>1169</v>
      </c>
      <c r="C781" s="1" t="s">
        <v>1170</v>
      </c>
      <c r="D781" s="1" t="s">
        <v>20</v>
      </c>
      <c r="E781" s="1" t="s">
        <v>75</v>
      </c>
      <c r="F781" s="1">
        <v>3</v>
      </c>
      <c r="G781" s="1" t="str">
        <f>CONCATENATE(Table1[[#This Row],[Duration_Years]]," ","years")</f>
        <v>3 years</v>
      </c>
      <c r="H781" s="11">
        <v>3200</v>
      </c>
      <c r="I781" s="1">
        <v>45.8</v>
      </c>
      <c r="J781" s="11">
        <v>350</v>
      </c>
      <c r="K781" s="11">
        <v>110</v>
      </c>
      <c r="L781" s="11">
        <v>300</v>
      </c>
      <c r="M781" s="22">
        <v>1.85</v>
      </c>
      <c r="N781" s="3" t="str">
        <f>IF(Table1[[#This Row],[Exchange_Rate]]&lt;5,"Strong Currency", IF(Table1[[#This Row],[Exchange_Rate]]&lt;=1000, "Medium Currency","Weak Currency"))</f>
        <v>Strong Currency</v>
      </c>
      <c r="O781" s="11">
        <f>(Table1[[#This Row],[Living_Cost_Index]]/123.3)*1850</f>
        <v>687.18572587185724</v>
      </c>
      <c r="P781" s="11">
        <f>Table1[[#This Row],[Monthly_Estimated_Living_cost]]*12</f>
        <v>8246.2287104622865</v>
      </c>
      <c r="Q781" s="13">
        <f>Table1[[#This Row],[Tuition_USD]]+Table1[[#This Row],[Rent_USD]]+Table1[[#This Row],[Insurance_USD]]+Table1[[#This Row],[Visa_Fee_USD]]+Table1[[#This Row],[Annual_Estimated_Living_cost]]</f>
        <v>12206.228710462286</v>
      </c>
    </row>
    <row r="782" spans="1:17" x14ac:dyDescent="0.25">
      <c r="A782" s="2" t="s">
        <v>1152</v>
      </c>
      <c r="B782" s="1" t="s">
        <v>1171</v>
      </c>
      <c r="C782" s="1" t="s">
        <v>1172</v>
      </c>
      <c r="D782" s="1" t="s">
        <v>207</v>
      </c>
      <c r="E782" s="1" t="s">
        <v>1353</v>
      </c>
      <c r="F782" s="1">
        <v>4</v>
      </c>
      <c r="G782" s="1" t="str">
        <f>CONCATENATE(Table1[[#This Row],[Duration_Years]]," ","years")</f>
        <v>4 years</v>
      </c>
      <c r="H782" s="11">
        <v>4200</v>
      </c>
      <c r="I782" s="1">
        <v>39.799999999999997</v>
      </c>
      <c r="J782" s="11">
        <v>250</v>
      </c>
      <c r="K782" s="11">
        <v>120</v>
      </c>
      <c r="L782" s="11">
        <v>250</v>
      </c>
      <c r="M782" s="22">
        <v>12</v>
      </c>
      <c r="N782" s="3" t="str">
        <f>IF(Table1[[#This Row],[Exchange_Rate]]&lt;5,"Strong Currency", IF(Table1[[#This Row],[Exchange_Rate]]&lt;=1000, "Medium Currency","Weak Currency"))</f>
        <v>Medium Currency</v>
      </c>
      <c r="O782" s="11">
        <f>(Table1[[#This Row],[Living_Cost_Index]]/123.3)*1850</f>
        <v>597.16139497161384</v>
      </c>
      <c r="P782" s="11">
        <f>Table1[[#This Row],[Monthly_Estimated_Living_cost]]*12</f>
        <v>7165.9367396593661</v>
      </c>
      <c r="Q782" s="13">
        <f>Table1[[#This Row],[Tuition_USD]]+Table1[[#This Row],[Rent_USD]]+Table1[[#This Row],[Insurance_USD]]+Table1[[#This Row],[Visa_Fee_USD]]+Table1[[#This Row],[Annual_Estimated_Living_cost]]</f>
        <v>11985.936739659366</v>
      </c>
    </row>
    <row r="783" spans="1:17" x14ac:dyDescent="0.25">
      <c r="A783" s="2" t="s">
        <v>1155</v>
      </c>
      <c r="B783" s="1" t="s">
        <v>1173</v>
      </c>
      <c r="C783" s="1" t="s">
        <v>1174</v>
      </c>
      <c r="D783" s="1" t="s">
        <v>63</v>
      </c>
      <c r="E783" s="1" t="s">
        <v>16</v>
      </c>
      <c r="F783" s="1">
        <v>2</v>
      </c>
      <c r="G783" s="1" t="str">
        <f>CONCATENATE(Table1[[#This Row],[Duration_Years]]," ","years")</f>
        <v>2 years</v>
      </c>
      <c r="H783" s="11">
        <v>1100</v>
      </c>
      <c r="I783" s="1">
        <v>36.4</v>
      </c>
      <c r="J783" s="11">
        <v>220</v>
      </c>
      <c r="K783" s="11">
        <v>80</v>
      </c>
      <c r="L783" s="11">
        <v>200</v>
      </c>
      <c r="M783" s="22">
        <v>137.5</v>
      </c>
      <c r="N783" s="3" t="str">
        <f>IF(Table1[[#This Row],[Exchange_Rate]]&lt;5,"Strong Currency", IF(Table1[[#This Row],[Exchange_Rate]]&lt;=1000, "Medium Currency","Weak Currency"))</f>
        <v>Medium Currency</v>
      </c>
      <c r="O783" s="11">
        <f>(Table1[[#This Row],[Living_Cost_Index]]/123.3)*1850</f>
        <v>546.14760746147613</v>
      </c>
      <c r="P783" s="11">
        <f>Table1[[#This Row],[Monthly_Estimated_Living_cost]]*12</f>
        <v>6553.7712895377135</v>
      </c>
      <c r="Q783" s="13">
        <f>Table1[[#This Row],[Tuition_USD]]+Table1[[#This Row],[Rent_USD]]+Table1[[#This Row],[Insurance_USD]]+Table1[[#This Row],[Visa_Fee_USD]]+Table1[[#This Row],[Annual_Estimated_Living_cost]]</f>
        <v>8153.7712895377135</v>
      </c>
    </row>
    <row r="784" spans="1:17" x14ac:dyDescent="0.25">
      <c r="A784" s="2" t="s">
        <v>1158</v>
      </c>
      <c r="B784" s="1" t="s">
        <v>1175</v>
      </c>
      <c r="C784" s="1" t="s">
        <v>1176</v>
      </c>
      <c r="D784" s="1" t="s">
        <v>71</v>
      </c>
      <c r="E784" s="1" t="s">
        <v>75</v>
      </c>
      <c r="F784" s="1">
        <v>4</v>
      </c>
      <c r="G784" s="1" t="str">
        <f>CONCATENATE(Table1[[#This Row],[Duration_Years]]," ","years")</f>
        <v>4 years</v>
      </c>
      <c r="H784" s="11">
        <v>6800</v>
      </c>
      <c r="I784" s="1">
        <v>47.5</v>
      </c>
      <c r="J784" s="11">
        <v>450</v>
      </c>
      <c r="K784" s="11">
        <v>100</v>
      </c>
      <c r="L784" s="11">
        <v>400</v>
      </c>
      <c r="M784" s="22">
        <v>1</v>
      </c>
      <c r="N784" s="3" t="str">
        <f>IF(Table1[[#This Row],[Exchange_Rate]]&lt;5,"Strong Currency", IF(Table1[[#This Row],[Exchange_Rate]]&lt;=1000, "Medium Currency","Weak Currency"))</f>
        <v>Strong Currency</v>
      </c>
      <c r="O784" s="11">
        <f>(Table1[[#This Row],[Living_Cost_Index]]/123.3)*1850</f>
        <v>712.69261962692622</v>
      </c>
      <c r="P784" s="11">
        <f>Table1[[#This Row],[Monthly_Estimated_Living_cost]]*12</f>
        <v>8552.3114355231155</v>
      </c>
      <c r="Q784" s="13">
        <f>Table1[[#This Row],[Tuition_USD]]+Table1[[#This Row],[Rent_USD]]+Table1[[#This Row],[Insurance_USD]]+Table1[[#This Row],[Visa_Fee_USD]]+Table1[[#This Row],[Annual_Estimated_Living_cost]]</f>
        <v>16302.311435523116</v>
      </c>
    </row>
    <row r="785" spans="1:17" x14ac:dyDescent="0.25">
      <c r="A785" s="2" t="s">
        <v>1137</v>
      </c>
      <c r="B785" s="1" t="s">
        <v>1177</v>
      </c>
      <c r="C785" s="1" t="s">
        <v>1178</v>
      </c>
      <c r="D785" s="1" t="s">
        <v>215</v>
      </c>
      <c r="E785" s="1" t="s">
        <v>16</v>
      </c>
      <c r="F785" s="1">
        <v>2</v>
      </c>
      <c r="G785" s="1" t="str">
        <f>CONCATENATE(Table1[[#This Row],[Duration_Years]]," ","years")</f>
        <v>2 years</v>
      </c>
      <c r="H785" s="11">
        <v>7200</v>
      </c>
      <c r="I785" s="1">
        <v>42.5</v>
      </c>
      <c r="J785" s="11">
        <v>320</v>
      </c>
      <c r="K785" s="11">
        <v>100</v>
      </c>
      <c r="L785" s="11">
        <v>300</v>
      </c>
      <c r="M785" s="22">
        <v>1</v>
      </c>
      <c r="N785" s="3" t="str">
        <f>IF(Table1[[#This Row],[Exchange_Rate]]&lt;5,"Strong Currency", IF(Table1[[#This Row],[Exchange_Rate]]&lt;=1000, "Medium Currency","Weak Currency"))</f>
        <v>Strong Currency</v>
      </c>
      <c r="O785" s="11">
        <f>(Table1[[#This Row],[Living_Cost_Index]]/123.3)*1850</f>
        <v>637.6723438767234</v>
      </c>
      <c r="P785" s="11">
        <f>Table1[[#This Row],[Monthly_Estimated_Living_cost]]*12</f>
        <v>7652.0681265206804</v>
      </c>
      <c r="Q785" s="13">
        <f>Table1[[#This Row],[Tuition_USD]]+Table1[[#This Row],[Rent_USD]]+Table1[[#This Row],[Insurance_USD]]+Table1[[#This Row],[Visa_Fee_USD]]+Table1[[#This Row],[Annual_Estimated_Living_cost]]</f>
        <v>15572.06812652068</v>
      </c>
    </row>
    <row r="786" spans="1:17" x14ac:dyDescent="0.25">
      <c r="A786" s="2" t="s">
        <v>1140</v>
      </c>
      <c r="B786" s="1" t="s">
        <v>1179</v>
      </c>
      <c r="C786" s="1" t="s">
        <v>1180</v>
      </c>
      <c r="D786" s="1" t="s">
        <v>15</v>
      </c>
      <c r="E786" s="1" t="s">
        <v>1353</v>
      </c>
      <c r="F786" s="1">
        <v>4</v>
      </c>
      <c r="G786" s="1" t="str">
        <f>CONCATENATE(Table1[[#This Row],[Duration_Years]]," ","years")</f>
        <v>4 years</v>
      </c>
      <c r="H786" s="11">
        <v>2000</v>
      </c>
      <c r="I786" s="1">
        <v>52.1</v>
      </c>
      <c r="J786" s="11">
        <v>400</v>
      </c>
      <c r="K786" s="11">
        <v>150</v>
      </c>
      <c r="L786" s="11">
        <v>500</v>
      </c>
      <c r="M786" s="22">
        <v>15000</v>
      </c>
      <c r="N786" s="3" t="str">
        <f>IF(Table1[[#This Row],[Exchange_Rate]]&lt;5,"Strong Currency", IF(Table1[[#This Row],[Exchange_Rate]]&lt;=1000, "Medium Currency","Weak Currency"))</f>
        <v>Weak Currency</v>
      </c>
      <c r="O786" s="11">
        <f>(Table1[[#This Row],[Living_Cost_Index]]/123.3)*1850</f>
        <v>781.71127331711273</v>
      </c>
      <c r="P786" s="11">
        <f>Table1[[#This Row],[Monthly_Estimated_Living_cost]]*12</f>
        <v>9380.5352798053536</v>
      </c>
      <c r="Q786" s="13">
        <f>Table1[[#This Row],[Tuition_USD]]+Table1[[#This Row],[Rent_USD]]+Table1[[#This Row],[Insurance_USD]]+Table1[[#This Row],[Visa_Fee_USD]]+Table1[[#This Row],[Annual_Estimated_Living_cost]]</f>
        <v>12430.535279805354</v>
      </c>
    </row>
    <row r="787" spans="1:17" x14ac:dyDescent="0.25">
      <c r="A787" s="2" t="s">
        <v>1143</v>
      </c>
      <c r="B787" s="1" t="s">
        <v>1181</v>
      </c>
      <c r="C787" s="1" t="s">
        <v>1182</v>
      </c>
      <c r="D787" s="1" t="s">
        <v>241</v>
      </c>
      <c r="E787" s="1" t="s">
        <v>75</v>
      </c>
      <c r="F787" s="1">
        <v>4</v>
      </c>
      <c r="G787" s="1" t="str">
        <f>CONCATENATE(Table1[[#This Row],[Duration_Years]]," ","years")</f>
        <v>4 years</v>
      </c>
      <c r="H787" s="11">
        <v>6500</v>
      </c>
      <c r="I787" s="1">
        <v>61.8</v>
      </c>
      <c r="J787" s="11">
        <v>600</v>
      </c>
      <c r="K787" s="11">
        <v>130</v>
      </c>
      <c r="L787" s="11">
        <v>600</v>
      </c>
      <c r="M787" s="22">
        <v>0.38</v>
      </c>
      <c r="N787" s="3" t="str">
        <f>IF(Table1[[#This Row],[Exchange_Rate]]&lt;5,"Strong Currency", IF(Table1[[#This Row],[Exchange_Rate]]&lt;=1000, "Medium Currency","Weak Currency"))</f>
        <v>Strong Currency</v>
      </c>
      <c r="O787" s="11">
        <f>(Table1[[#This Row],[Living_Cost_Index]]/123.3)*1850</f>
        <v>927.25060827250593</v>
      </c>
      <c r="P787" s="11">
        <f>Table1[[#This Row],[Monthly_Estimated_Living_cost]]*12</f>
        <v>11127.007299270072</v>
      </c>
      <c r="Q787" s="13">
        <f>Table1[[#This Row],[Tuition_USD]]+Table1[[#This Row],[Rent_USD]]+Table1[[#This Row],[Insurance_USD]]+Table1[[#This Row],[Visa_Fee_USD]]+Table1[[#This Row],[Annual_Estimated_Living_cost]]</f>
        <v>18957.007299270073</v>
      </c>
    </row>
    <row r="788" spans="1:17" x14ac:dyDescent="0.25">
      <c r="A788" s="2" t="s">
        <v>1146</v>
      </c>
      <c r="B788" s="1" t="s">
        <v>1183</v>
      </c>
      <c r="C788" s="1" t="s">
        <v>1184</v>
      </c>
      <c r="D788" s="1" t="s">
        <v>20</v>
      </c>
      <c r="E788" s="1" t="s">
        <v>16</v>
      </c>
      <c r="F788" s="1">
        <v>2</v>
      </c>
      <c r="G788" s="1" t="str">
        <f>CONCATENATE(Table1[[#This Row],[Duration_Years]]," ","years")</f>
        <v>2 years</v>
      </c>
      <c r="H788" s="11">
        <v>7000</v>
      </c>
      <c r="I788" s="1">
        <v>49.2</v>
      </c>
      <c r="J788" s="11">
        <v>400</v>
      </c>
      <c r="K788" s="11">
        <v>90</v>
      </c>
      <c r="L788" s="11">
        <v>350</v>
      </c>
      <c r="M788" s="22">
        <v>39.5</v>
      </c>
      <c r="N788" s="3" t="str">
        <f>IF(Table1[[#This Row],[Exchange_Rate]]&lt;5,"Strong Currency", IF(Table1[[#This Row],[Exchange_Rate]]&lt;=1000, "Medium Currency","Weak Currency"))</f>
        <v>Medium Currency</v>
      </c>
      <c r="O788" s="11">
        <f>(Table1[[#This Row],[Living_Cost_Index]]/123.3)*1850</f>
        <v>738.19951338199519</v>
      </c>
      <c r="P788" s="11">
        <f>Table1[[#This Row],[Monthly_Estimated_Living_cost]]*12</f>
        <v>8858.3941605839427</v>
      </c>
      <c r="Q788" s="13">
        <f>Table1[[#This Row],[Tuition_USD]]+Table1[[#This Row],[Rent_USD]]+Table1[[#This Row],[Insurance_USD]]+Table1[[#This Row],[Visa_Fee_USD]]+Table1[[#This Row],[Annual_Estimated_Living_cost]]</f>
        <v>16698.394160583943</v>
      </c>
    </row>
    <row r="789" spans="1:17" x14ac:dyDescent="0.25">
      <c r="A789" s="2" t="s">
        <v>1149</v>
      </c>
      <c r="B789" s="1" t="s">
        <v>1185</v>
      </c>
      <c r="C789" s="1" t="s">
        <v>1186</v>
      </c>
      <c r="D789" s="1" t="s">
        <v>63</v>
      </c>
      <c r="E789" s="1" t="s">
        <v>16</v>
      </c>
      <c r="F789" s="1">
        <v>2</v>
      </c>
      <c r="G789" s="1" t="str">
        <f>CONCATENATE(Table1[[#This Row],[Duration_Years]]," ","years")</f>
        <v>2 years</v>
      </c>
      <c r="H789" s="11">
        <v>3100</v>
      </c>
      <c r="I789" s="1">
        <v>44.2</v>
      </c>
      <c r="J789" s="11">
        <v>330</v>
      </c>
      <c r="K789" s="11">
        <v>110</v>
      </c>
      <c r="L789" s="11">
        <v>300</v>
      </c>
      <c r="M789" s="22">
        <v>1.85</v>
      </c>
      <c r="N789" s="3" t="str">
        <f>IF(Table1[[#This Row],[Exchange_Rate]]&lt;5,"Strong Currency", IF(Table1[[#This Row],[Exchange_Rate]]&lt;=1000, "Medium Currency","Weak Currency"))</f>
        <v>Strong Currency</v>
      </c>
      <c r="O789" s="11">
        <f>(Table1[[#This Row],[Living_Cost_Index]]/123.3)*1850</f>
        <v>663.17923763179249</v>
      </c>
      <c r="P789" s="11">
        <f>Table1[[#This Row],[Monthly_Estimated_Living_cost]]*12</f>
        <v>7958.1508515815094</v>
      </c>
      <c r="Q789" s="13">
        <f>Table1[[#This Row],[Tuition_USD]]+Table1[[#This Row],[Rent_USD]]+Table1[[#This Row],[Insurance_USD]]+Table1[[#This Row],[Visa_Fee_USD]]+Table1[[#This Row],[Annual_Estimated_Living_cost]]</f>
        <v>11798.150851581509</v>
      </c>
    </row>
    <row r="790" spans="1:17" x14ac:dyDescent="0.25">
      <c r="A790" s="2" t="s">
        <v>1152</v>
      </c>
      <c r="B790" s="1" t="s">
        <v>1187</v>
      </c>
      <c r="C790" s="1" t="s">
        <v>1188</v>
      </c>
      <c r="D790" s="1" t="s">
        <v>222</v>
      </c>
      <c r="E790" s="1" t="s">
        <v>16</v>
      </c>
      <c r="F790" s="1">
        <v>2</v>
      </c>
      <c r="G790" s="1" t="str">
        <f>CONCATENATE(Table1[[#This Row],[Duration_Years]]," ","years")</f>
        <v>2 years</v>
      </c>
      <c r="H790" s="11">
        <v>4000</v>
      </c>
      <c r="I790" s="1">
        <v>38.5</v>
      </c>
      <c r="J790" s="11">
        <v>230</v>
      </c>
      <c r="K790" s="11">
        <v>120</v>
      </c>
      <c r="L790" s="11">
        <v>250</v>
      </c>
      <c r="M790" s="22">
        <v>12</v>
      </c>
      <c r="N790" s="3" t="str">
        <f>IF(Table1[[#This Row],[Exchange_Rate]]&lt;5,"Strong Currency", IF(Table1[[#This Row],[Exchange_Rate]]&lt;=1000, "Medium Currency","Weak Currency"))</f>
        <v>Medium Currency</v>
      </c>
      <c r="O790" s="11">
        <f>(Table1[[#This Row],[Living_Cost_Index]]/123.3)*1850</f>
        <v>577.65612327656117</v>
      </c>
      <c r="P790" s="11">
        <f>Table1[[#This Row],[Monthly_Estimated_Living_cost]]*12</f>
        <v>6931.8734793187341</v>
      </c>
      <c r="Q790" s="13">
        <f>Table1[[#This Row],[Tuition_USD]]+Table1[[#This Row],[Rent_USD]]+Table1[[#This Row],[Insurance_USD]]+Table1[[#This Row],[Visa_Fee_USD]]+Table1[[#This Row],[Annual_Estimated_Living_cost]]</f>
        <v>11531.873479318734</v>
      </c>
    </row>
    <row r="791" spans="1:17" x14ac:dyDescent="0.25">
      <c r="A791" s="2" t="s">
        <v>1155</v>
      </c>
      <c r="B791" s="1" t="s">
        <v>1189</v>
      </c>
      <c r="C791" s="1" t="s">
        <v>1190</v>
      </c>
      <c r="D791" s="1" t="s">
        <v>71</v>
      </c>
      <c r="E791" s="1" t="s">
        <v>1353</v>
      </c>
      <c r="F791" s="1">
        <v>4</v>
      </c>
      <c r="G791" s="1" t="str">
        <f>CONCATENATE(Table1[[#This Row],[Duration_Years]]," ","years")</f>
        <v>4 years</v>
      </c>
      <c r="H791" s="11">
        <v>1300</v>
      </c>
      <c r="I791" s="1">
        <v>35.799999999999997</v>
      </c>
      <c r="J791" s="11">
        <v>200</v>
      </c>
      <c r="K791" s="11">
        <v>80</v>
      </c>
      <c r="L791" s="11">
        <v>200</v>
      </c>
      <c r="M791" s="22">
        <v>137.5</v>
      </c>
      <c r="N791" s="3" t="str">
        <f>IF(Table1[[#This Row],[Exchange_Rate]]&lt;5,"Strong Currency", IF(Table1[[#This Row],[Exchange_Rate]]&lt;=1000, "Medium Currency","Weak Currency"))</f>
        <v>Medium Currency</v>
      </c>
      <c r="O791" s="11">
        <f>(Table1[[#This Row],[Living_Cost_Index]]/123.3)*1850</f>
        <v>537.14517437145162</v>
      </c>
      <c r="P791" s="11">
        <f>Table1[[#This Row],[Monthly_Estimated_Living_cost]]*12</f>
        <v>6445.7420924574199</v>
      </c>
      <c r="Q791" s="13">
        <f>Table1[[#This Row],[Tuition_USD]]+Table1[[#This Row],[Rent_USD]]+Table1[[#This Row],[Insurance_USD]]+Table1[[#This Row],[Visa_Fee_USD]]+Table1[[#This Row],[Annual_Estimated_Living_cost]]</f>
        <v>8225.7420924574199</v>
      </c>
    </row>
    <row r="792" spans="1:17" x14ac:dyDescent="0.25">
      <c r="A792" s="2" t="s">
        <v>1158</v>
      </c>
      <c r="B792" s="1" t="s">
        <v>1077</v>
      </c>
      <c r="C792" s="1" t="s">
        <v>1191</v>
      </c>
      <c r="D792" s="1" t="s">
        <v>15</v>
      </c>
      <c r="E792" s="1" t="s">
        <v>16</v>
      </c>
      <c r="F792" s="1">
        <v>2</v>
      </c>
      <c r="G792" s="1" t="str">
        <f>CONCATENATE(Table1[[#This Row],[Duration_Years]]," ","years")</f>
        <v>2 years</v>
      </c>
      <c r="H792" s="11">
        <v>6500</v>
      </c>
      <c r="I792" s="1">
        <v>45.8</v>
      </c>
      <c r="J792" s="11">
        <v>400</v>
      </c>
      <c r="K792" s="11">
        <v>100</v>
      </c>
      <c r="L792" s="11">
        <v>400</v>
      </c>
      <c r="M792" s="22">
        <v>1</v>
      </c>
      <c r="N792" s="3" t="str">
        <f>IF(Table1[[#This Row],[Exchange_Rate]]&lt;5,"Strong Currency", IF(Table1[[#This Row],[Exchange_Rate]]&lt;=1000, "Medium Currency","Weak Currency"))</f>
        <v>Strong Currency</v>
      </c>
      <c r="O792" s="11">
        <f>(Table1[[#This Row],[Living_Cost_Index]]/123.3)*1850</f>
        <v>687.18572587185724</v>
      </c>
      <c r="P792" s="11">
        <f>Table1[[#This Row],[Monthly_Estimated_Living_cost]]*12</f>
        <v>8246.2287104622865</v>
      </c>
      <c r="Q792" s="13">
        <f>Table1[[#This Row],[Tuition_USD]]+Table1[[#This Row],[Rent_USD]]+Table1[[#This Row],[Insurance_USD]]+Table1[[#This Row],[Visa_Fee_USD]]+Table1[[#This Row],[Annual_Estimated_Living_cost]]</f>
        <v>15646.228710462286</v>
      </c>
    </row>
    <row r="793" spans="1:17" x14ac:dyDescent="0.25">
      <c r="A793" s="2" t="s">
        <v>1137</v>
      </c>
      <c r="B793" s="1" t="s">
        <v>1192</v>
      </c>
      <c r="C793" s="1" t="s">
        <v>1193</v>
      </c>
      <c r="D793" s="1" t="s">
        <v>40</v>
      </c>
      <c r="E793" s="1" t="s">
        <v>75</v>
      </c>
      <c r="F793" s="1">
        <v>3</v>
      </c>
      <c r="G793" s="1" t="str">
        <f>CONCATENATE(Table1[[#This Row],[Duration_Years]]," ","years")</f>
        <v>3 years</v>
      </c>
      <c r="H793" s="11">
        <v>6800</v>
      </c>
      <c r="I793" s="1">
        <v>41.2</v>
      </c>
      <c r="J793" s="11">
        <v>300</v>
      </c>
      <c r="K793" s="11">
        <v>100</v>
      </c>
      <c r="L793" s="11">
        <v>300</v>
      </c>
      <c r="M793" s="22">
        <v>1</v>
      </c>
      <c r="N793" s="3" t="str">
        <f>IF(Table1[[#This Row],[Exchange_Rate]]&lt;5,"Strong Currency", IF(Table1[[#This Row],[Exchange_Rate]]&lt;=1000, "Medium Currency","Weak Currency"))</f>
        <v>Strong Currency</v>
      </c>
      <c r="O793" s="11">
        <f>(Table1[[#This Row],[Living_Cost_Index]]/123.3)*1850</f>
        <v>618.16707218167073</v>
      </c>
      <c r="P793" s="11">
        <f>Table1[[#This Row],[Monthly_Estimated_Living_cost]]*12</f>
        <v>7418.0048661800483</v>
      </c>
      <c r="Q793" s="13">
        <f>Table1[[#This Row],[Tuition_USD]]+Table1[[#This Row],[Rent_USD]]+Table1[[#This Row],[Insurance_USD]]+Table1[[#This Row],[Visa_Fee_USD]]+Table1[[#This Row],[Annual_Estimated_Living_cost]]</f>
        <v>14918.004866180048</v>
      </c>
    </row>
    <row r="794" spans="1:17" x14ac:dyDescent="0.25">
      <c r="A794" s="2" t="s">
        <v>1140</v>
      </c>
      <c r="B794" s="1" t="s">
        <v>1194</v>
      </c>
      <c r="C794" s="1" t="s">
        <v>1195</v>
      </c>
      <c r="D794" s="1" t="s">
        <v>207</v>
      </c>
      <c r="E794" s="1" t="s">
        <v>16</v>
      </c>
      <c r="F794" s="1">
        <v>2</v>
      </c>
      <c r="G794" s="1" t="str">
        <f>CONCATENATE(Table1[[#This Row],[Duration_Years]]," ","years")</f>
        <v>2 years</v>
      </c>
      <c r="H794" s="11">
        <v>16000</v>
      </c>
      <c r="I794" s="1">
        <v>54.5</v>
      </c>
      <c r="J794" s="11">
        <v>450</v>
      </c>
      <c r="K794" s="11">
        <v>150</v>
      </c>
      <c r="L794" s="11">
        <v>500</v>
      </c>
      <c r="M794" s="22">
        <v>15000</v>
      </c>
      <c r="N794" s="3" t="str">
        <f>IF(Table1[[#This Row],[Exchange_Rate]]&lt;5,"Strong Currency", IF(Table1[[#This Row],[Exchange_Rate]]&lt;=1000, "Medium Currency","Weak Currency"))</f>
        <v>Weak Currency</v>
      </c>
      <c r="O794" s="11">
        <f>(Table1[[#This Row],[Living_Cost_Index]]/123.3)*1850</f>
        <v>817.72100567721009</v>
      </c>
      <c r="P794" s="11">
        <f>Table1[[#This Row],[Monthly_Estimated_Living_cost]]*12</f>
        <v>9812.652068126521</v>
      </c>
      <c r="Q794" s="13">
        <f>Table1[[#This Row],[Tuition_USD]]+Table1[[#This Row],[Rent_USD]]+Table1[[#This Row],[Insurance_USD]]+Table1[[#This Row],[Visa_Fee_USD]]+Table1[[#This Row],[Annual_Estimated_Living_cost]]</f>
        <v>26912.652068126521</v>
      </c>
    </row>
    <row r="795" spans="1:17" x14ac:dyDescent="0.25">
      <c r="A795" s="2" t="s">
        <v>1143</v>
      </c>
      <c r="B795" s="1" t="s">
        <v>1196</v>
      </c>
      <c r="C795" s="1" t="s">
        <v>1197</v>
      </c>
      <c r="D795" s="1" t="s">
        <v>20</v>
      </c>
      <c r="E795" s="1" t="s">
        <v>1353</v>
      </c>
      <c r="F795" s="1">
        <v>4</v>
      </c>
      <c r="G795" s="1" t="str">
        <f>CONCATENATE(Table1[[#This Row],[Duration_Years]]," ","years")</f>
        <v>4 years</v>
      </c>
      <c r="H795" s="11">
        <v>9000</v>
      </c>
      <c r="I795" s="1">
        <v>62.4</v>
      </c>
      <c r="J795" s="11">
        <v>620</v>
      </c>
      <c r="K795" s="11">
        <v>130</v>
      </c>
      <c r="L795" s="11">
        <v>600</v>
      </c>
      <c r="M795" s="22">
        <v>0.38</v>
      </c>
      <c r="N795" s="3" t="str">
        <f>IF(Table1[[#This Row],[Exchange_Rate]]&lt;5,"Strong Currency", IF(Table1[[#This Row],[Exchange_Rate]]&lt;=1000, "Medium Currency","Weak Currency"))</f>
        <v>Strong Currency</v>
      </c>
      <c r="O795" s="11">
        <f>(Table1[[#This Row],[Living_Cost_Index]]/123.3)*1850</f>
        <v>936.25304136253055</v>
      </c>
      <c r="P795" s="11">
        <f>Table1[[#This Row],[Monthly_Estimated_Living_cost]]*12</f>
        <v>11235.036496350367</v>
      </c>
      <c r="Q795" s="13">
        <f>Table1[[#This Row],[Tuition_USD]]+Table1[[#This Row],[Rent_USD]]+Table1[[#This Row],[Insurance_USD]]+Table1[[#This Row],[Visa_Fee_USD]]+Table1[[#This Row],[Annual_Estimated_Living_cost]]</f>
        <v>21585.036496350367</v>
      </c>
    </row>
    <row r="796" spans="1:17" x14ac:dyDescent="0.25">
      <c r="A796" s="2" t="s">
        <v>1146</v>
      </c>
      <c r="B796" s="1" t="s">
        <v>1198</v>
      </c>
      <c r="C796" s="1" t="s">
        <v>1199</v>
      </c>
      <c r="D796" s="1" t="s">
        <v>215</v>
      </c>
      <c r="E796" s="1" t="s">
        <v>75</v>
      </c>
      <c r="F796" s="1">
        <v>4</v>
      </c>
      <c r="G796" s="1" t="str">
        <f>CONCATENATE(Table1[[#This Row],[Duration_Years]]," ","years")</f>
        <v>4 years</v>
      </c>
      <c r="H796" s="11">
        <v>0</v>
      </c>
      <c r="I796" s="1">
        <v>47.8</v>
      </c>
      <c r="J796" s="11">
        <v>350</v>
      </c>
      <c r="K796" s="11">
        <v>90</v>
      </c>
      <c r="L796" s="11">
        <v>350</v>
      </c>
      <c r="M796" s="22">
        <v>39.5</v>
      </c>
      <c r="N796" s="3" t="str">
        <f>IF(Table1[[#This Row],[Exchange_Rate]]&lt;5,"Strong Currency", IF(Table1[[#This Row],[Exchange_Rate]]&lt;=1000, "Medium Currency","Weak Currency"))</f>
        <v>Medium Currency</v>
      </c>
      <c r="O796" s="11">
        <f>(Table1[[#This Row],[Living_Cost_Index]]/123.3)*1850</f>
        <v>717.19383617193841</v>
      </c>
      <c r="P796" s="11">
        <f>Table1[[#This Row],[Monthly_Estimated_Living_cost]]*12</f>
        <v>8606.3260340632605</v>
      </c>
      <c r="Q796" s="13">
        <f>Table1[[#This Row],[Tuition_USD]]+Table1[[#This Row],[Rent_USD]]+Table1[[#This Row],[Insurance_USD]]+Table1[[#This Row],[Visa_Fee_USD]]+Table1[[#This Row],[Annual_Estimated_Living_cost]]</f>
        <v>9396.3260340632605</v>
      </c>
    </row>
    <row r="797" spans="1:17" x14ac:dyDescent="0.25">
      <c r="A797" s="2" t="s">
        <v>1149</v>
      </c>
      <c r="B797" s="1" t="s">
        <v>1200</v>
      </c>
      <c r="C797" s="1" t="s">
        <v>1201</v>
      </c>
      <c r="D797" s="1" t="s">
        <v>15</v>
      </c>
      <c r="E797" s="1" t="s">
        <v>16</v>
      </c>
      <c r="F797" s="1">
        <v>2</v>
      </c>
      <c r="G797" s="1" t="str">
        <f>CONCATENATE(Table1[[#This Row],[Duration_Years]]," ","years")</f>
        <v>2 years</v>
      </c>
      <c r="H797" s="11">
        <v>2900</v>
      </c>
      <c r="I797" s="1">
        <v>43.5</v>
      </c>
      <c r="J797" s="11">
        <v>320</v>
      </c>
      <c r="K797" s="11">
        <v>110</v>
      </c>
      <c r="L797" s="11">
        <v>300</v>
      </c>
      <c r="M797" s="22">
        <v>1.85</v>
      </c>
      <c r="N797" s="3" t="str">
        <f>IF(Table1[[#This Row],[Exchange_Rate]]&lt;5,"Strong Currency", IF(Table1[[#This Row],[Exchange_Rate]]&lt;=1000, "Medium Currency","Weak Currency"))</f>
        <v>Strong Currency</v>
      </c>
      <c r="O797" s="11">
        <f>(Table1[[#This Row],[Living_Cost_Index]]/123.3)*1850</f>
        <v>652.67639902676399</v>
      </c>
      <c r="P797" s="11">
        <f>Table1[[#This Row],[Monthly_Estimated_Living_cost]]*12</f>
        <v>7832.1167883211674</v>
      </c>
      <c r="Q797" s="13">
        <f>Table1[[#This Row],[Tuition_USD]]+Table1[[#This Row],[Rent_USD]]+Table1[[#This Row],[Insurance_USD]]+Table1[[#This Row],[Visa_Fee_USD]]+Table1[[#This Row],[Annual_Estimated_Living_cost]]</f>
        <v>11462.116788321167</v>
      </c>
    </row>
    <row r="798" spans="1:17" x14ac:dyDescent="0.25">
      <c r="A798" s="2" t="s">
        <v>1152</v>
      </c>
      <c r="B798" s="1" t="s">
        <v>1202</v>
      </c>
      <c r="C798" s="1" t="s">
        <v>1203</v>
      </c>
      <c r="D798" s="1" t="s">
        <v>241</v>
      </c>
      <c r="E798" s="1" t="s">
        <v>1353</v>
      </c>
      <c r="F798" s="1">
        <v>4</v>
      </c>
      <c r="G798" s="1" t="str">
        <f>CONCATENATE(Table1[[#This Row],[Duration_Years]]," ","years")</f>
        <v>4 years</v>
      </c>
      <c r="H798" s="11">
        <v>3800</v>
      </c>
      <c r="I798" s="1">
        <v>36.799999999999997</v>
      </c>
      <c r="J798" s="11">
        <v>200</v>
      </c>
      <c r="K798" s="11">
        <v>120</v>
      </c>
      <c r="L798" s="11">
        <v>250</v>
      </c>
      <c r="M798" s="22">
        <v>12</v>
      </c>
      <c r="N798" s="3" t="str">
        <f>IF(Table1[[#This Row],[Exchange_Rate]]&lt;5,"Strong Currency", IF(Table1[[#This Row],[Exchange_Rate]]&lt;=1000, "Medium Currency","Weak Currency"))</f>
        <v>Medium Currency</v>
      </c>
      <c r="O798" s="11">
        <f>(Table1[[#This Row],[Living_Cost_Index]]/123.3)*1850</f>
        <v>552.14922952149232</v>
      </c>
      <c r="P798" s="11">
        <f>Table1[[#This Row],[Monthly_Estimated_Living_cost]]*12</f>
        <v>6625.7907542579078</v>
      </c>
      <c r="Q798" s="13">
        <f>Table1[[#This Row],[Tuition_USD]]+Table1[[#This Row],[Rent_USD]]+Table1[[#This Row],[Insurance_USD]]+Table1[[#This Row],[Visa_Fee_USD]]+Table1[[#This Row],[Annual_Estimated_Living_cost]]</f>
        <v>10995.790754257909</v>
      </c>
    </row>
    <row r="799" spans="1:17" x14ac:dyDescent="0.25">
      <c r="A799" s="2" t="s">
        <v>1155</v>
      </c>
      <c r="B799" s="1" t="s">
        <v>1204</v>
      </c>
      <c r="C799" s="1" t="s">
        <v>1205</v>
      </c>
      <c r="D799" s="1" t="s">
        <v>63</v>
      </c>
      <c r="E799" s="1" t="s">
        <v>16</v>
      </c>
      <c r="F799" s="1">
        <v>2</v>
      </c>
      <c r="G799" s="1" t="str">
        <f>CONCATENATE(Table1[[#This Row],[Duration_Years]]," ","years")</f>
        <v>2 years</v>
      </c>
      <c r="H799" s="11">
        <v>1000</v>
      </c>
      <c r="I799" s="1">
        <v>34.5</v>
      </c>
      <c r="J799" s="11">
        <v>180</v>
      </c>
      <c r="K799" s="11">
        <v>80</v>
      </c>
      <c r="L799" s="11">
        <v>200</v>
      </c>
      <c r="M799" s="22">
        <v>137.5</v>
      </c>
      <c r="N799" s="3" t="str">
        <f>IF(Table1[[#This Row],[Exchange_Rate]]&lt;5,"Strong Currency", IF(Table1[[#This Row],[Exchange_Rate]]&lt;=1000, "Medium Currency","Weak Currency"))</f>
        <v>Medium Currency</v>
      </c>
      <c r="O799" s="11">
        <f>(Table1[[#This Row],[Living_Cost_Index]]/123.3)*1850</f>
        <v>517.63990267639906</v>
      </c>
      <c r="P799" s="11">
        <f>Table1[[#This Row],[Monthly_Estimated_Living_cost]]*12</f>
        <v>6211.6788321167887</v>
      </c>
      <c r="Q799" s="13">
        <f>Table1[[#This Row],[Tuition_USD]]+Table1[[#This Row],[Rent_USD]]+Table1[[#This Row],[Insurance_USD]]+Table1[[#This Row],[Visa_Fee_USD]]+Table1[[#This Row],[Annual_Estimated_Living_cost]]</f>
        <v>7671.6788321167887</v>
      </c>
    </row>
    <row r="800" spans="1:17" x14ac:dyDescent="0.25">
      <c r="A800" s="2" t="s">
        <v>1158</v>
      </c>
      <c r="B800" s="1" t="s">
        <v>1206</v>
      </c>
      <c r="C800" s="1" t="s">
        <v>1207</v>
      </c>
      <c r="D800" s="1" t="s">
        <v>71</v>
      </c>
      <c r="E800" s="1" t="s">
        <v>75</v>
      </c>
      <c r="F800" s="1">
        <v>3</v>
      </c>
      <c r="G800" s="1" t="str">
        <f>CONCATENATE(Table1[[#This Row],[Duration_Years]]," ","years")</f>
        <v>3 years</v>
      </c>
      <c r="H800" s="11">
        <v>6200</v>
      </c>
      <c r="I800" s="1">
        <v>44.2</v>
      </c>
      <c r="J800" s="11">
        <v>380</v>
      </c>
      <c r="K800" s="11">
        <v>100</v>
      </c>
      <c r="L800" s="11">
        <v>400</v>
      </c>
      <c r="M800" s="22">
        <v>1</v>
      </c>
      <c r="N800" s="3" t="str">
        <f>IF(Table1[[#This Row],[Exchange_Rate]]&lt;5,"Strong Currency", IF(Table1[[#This Row],[Exchange_Rate]]&lt;=1000, "Medium Currency","Weak Currency"))</f>
        <v>Strong Currency</v>
      </c>
      <c r="O800" s="11">
        <f>(Table1[[#This Row],[Living_Cost_Index]]/123.3)*1850</f>
        <v>663.17923763179249</v>
      </c>
      <c r="P800" s="11">
        <f>Table1[[#This Row],[Monthly_Estimated_Living_cost]]*12</f>
        <v>7958.1508515815094</v>
      </c>
      <c r="Q800" s="13">
        <f>Table1[[#This Row],[Tuition_USD]]+Table1[[#This Row],[Rent_USD]]+Table1[[#This Row],[Insurance_USD]]+Table1[[#This Row],[Visa_Fee_USD]]+Table1[[#This Row],[Annual_Estimated_Living_cost]]</f>
        <v>15038.150851581509</v>
      </c>
    </row>
    <row r="801" spans="1:17" x14ac:dyDescent="0.25">
      <c r="A801" s="2" t="s">
        <v>1137</v>
      </c>
      <c r="B801" s="1" t="s">
        <v>1208</v>
      </c>
      <c r="C801" s="1" t="s">
        <v>1209</v>
      </c>
      <c r="D801" s="1" t="s">
        <v>222</v>
      </c>
      <c r="E801" s="1" t="s">
        <v>1353</v>
      </c>
      <c r="F801" s="1">
        <v>4</v>
      </c>
      <c r="G801" s="1" t="str">
        <f>CONCATENATE(Table1[[#This Row],[Duration_Years]]," ","years")</f>
        <v>4 years</v>
      </c>
      <c r="H801" s="11">
        <v>6500</v>
      </c>
      <c r="I801" s="1">
        <v>40.5</v>
      </c>
      <c r="J801" s="11">
        <v>280</v>
      </c>
      <c r="K801" s="11">
        <v>100</v>
      </c>
      <c r="L801" s="11">
        <v>300</v>
      </c>
      <c r="M801" s="22">
        <v>1</v>
      </c>
      <c r="N801" s="3" t="str">
        <f>IF(Table1[[#This Row],[Exchange_Rate]]&lt;5,"Strong Currency", IF(Table1[[#This Row],[Exchange_Rate]]&lt;=1000, "Medium Currency","Weak Currency"))</f>
        <v>Strong Currency</v>
      </c>
      <c r="O801" s="11">
        <f>(Table1[[#This Row],[Living_Cost_Index]]/123.3)*1850</f>
        <v>607.66423357664235</v>
      </c>
      <c r="P801" s="11">
        <f>Table1[[#This Row],[Monthly_Estimated_Living_cost]]*12</f>
        <v>7291.9708029197081</v>
      </c>
      <c r="Q801" s="13">
        <f>Table1[[#This Row],[Tuition_USD]]+Table1[[#This Row],[Rent_USD]]+Table1[[#This Row],[Insurance_USD]]+Table1[[#This Row],[Visa_Fee_USD]]+Table1[[#This Row],[Annual_Estimated_Living_cost]]</f>
        <v>14471.970802919708</v>
      </c>
    </row>
    <row r="802" spans="1:17" x14ac:dyDescent="0.25">
      <c r="A802" s="2" t="s">
        <v>1140</v>
      </c>
      <c r="B802" s="1" t="s">
        <v>1210</v>
      </c>
      <c r="C802" s="1" t="s">
        <v>1211</v>
      </c>
      <c r="D802" s="1" t="s">
        <v>15</v>
      </c>
      <c r="E802" s="1" t="s">
        <v>75</v>
      </c>
      <c r="F802" s="1">
        <v>4</v>
      </c>
      <c r="G802" s="1" t="str">
        <f>CONCATENATE(Table1[[#This Row],[Duration_Years]]," ","years")</f>
        <v>4 years</v>
      </c>
      <c r="H802" s="11">
        <v>15000</v>
      </c>
      <c r="I802" s="1">
        <v>51.8</v>
      </c>
      <c r="J802" s="11">
        <v>420</v>
      </c>
      <c r="K802" s="11">
        <v>150</v>
      </c>
      <c r="L802" s="11">
        <v>500</v>
      </c>
      <c r="M802" s="22">
        <v>15000</v>
      </c>
      <c r="N802" s="3" t="str">
        <f>IF(Table1[[#This Row],[Exchange_Rate]]&lt;5,"Strong Currency", IF(Table1[[#This Row],[Exchange_Rate]]&lt;=1000, "Medium Currency","Weak Currency"))</f>
        <v>Weak Currency</v>
      </c>
      <c r="O802" s="11">
        <f>(Table1[[#This Row],[Living_Cost_Index]]/123.3)*1850</f>
        <v>777.21005677210053</v>
      </c>
      <c r="P802" s="11">
        <f>Table1[[#This Row],[Monthly_Estimated_Living_cost]]*12</f>
        <v>9326.5206812652068</v>
      </c>
      <c r="Q802" s="13">
        <f>Table1[[#This Row],[Tuition_USD]]+Table1[[#This Row],[Rent_USD]]+Table1[[#This Row],[Insurance_USD]]+Table1[[#This Row],[Visa_Fee_USD]]+Table1[[#This Row],[Annual_Estimated_Living_cost]]</f>
        <v>25396.520681265207</v>
      </c>
    </row>
    <row r="803" spans="1:17" x14ac:dyDescent="0.25">
      <c r="A803" s="2" t="s">
        <v>1143</v>
      </c>
      <c r="B803" s="1" t="s">
        <v>1212</v>
      </c>
      <c r="C803" s="1" t="s">
        <v>1213</v>
      </c>
      <c r="D803" s="1" t="s">
        <v>251</v>
      </c>
      <c r="E803" s="1" t="s">
        <v>16</v>
      </c>
      <c r="F803" s="1">
        <v>2</v>
      </c>
      <c r="G803" s="1" t="str">
        <f>CONCATENATE(Table1[[#This Row],[Duration_Years]]," ","years")</f>
        <v>2 years</v>
      </c>
      <c r="H803" s="11">
        <v>7500</v>
      </c>
      <c r="I803" s="1">
        <v>61.5</v>
      </c>
      <c r="J803" s="11">
        <v>580</v>
      </c>
      <c r="K803" s="11">
        <v>130</v>
      </c>
      <c r="L803" s="11">
        <v>600</v>
      </c>
      <c r="M803" s="22">
        <v>0.38</v>
      </c>
      <c r="N803" s="3" t="str">
        <f>IF(Table1[[#This Row],[Exchange_Rate]]&lt;5,"Strong Currency", IF(Table1[[#This Row],[Exchange_Rate]]&lt;=1000, "Medium Currency","Weak Currency"))</f>
        <v>Strong Currency</v>
      </c>
      <c r="O803" s="11">
        <f>(Table1[[#This Row],[Living_Cost_Index]]/123.3)*1850</f>
        <v>922.74939172749396</v>
      </c>
      <c r="P803" s="11">
        <f>Table1[[#This Row],[Monthly_Estimated_Living_cost]]*12</f>
        <v>11072.992700729927</v>
      </c>
      <c r="Q803" s="13">
        <f>Table1[[#This Row],[Tuition_USD]]+Table1[[#This Row],[Rent_USD]]+Table1[[#This Row],[Insurance_USD]]+Table1[[#This Row],[Visa_Fee_USD]]+Table1[[#This Row],[Annual_Estimated_Living_cost]]</f>
        <v>19882.992700729927</v>
      </c>
    </row>
    <row r="804" spans="1:17" x14ac:dyDescent="0.25">
      <c r="A804" s="2" t="s">
        <v>1146</v>
      </c>
      <c r="B804" s="1" t="s">
        <v>1214</v>
      </c>
      <c r="C804" s="1" t="s">
        <v>1215</v>
      </c>
      <c r="D804" s="1" t="s">
        <v>207</v>
      </c>
      <c r="E804" s="1" t="s">
        <v>16</v>
      </c>
      <c r="F804" s="1">
        <v>2</v>
      </c>
      <c r="G804" s="1" t="str">
        <f>CONCATENATE(Table1[[#This Row],[Duration_Years]]," ","years")</f>
        <v>2 years</v>
      </c>
      <c r="H804" s="11">
        <v>0</v>
      </c>
      <c r="I804" s="1">
        <v>46.5</v>
      </c>
      <c r="J804" s="11">
        <v>330</v>
      </c>
      <c r="K804" s="11">
        <v>90</v>
      </c>
      <c r="L804" s="11">
        <v>350</v>
      </c>
      <c r="M804" s="22">
        <v>39.5</v>
      </c>
      <c r="N804" s="3" t="str">
        <f>IF(Table1[[#This Row],[Exchange_Rate]]&lt;5,"Strong Currency", IF(Table1[[#This Row],[Exchange_Rate]]&lt;=1000, "Medium Currency","Weak Currency"))</f>
        <v>Medium Currency</v>
      </c>
      <c r="O804" s="11">
        <f>(Table1[[#This Row],[Living_Cost_Index]]/123.3)*1850</f>
        <v>697.68856447688563</v>
      </c>
      <c r="P804" s="11">
        <f>Table1[[#This Row],[Monthly_Estimated_Living_cost]]*12</f>
        <v>8372.2627737226285</v>
      </c>
      <c r="Q804" s="13">
        <f>Table1[[#This Row],[Tuition_USD]]+Table1[[#This Row],[Rent_USD]]+Table1[[#This Row],[Insurance_USD]]+Table1[[#This Row],[Visa_Fee_USD]]+Table1[[#This Row],[Annual_Estimated_Living_cost]]</f>
        <v>9142.2627737226285</v>
      </c>
    </row>
    <row r="805" spans="1:17" x14ac:dyDescent="0.25">
      <c r="A805" s="2" t="s">
        <v>1149</v>
      </c>
      <c r="B805" s="1" t="s">
        <v>1216</v>
      </c>
      <c r="C805" s="1" t="s">
        <v>1217</v>
      </c>
      <c r="D805" s="1" t="s">
        <v>40</v>
      </c>
      <c r="E805" s="1" t="s">
        <v>1353</v>
      </c>
      <c r="F805" s="1">
        <v>4</v>
      </c>
      <c r="G805" s="1" t="str">
        <f>CONCATENATE(Table1[[#This Row],[Duration_Years]]," ","years")</f>
        <v>4 years</v>
      </c>
      <c r="H805" s="11">
        <v>3300</v>
      </c>
      <c r="I805" s="1">
        <v>42.8</v>
      </c>
      <c r="J805" s="11">
        <v>300</v>
      </c>
      <c r="K805" s="11">
        <v>110</v>
      </c>
      <c r="L805" s="11">
        <v>300</v>
      </c>
      <c r="M805" s="22">
        <v>1.85</v>
      </c>
      <c r="N805" s="3" t="str">
        <f>IF(Table1[[#This Row],[Exchange_Rate]]&lt;5,"Strong Currency", IF(Table1[[#This Row],[Exchange_Rate]]&lt;=1000, "Medium Currency","Weak Currency"))</f>
        <v>Strong Currency</v>
      </c>
      <c r="O805" s="11">
        <f>(Table1[[#This Row],[Living_Cost_Index]]/123.3)*1850</f>
        <v>642.1735604217356</v>
      </c>
      <c r="P805" s="11">
        <f>Table1[[#This Row],[Monthly_Estimated_Living_cost]]*12</f>
        <v>7706.0827250608272</v>
      </c>
      <c r="Q805" s="13">
        <f>Table1[[#This Row],[Tuition_USD]]+Table1[[#This Row],[Rent_USD]]+Table1[[#This Row],[Insurance_USD]]+Table1[[#This Row],[Visa_Fee_USD]]+Table1[[#This Row],[Annual_Estimated_Living_cost]]</f>
        <v>11716.082725060827</v>
      </c>
    </row>
    <row r="806" spans="1:17" x14ac:dyDescent="0.25">
      <c r="A806" s="2" t="s">
        <v>1152</v>
      </c>
      <c r="B806" s="1" t="s">
        <v>1218</v>
      </c>
      <c r="C806" s="1" t="s">
        <v>1219</v>
      </c>
      <c r="D806" s="1" t="s">
        <v>20</v>
      </c>
      <c r="E806" s="1" t="s">
        <v>16</v>
      </c>
      <c r="F806" s="1">
        <v>2</v>
      </c>
      <c r="G806" s="1" t="str">
        <f>CONCATENATE(Table1[[#This Row],[Duration_Years]]," ","years")</f>
        <v>2 years</v>
      </c>
      <c r="H806" s="11">
        <v>3500</v>
      </c>
      <c r="I806" s="1">
        <v>35.4</v>
      </c>
      <c r="J806" s="11">
        <v>180</v>
      </c>
      <c r="K806" s="11">
        <v>120</v>
      </c>
      <c r="L806" s="11">
        <v>250</v>
      </c>
      <c r="M806" s="22">
        <v>12</v>
      </c>
      <c r="N806" s="3" t="str">
        <f>IF(Table1[[#This Row],[Exchange_Rate]]&lt;5,"Strong Currency", IF(Table1[[#This Row],[Exchange_Rate]]&lt;=1000, "Medium Currency","Weak Currency"))</f>
        <v>Medium Currency</v>
      </c>
      <c r="O806" s="11">
        <f>(Table1[[#This Row],[Living_Cost_Index]]/123.3)*1850</f>
        <v>531.14355231143554</v>
      </c>
      <c r="P806" s="11">
        <f>Table1[[#This Row],[Monthly_Estimated_Living_cost]]*12</f>
        <v>6373.7226277372265</v>
      </c>
      <c r="Q806" s="13">
        <f>Table1[[#This Row],[Tuition_USD]]+Table1[[#This Row],[Rent_USD]]+Table1[[#This Row],[Insurance_USD]]+Table1[[#This Row],[Visa_Fee_USD]]+Table1[[#This Row],[Annual_Estimated_Living_cost]]</f>
        <v>10423.722627737227</v>
      </c>
    </row>
    <row r="807" spans="1:17" x14ac:dyDescent="0.25">
      <c r="A807" s="2" t="s">
        <v>1155</v>
      </c>
      <c r="B807" s="1" t="s">
        <v>1220</v>
      </c>
      <c r="C807" s="1" t="s">
        <v>1221</v>
      </c>
      <c r="D807" s="1" t="s">
        <v>215</v>
      </c>
      <c r="E807" s="1" t="s">
        <v>75</v>
      </c>
      <c r="F807" s="1">
        <v>3</v>
      </c>
      <c r="G807" s="1" t="str">
        <f>CONCATENATE(Table1[[#This Row],[Duration_Years]]," ","years")</f>
        <v>3 years</v>
      </c>
      <c r="H807" s="11">
        <v>900</v>
      </c>
      <c r="I807" s="1">
        <v>33.200000000000003</v>
      </c>
      <c r="J807" s="11">
        <v>160</v>
      </c>
      <c r="K807" s="11">
        <v>80</v>
      </c>
      <c r="L807" s="11">
        <v>200</v>
      </c>
      <c r="M807" s="22">
        <v>137.5</v>
      </c>
      <c r="N807" s="3" t="str">
        <f>IF(Table1[[#This Row],[Exchange_Rate]]&lt;5,"Strong Currency", IF(Table1[[#This Row],[Exchange_Rate]]&lt;=1000, "Medium Currency","Weak Currency"))</f>
        <v>Medium Currency</v>
      </c>
      <c r="O807" s="11">
        <f>(Table1[[#This Row],[Living_Cost_Index]]/123.3)*1850</f>
        <v>498.13463098134633</v>
      </c>
      <c r="P807" s="11">
        <f>Table1[[#This Row],[Monthly_Estimated_Living_cost]]*12</f>
        <v>5977.6155717761558</v>
      </c>
      <c r="Q807" s="13">
        <f>Table1[[#This Row],[Tuition_USD]]+Table1[[#This Row],[Rent_USD]]+Table1[[#This Row],[Insurance_USD]]+Table1[[#This Row],[Visa_Fee_USD]]+Table1[[#This Row],[Annual_Estimated_Living_cost]]</f>
        <v>7317.6155717761558</v>
      </c>
    </row>
    <row r="808" spans="1:17" x14ac:dyDescent="0.25">
      <c r="A808" s="2" t="s">
        <v>1158</v>
      </c>
      <c r="B808" s="1" t="s">
        <v>1222</v>
      </c>
      <c r="C808" s="1" t="s">
        <v>1223</v>
      </c>
      <c r="D808" s="1" t="s">
        <v>15</v>
      </c>
      <c r="E808" s="1" t="s">
        <v>16</v>
      </c>
      <c r="F808" s="1">
        <v>2</v>
      </c>
      <c r="G808" s="1" t="str">
        <f>CONCATENATE(Table1[[#This Row],[Duration_Years]]," ","years")</f>
        <v>2 years</v>
      </c>
      <c r="H808" s="11">
        <v>6000</v>
      </c>
      <c r="I808" s="1">
        <v>43.5</v>
      </c>
      <c r="J808" s="11">
        <v>350</v>
      </c>
      <c r="K808" s="11">
        <v>100</v>
      </c>
      <c r="L808" s="11">
        <v>400</v>
      </c>
      <c r="M808" s="22">
        <v>1</v>
      </c>
      <c r="N808" s="3" t="str">
        <f>IF(Table1[[#This Row],[Exchange_Rate]]&lt;5,"Strong Currency", IF(Table1[[#This Row],[Exchange_Rate]]&lt;=1000, "Medium Currency","Weak Currency"))</f>
        <v>Strong Currency</v>
      </c>
      <c r="O808" s="11">
        <f>(Table1[[#This Row],[Living_Cost_Index]]/123.3)*1850</f>
        <v>652.67639902676399</v>
      </c>
      <c r="P808" s="11">
        <f>Table1[[#This Row],[Monthly_Estimated_Living_cost]]*12</f>
        <v>7832.1167883211674</v>
      </c>
      <c r="Q808" s="13">
        <f>Table1[[#This Row],[Tuition_USD]]+Table1[[#This Row],[Rent_USD]]+Table1[[#This Row],[Insurance_USD]]+Table1[[#This Row],[Visa_Fee_USD]]+Table1[[#This Row],[Annual_Estimated_Living_cost]]</f>
        <v>14682.116788321167</v>
      </c>
    </row>
    <row r="809" spans="1:17" x14ac:dyDescent="0.25">
      <c r="A809" s="2" t="s">
        <v>1224</v>
      </c>
      <c r="B809" s="1" t="s">
        <v>1225</v>
      </c>
      <c r="C809" s="1" t="s">
        <v>1226</v>
      </c>
      <c r="D809" s="1" t="s">
        <v>15</v>
      </c>
      <c r="E809" s="1" t="s">
        <v>16</v>
      </c>
      <c r="F809" s="1">
        <v>2</v>
      </c>
      <c r="G809" s="1" t="str">
        <f>CONCATENATE(Table1[[#This Row],[Duration_Years]]," ","years")</f>
        <v>2 years</v>
      </c>
      <c r="H809" s="11">
        <v>2500</v>
      </c>
      <c r="I809" s="1">
        <v>42.5</v>
      </c>
      <c r="J809" s="11">
        <v>250</v>
      </c>
      <c r="K809" s="11">
        <v>100</v>
      </c>
      <c r="L809" s="11">
        <v>200</v>
      </c>
      <c r="M809" s="22">
        <v>109.5</v>
      </c>
      <c r="N809" s="3" t="str">
        <f>IF(Table1[[#This Row],[Exchange_Rate]]&lt;5,"Strong Currency", IF(Table1[[#This Row],[Exchange_Rate]]&lt;=1000, "Medium Currency","Weak Currency"))</f>
        <v>Medium Currency</v>
      </c>
      <c r="O809" s="11">
        <f>(Table1[[#This Row],[Living_Cost_Index]]/123.3)*1850</f>
        <v>637.6723438767234</v>
      </c>
      <c r="P809" s="11">
        <f>Table1[[#This Row],[Monthly_Estimated_Living_cost]]*12</f>
        <v>7652.0681265206804</v>
      </c>
      <c r="Q809" s="13">
        <f>Table1[[#This Row],[Tuition_USD]]+Table1[[#This Row],[Rent_USD]]+Table1[[#This Row],[Insurance_USD]]+Table1[[#This Row],[Visa_Fee_USD]]+Table1[[#This Row],[Annual_Estimated_Living_cost]]</f>
        <v>10702.06812652068</v>
      </c>
    </row>
    <row r="810" spans="1:17" x14ac:dyDescent="0.25">
      <c r="A810" s="2" t="s">
        <v>1227</v>
      </c>
      <c r="B810" s="1" t="s">
        <v>1228</v>
      </c>
      <c r="C810" s="1" t="s">
        <v>1229</v>
      </c>
      <c r="D810" s="1" t="s">
        <v>20</v>
      </c>
      <c r="E810" s="1" t="s">
        <v>16</v>
      </c>
      <c r="F810" s="1">
        <v>2</v>
      </c>
      <c r="G810" s="1" t="str">
        <f>CONCATENATE(Table1[[#This Row],[Duration_Years]]," ","years")</f>
        <v>2 years</v>
      </c>
      <c r="H810" s="11">
        <v>3500</v>
      </c>
      <c r="I810" s="1">
        <v>71.2</v>
      </c>
      <c r="J810" s="11">
        <v>800</v>
      </c>
      <c r="K810" s="11">
        <v>140</v>
      </c>
      <c r="L810" s="11">
        <v>700</v>
      </c>
      <c r="M810" s="22">
        <v>0.31</v>
      </c>
      <c r="N810" s="3" t="str">
        <f>IF(Table1[[#This Row],[Exchange_Rate]]&lt;5,"Strong Currency", IF(Table1[[#This Row],[Exchange_Rate]]&lt;=1000, "Medium Currency","Weak Currency"))</f>
        <v>Strong Currency</v>
      </c>
      <c r="O810" s="11">
        <f>(Table1[[#This Row],[Living_Cost_Index]]/123.3)*1850</f>
        <v>1068.2887266828873</v>
      </c>
      <c r="P810" s="11">
        <f>Table1[[#This Row],[Monthly_Estimated_Living_cost]]*12</f>
        <v>12819.464720194646</v>
      </c>
      <c r="Q810" s="13">
        <f>Table1[[#This Row],[Tuition_USD]]+Table1[[#This Row],[Rent_USD]]+Table1[[#This Row],[Insurance_USD]]+Table1[[#This Row],[Visa_Fee_USD]]+Table1[[#This Row],[Annual_Estimated_Living_cost]]</f>
        <v>17959.464720194646</v>
      </c>
    </row>
    <row r="811" spans="1:17" x14ac:dyDescent="0.25">
      <c r="A811" s="2" t="s">
        <v>1230</v>
      </c>
      <c r="B811" s="1" t="s">
        <v>1231</v>
      </c>
      <c r="C811" s="1" t="s">
        <v>1232</v>
      </c>
      <c r="D811" s="1" t="s">
        <v>207</v>
      </c>
      <c r="E811" s="1" t="s">
        <v>75</v>
      </c>
      <c r="F811" s="1">
        <v>4</v>
      </c>
      <c r="G811" s="1" t="str">
        <f>CONCATENATE(Table1[[#This Row],[Duration_Years]]," ","years")</f>
        <v>4 years</v>
      </c>
      <c r="H811" s="11">
        <v>3800</v>
      </c>
      <c r="I811" s="1">
        <v>45.8</v>
      </c>
      <c r="J811" s="11">
        <v>400</v>
      </c>
      <c r="K811" s="11">
        <v>120</v>
      </c>
      <c r="L811" s="11">
        <v>300</v>
      </c>
      <c r="M811" s="22">
        <v>36.799999999999997</v>
      </c>
      <c r="N811" s="3" t="str">
        <f>IF(Table1[[#This Row],[Exchange_Rate]]&lt;5,"Strong Currency", IF(Table1[[#This Row],[Exchange_Rate]]&lt;=1000, "Medium Currency","Weak Currency"))</f>
        <v>Medium Currency</v>
      </c>
      <c r="O811" s="11">
        <f>(Table1[[#This Row],[Living_Cost_Index]]/123.3)*1850</f>
        <v>687.18572587185724</v>
      </c>
      <c r="P811" s="11">
        <f>Table1[[#This Row],[Monthly_Estimated_Living_cost]]*12</f>
        <v>8246.2287104622865</v>
      </c>
      <c r="Q811" s="13">
        <f>Table1[[#This Row],[Tuition_USD]]+Table1[[#This Row],[Rent_USD]]+Table1[[#This Row],[Insurance_USD]]+Table1[[#This Row],[Visa_Fee_USD]]+Table1[[#This Row],[Annual_Estimated_Living_cost]]</f>
        <v>12866.228710462286</v>
      </c>
    </row>
    <row r="812" spans="1:17" x14ac:dyDescent="0.25">
      <c r="A812" s="2" t="s">
        <v>1233</v>
      </c>
      <c r="B812" s="1" t="s">
        <v>1234</v>
      </c>
      <c r="C812" s="1" t="s">
        <v>1235</v>
      </c>
      <c r="D812" s="1" t="s">
        <v>63</v>
      </c>
      <c r="E812" s="1" t="s">
        <v>1353</v>
      </c>
      <c r="F812" s="1">
        <v>4</v>
      </c>
      <c r="G812" s="1" t="str">
        <f>CONCATENATE(Table1[[#This Row],[Duration_Years]]," ","years")</f>
        <v>4 years</v>
      </c>
      <c r="H812" s="11">
        <v>4500</v>
      </c>
      <c r="I812" s="1">
        <v>62.4</v>
      </c>
      <c r="J812" s="11">
        <v>500</v>
      </c>
      <c r="K812" s="11">
        <v>80</v>
      </c>
      <c r="L812" s="11">
        <v>450</v>
      </c>
      <c r="M812" s="22">
        <v>0.92</v>
      </c>
      <c r="N812" s="3" t="str">
        <f>IF(Table1[[#This Row],[Exchange_Rate]]&lt;5,"Strong Currency", IF(Table1[[#This Row],[Exchange_Rate]]&lt;=1000, "Medium Currency","Weak Currency"))</f>
        <v>Strong Currency</v>
      </c>
      <c r="O812" s="11">
        <f>(Table1[[#This Row],[Living_Cost_Index]]/123.3)*1850</f>
        <v>936.25304136253055</v>
      </c>
      <c r="P812" s="11">
        <f>Table1[[#This Row],[Monthly_Estimated_Living_cost]]*12</f>
        <v>11235.036496350367</v>
      </c>
      <c r="Q812" s="13">
        <f>Table1[[#This Row],[Tuition_USD]]+Table1[[#This Row],[Rent_USD]]+Table1[[#This Row],[Insurance_USD]]+Table1[[#This Row],[Visa_Fee_USD]]+Table1[[#This Row],[Annual_Estimated_Living_cost]]</f>
        <v>16765.036496350367</v>
      </c>
    </row>
    <row r="813" spans="1:17" x14ac:dyDescent="0.25">
      <c r="A813" s="2" t="s">
        <v>1236</v>
      </c>
      <c r="B813" s="1" t="s">
        <v>1237</v>
      </c>
      <c r="C813" s="1" t="s">
        <v>1238</v>
      </c>
      <c r="D813" s="1" t="s">
        <v>215</v>
      </c>
      <c r="E813" s="1" t="s">
        <v>16</v>
      </c>
      <c r="F813" s="1">
        <v>2</v>
      </c>
      <c r="G813" s="1" t="str">
        <f>CONCATENATE(Table1[[#This Row],[Duration_Years]]," ","years")</f>
        <v>2 years</v>
      </c>
      <c r="H813" s="11">
        <v>2800</v>
      </c>
      <c r="I813" s="1">
        <v>48.5</v>
      </c>
      <c r="J813" s="11">
        <v>350</v>
      </c>
      <c r="K813" s="11">
        <v>90</v>
      </c>
      <c r="L813" s="11">
        <v>320</v>
      </c>
      <c r="M813" s="22">
        <v>108.5</v>
      </c>
      <c r="N813" s="3" t="str">
        <f>IF(Table1[[#This Row],[Exchange_Rate]]&lt;5,"Strong Currency", IF(Table1[[#This Row],[Exchange_Rate]]&lt;=1000, "Medium Currency","Weak Currency"))</f>
        <v>Medium Currency</v>
      </c>
      <c r="O813" s="11">
        <f>(Table1[[#This Row],[Living_Cost_Index]]/123.3)*1850</f>
        <v>727.69667477696669</v>
      </c>
      <c r="P813" s="11">
        <f>Table1[[#This Row],[Monthly_Estimated_Living_cost]]*12</f>
        <v>8732.3600973236007</v>
      </c>
      <c r="Q813" s="13">
        <f>Table1[[#This Row],[Tuition_USD]]+Table1[[#This Row],[Rent_USD]]+Table1[[#This Row],[Insurance_USD]]+Table1[[#This Row],[Visa_Fee_USD]]+Table1[[#This Row],[Annual_Estimated_Living_cost]]</f>
        <v>12292.360097323601</v>
      </c>
    </row>
    <row r="814" spans="1:17" x14ac:dyDescent="0.25">
      <c r="A814" s="2" t="s">
        <v>1239</v>
      </c>
      <c r="B814" s="1" t="s">
        <v>1240</v>
      </c>
      <c r="C814" s="1" t="s">
        <v>1241</v>
      </c>
      <c r="D814" s="1" t="s">
        <v>71</v>
      </c>
      <c r="E814" s="1" t="s">
        <v>16</v>
      </c>
      <c r="F814" s="1">
        <v>2</v>
      </c>
      <c r="G814" s="1" t="str">
        <f>CONCATENATE(Table1[[#This Row],[Duration_Years]]," ","years")</f>
        <v>2 years</v>
      </c>
      <c r="H814" s="11">
        <v>3000</v>
      </c>
      <c r="I814" s="1">
        <v>51.2</v>
      </c>
      <c r="J814" s="11">
        <v>400</v>
      </c>
      <c r="K814" s="11">
        <v>150</v>
      </c>
      <c r="L814" s="11">
        <v>280</v>
      </c>
      <c r="M814" s="22">
        <v>42150</v>
      </c>
      <c r="N814" s="3" t="str">
        <f>IF(Table1[[#This Row],[Exchange_Rate]]&lt;5,"Strong Currency", IF(Table1[[#This Row],[Exchange_Rate]]&lt;=1000, "Medium Currency","Weak Currency"))</f>
        <v>Weak Currency</v>
      </c>
      <c r="O814" s="11">
        <f>(Table1[[#This Row],[Living_Cost_Index]]/123.3)*1850</f>
        <v>768.20762368207625</v>
      </c>
      <c r="P814" s="11">
        <f>Table1[[#This Row],[Monthly_Estimated_Living_cost]]*12</f>
        <v>9218.491484184915</v>
      </c>
      <c r="Q814" s="13">
        <f>Table1[[#This Row],[Tuition_USD]]+Table1[[#This Row],[Rent_USD]]+Table1[[#This Row],[Insurance_USD]]+Table1[[#This Row],[Visa_Fee_USD]]+Table1[[#This Row],[Annual_Estimated_Living_cost]]</f>
        <v>13048.491484184915</v>
      </c>
    </row>
    <row r="815" spans="1:17" x14ac:dyDescent="0.25">
      <c r="A815" s="2" t="s">
        <v>1242</v>
      </c>
      <c r="B815" s="1" t="s">
        <v>1243</v>
      </c>
      <c r="C815" s="1" t="s">
        <v>1244</v>
      </c>
      <c r="D815" s="1" t="s">
        <v>15</v>
      </c>
      <c r="E815" s="1" t="s">
        <v>75</v>
      </c>
      <c r="F815" s="1">
        <v>4</v>
      </c>
      <c r="G815" s="1" t="str">
        <f>CONCATENATE(Table1[[#This Row],[Duration_Years]]," ","years")</f>
        <v>4 years</v>
      </c>
      <c r="H815" s="11">
        <v>4200</v>
      </c>
      <c r="I815" s="1">
        <v>44.5</v>
      </c>
      <c r="J815" s="11">
        <v>300</v>
      </c>
      <c r="K815" s="11">
        <v>160</v>
      </c>
      <c r="L815" s="11">
        <v>250</v>
      </c>
      <c r="M815" s="22">
        <v>12300</v>
      </c>
      <c r="N815" s="3" t="str">
        <f>IF(Table1[[#This Row],[Exchange_Rate]]&lt;5,"Strong Currency", IF(Table1[[#This Row],[Exchange_Rate]]&lt;=1000, "Medium Currency","Weak Currency"))</f>
        <v>Weak Currency</v>
      </c>
      <c r="O815" s="11">
        <f>(Table1[[#This Row],[Living_Cost_Index]]/123.3)*1850</f>
        <v>667.68045417680446</v>
      </c>
      <c r="P815" s="11">
        <f>Table1[[#This Row],[Monthly_Estimated_Living_cost]]*12</f>
        <v>8012.1654501216535</v>
      </c>
      <c r="Q815" s="13">
        <f>Table1[[#This Row],[Tuition_USD]]+Table1[[#This Row],[Rent_USD]]+Table1[[#This Row],[Insurance_USD]]+Table1[[#This Row],[Visa_Fee_USD]]+Table1[[#This Row],[Annual_Estimated_Living_cost]]</f>
        <v>12922.165450121654</v>
      </c>
    </row>
    <row r="816" spans="1:17" x14ac:dyDescent="0.25">
      <c r="A816" s="2" t="s">
        <v>1245</v>
      </c>
      <c r="B816" s="1" t="s">
        <v>1246</v>
      </c>
      <c r="C816" s="1" t="s">
        <v>1247</v>
      </c>
      <c r="D816" s="1" t="s">
        <v>241</v>
      </c>
      <c r="E816" s="1" t="s">
        <v>16</v>
      </c>
      <c r="F816" s="1">
        <v>2</v>
      </c>
      <c r="G816" s="1" t="str">
        <f>CONCATENATE(Table1[[#This Row],[Duration_Years]]," ","years")</f>
        <v>2 years</v>
      </c>
      <c r="H816" s="11">
        <v>5500</v>
      </c>
      <c r="I816" s="1">
        <v>46.8</v>
      </c>
      <c r="J816" s="11">
        <v>400</v>
      </c>
      <c r="K816" s="11">
        <v>110</v>
      </c>
      <c r="L816" s="11">
        <v>300</v>
      </c>
      <c r="M816" s="22">
        <v>1</v>
      </c>
      <c r="N816" s="3" t="str">
        <f>IF(Table1[[#This Row],[Exchange_Rate]]&lt;5,"Strong Currency", IF(Table1[[#This Row],[Exchange_Rate]]&lt;=1000, "Medium Currency","Weak Currency"))</f>
        <v>Strong Currency</v>
      </c>
      <c r="O816" s="11">
        <f>(Table1[[#This Row],[Living_Cost_Index]]/123.3)*1850</f>
        <v>702.18978102189783</v>
      </c>
      <c r="P816" s="11">
        <f>Table1[[#This Row],[Monthly_Estimated_Living_cost]]*12</f>
        <v>8426.2773722627735</v>
      </c>
      <c r="Q816" s="13">
        <f>Table1[[#This Row],[Tuition_USD]]+Table1[[#This Row],[Rent_USD]]+Table1[[#This Row],[Insurance_USD]]+Table1[[#This Row],[Visa_Fee_USD]]+Table1[[#This Row],[Annual_Estimated_Living_cost]]</f>
        <v>14736.277372262773</v>
      </c>
    </row>
    <row r="817" spans="1:17" x14ac:dyDescent="0.25">
      <c r="A817" s="2" t="s">
        <v>1224</v>
      </c>
      <c r="B817" s="1" t="s">
        <v>1248</v>
      </c>
      <c r="C817" s="1" t="s">
        <v>1249</v>
      </c>
      <c r="D817" s="1" t="s">
        <v>40</v>
      </c>
      <c r="E817" s="1" t="s">
        <v>1353</v>
      </c>
      <c r="F817" s="1">
        <v>4</v>
      </c>
      <c r="G817" s="1" t="str">
        <f>CONCATENATE(Table1[[#This Row],[Duration_Years]]," ","years")</f>
        <v>4 years</v>
      </c>
      <c r="H817" s="11">
        <v>2200</v>
      </c>
      <c r="I817" s="1">
        <v>39.799999999999997</v>
      </c>
      <c r="J817" s="11">
        <v>200</v>
      </c>
      <c r="K817" s="11">
        <v>100</v>
      </c>
      <c r="L817" s="11">
        <v>200</v>
      </c>
      <c r="M817" s="22">
        <v>109.5</v>
      </c>
      <c r="N817" s="3" t="str">
        <f>IF(Table1[[#This Row],[Exchange_Rate]]&lt;5,"Strong Currency", IF(Table1[[#This Row],[Exchange_Rate]]&lt;=1000, "Medium Currency","Weak Currency"))</f>
        <v>Medium Currency</v>
      </c>
      <c r="O817" s="11">
        <f>(Table1[[#This Row],[Living_Cost_Index]]/123.3)*1850</f>
        <v>597.16139497161384</v>
      </c>
      <c r="P817" s="11">
        <f>Table1[[#This Row],[Monthly_Estimated_Living_cost]]*12</f>
        <v>7165.9367396593661</v>
      </c>
      <c r="Q817" s="13">
        <f>Table1[[#This Row],[Tuition_USD]]+Table1[[#This Row],[Rent_USD]]+Table1[[#This Row],[Insurance_USD]]+Table1[[#This Row],[Visa_Fee_USD]]+Table1[[#This Row],[Annual_Estimated_Living_cost]]</f>
        <v>9865.9367396593661</v>
      </c>
    </row>
    <row r="818" spans="1:17" x14ac:dyDescent="0.25">
      <c r="A818" s="2" t="s">
        <v>1227</v>
      </c>
      <c r="B818" s="1" t="s">
        <v>1250</v>
      </c>
      <c r="C818" s="1" t="s">
        <v>1251</v>
      </c>
      <c r="D818" s="1" t="s">
        <v>251</v>
      </c>
      <c r="E818" s="1" t="s">
        <v>16</v>
      </c>
      <c r="F818" s="1">
        <v>2</v>
      </c>
      <c r="G818" s="1" t="str">
        <f>CONCATENATE(Table1[[#This Row],[Duration_Years]]," ","years")</f>
        <v>2 years</v>
      </c>
      <c r="H818" s="11">
        <v>15000</v>
      </c>
      <c r="I818" s="1">
        <v>68.5</v>
      </c>
      <c r="J818" s="11">
        <v>750</v>
      </c>
      <c r="K818" s="11">
        <v>140</v>
      </c>
      <c r="L818" s="11">
        <v>700</v>
      </c>
      <c r="M818" s="22">
        <v>0.31</v>
      </c>
      <c r="N818" s="3" t="str">
        <f>IF(Table1[[#This Row],[Exchange_Rate]]&lt;5,"Strong Currency", IF(Table1[[#This Row],[Exchange_Rate]]&lt;=1000, "Medium Currency","Weak Currency"))</f>
        <v>Strong Currency</v>
      </c>
      <c r="O818" s="11">
        <f>(Table1[[#This Row],[Living_Cost_Index]]/123.3)*1850</f>
        <v>1027.7777777777778</v>
      </c>
      <c r="P818" s="11">
        <f>Table1[[#This Row],[Monthly_Estimated_Living_cost]]*12</f>
        <v>12333.333333333334</v>
      </c>
      <c r="Q818" s="13">
        <f>Table1[[#This Row],[Tuition_USD]]+Table1[[#This Row],[Rent_USD]]+Table1[[#This Row],[Insurance_USD]]+Table1[[#This Row],[Visa_Fee_USD]]+Table1[[#This Row],[Annual_Estimated_Living_cost]]</f>
        <v>28923.333333333336</v>
      </c>
    </row>
    <row r="819" spans="1:17" x14ac:dyDescent="0.25">
      <c r="A819" s="2" t="s">
        <v>1230</v>
      </c>
      <c r="B819" s="1" t="s">
        <v>1252</v>
      </c>
      <c r="C819" s="1" t="s">
        <v>1253</v>
      </c>
      <c r="D819" s="1" t="s">
        <v>15</v>
      </c>
      <c r="E819" s="1" t="s">
        <v>16</v>
      </c>
      <c r="F819" s="1">
        <v>2</v>
      </c>
      <c r="G819" s="1" t="str">
        <f>CONCATENATE(Table1[[#This Row],[Duration_Years]]," ","years")</f>
        <v>2 years</v>
      </c>
      <c r="H819" s="11">
        <v>3500</v>
      </c>
      <c r="I819" s="1">
        <v>43.2</v>
      </c>
      <c r="J819" s="11">
        <v>350</v>
      </c>
      <c r="K819" s="11">
        <v>120</v>
      </c>
      <c r="L819" s="11">
        <v>300</v>
      </c>
      <c r="M819" s="22">
        <v>36.799999999999997</v>
      </c>
      <c r="N819" s="3" t="str">
        <f>IF(Table1[[#This Row],[Exchange_Rate]]&lt;5,"Strong Currency", IF(Table1[[#This Row],[Exchange_Rate]]&lt;=1000, "Medium Currency","Weak Currency"))</f>
        <v>Medium Currency</v>
      </c>
      <c r="O819" s="11">
        <f>(Table1[[#This Row],[Living_Cost_Index]]/123.3)*1850</f>
        <v>648.1751824817519</v>
      </c>
      <c r="P819" s="11">
        <f>Table1[[#This Row],[Monthly_Estimated_Living_cost]]*12</f>
        <v>7778.1021897810224</v>
      </c>
      <c r="Q819" s="13">
        <f>Table1[[#This Row],[Tuition_USD]]+Table1[[#This Row],[Rent_USD]]+Table1[[#This Row],[Insurance_USD]]+Table1[[#This Row],[Visa_Fee_USD]]+Table1[[#This Row],[Annual_Estimated_Living_cost]]</f>
        <v>12048.102189781022</v>
      </c>
    </row>
    <row r="820" spans="1:17" x14ac:dyDescent="0.25">
      <c r="A820" s="2" t="s">
        <v>1233</v>
      </c>
      <c r="B820" s="1" t="s">
        <v>1254</v>
      </c>
      <c r="C820" s="1" t="s">
        <v>1255</v>
      </c>
      <c r="D820" s="1" t="s">
        <v>20</v>
      </c>
      <c r="E820" s="1" t="s">
        <v>16</v>
      </c>
      <c r="F820" s="1">
        <v>2</v>
      </c>
      <c r="G820" s="1" t="str">
        <f>CONCATENATE(Table1[[#This Row],[Duration_Years]]," ","years")</f>
        <v>2 years</v>
      </c>
      <c r="H820" s="11">
        <v>4200</v>
      </c>
      <c r="I820" s="1">
        <v>58.5</v>
      </c>
      <c r="J820" s="11">
        <v>450</v>
      </c>
      <c r="K820" s="11">
        <v>80</v>
      </c>
      <c r="L820" s="11">
        <v>450</v>
      </c>
      <c r="M820" s="22">
        <v>0.92</v>
      </c>
      <c r="N820" s="3" t="str">
        <f>IF(Table1[[#This Row],[Exchange_Rate]]&lt;5,"Strong Currency", IF(Table1[[#This Row],[Exchange_Rate]]&lt;=1000, "Medium Currency","Weak Currency"))</f>
        <v>Strong Currency</v>
      </c>
      <c r="O820" s="11">
        <f>(Table1[[#This Row],[Living_Cost_Index]]/123.3)*1850</f>
        <v>877.73722627737232</v>
      </c>
      <c r="P820" s="11">
        <f>Table1[[#This Row],[Monthly_Estimated_Living_cost]]*12</f>
        <v>10532.846715328467</v>
      </c>
      <c r="Q820" s="13">
        <f>Table1[[#This Row],[Tuition_USD]]+Table1[[#This Row],[Rent_USD]]+Table1[[#This Row],[Insurance_USD]]+Table1[[#This Row],[Visa_Fee_USD]]+Table1[[#This Row],[Annual_Estimated_Living_cost]]</f>
        <v>15712.846715328467</v>
      </c>
    </row>
    <row r="821" spans="1:17" x14ac:dyDescent="0.25">
      <c r="A821" s="2" t="s">
        <v>1236</v>
      </c>
      <c r="B821" s="1" t="s">
        <v>1256</v>
      </c>
      <c r="C821" s="1" t="s">
        <v>1257</v>
      </c>
      <c r="D821" s="1" t="s">
        <v>207</v>
      </c>
      <c r="E821" s="1" t="s">
        <v>1353</v>
      </c>
      <c r="F821" s="1">
        <v>4</v>
      </c>
      <c r="G821" s="1" t="str">
        <f>CONCATENATE(Table1[[#This Row],[Duration_Years]]," ","years")</f>
        <v>4 years</v>
      </c>
      <c r="H821" s="11">
        <v>2600</v>
      </c>
      <c r="I821" s="1">
        <v>45.8</v>
      </c>
      <c r="J821" s="11">
        <v>320</v>
      </c>
      <c r="K821" s="11">
        <v>90</v>
      </c>
      <c r="L821" s="11">
        <v>320</v>
      </c>
      <c r="M821" s="22">
        <v>108.5</v>
      </c>
      <c r="N821" s="3" t="str">
        <f>IF(Table1[[#This Row],[Exchange_Rate]]&lt;5,"Strong Currency", IF(Table1[[#This Row],[Exchange_Rate]]&lt;=1000, "Medium Currency","Weak Currency"))</f>
        <v>Medium Currency</v>
      </c>
      <c r="O821" s="11">
        <f>(Table1[[#This Row],[Living_Cost_Index]]/123.3)*1850</f>
        <v>687.18572587185724</v>
      </c>
      <c r="P821" s="11">
        <f>Table1[[#This Row],[Monthly_Estimated_Living_cost]]*12</f>
        <v>8246.2287104622865</v>
      </c>
      <c r="Q821" s="13">
        <f>Table1[[#This Row],[Tuition_USD]]+Table1[[#This Row],[Rent_USD]]+Table1[[#This Row],[Insurance_USD]]+Table1[[#This Row],[Visa_Fee_USD]]+Table1[[#This Row],[Annual_Estimated_Living_cost]]</f>
        <v>11576.228710462286</v>
      </c>
    </row>
    <row r="822" spans="1:17" x14ac:dyDescent="0.25">
      <c r="A822" s="2" t="s">
        <v>1239</v>
      </c>
      <c r="B822" s="1" t="s">
        <v>1258</v>
      </c>
      <c r="C822" s="1" t="s">
        <v>1259</v>
      </c>
      <c r="D822" s="1" t="s">
        <v>215</v>
      </c>
      <c r="E822" s="1" t="s">
        <v>75</v>
      </c>
      <c r="F822" s="1">
        <v>3</v>
      </c>
      <c r="G822" s="1" t="str">
        <f>CONCATENATE(Table1[[#This Row],[Duration_Years]]," ","years")</f>
        <v>3 years</v>
      </c>
      <c r="H822" s="11">
        <v>2800</v>
      </c>
      <c r="I822" s="1">
        <v>48.5</v>
      </c>
      <c r="J822" s="11">
        <v>350</v>
      </c>
      <c r="K822" s="11">
        <v>150</v>
      </c>
      <c r="L822" s="11">
        <v>280</v>
      </c>
      <c r="M822" s="22">
        <v>42150</v>
      </c>
      <c r="N822" s="3" t="str">
        <f>IF(Table1[[#This Row],[Exchange_Rate]]&lt;5,"Strong Currency", IF(Table1[[#This Row],[Exchange_Rate]]&lt;=1000, "Medium Currency","Weak Currency"))</f>
        <v>Weak Currency</v>
      </c>
      <c r="O822" s="11">
        <f>(Table1[[#This Row],[Living_Cost_Index]]/123.3)*1850</f>
        <v>727.69667477696669</v>
      </c>
      <c r="P822" s="11">
        <f>Table1[[#This Row],[Monthly_Estimated_Living_cost]]*12</f>
        <v>8732.3600973236007</v>
      </c>
      <c r="Q822" s="13">
        <f>Table1[[#This Row],[Tuition_USD]]+Table1[[#This Row],[Rent_USD]]+Table1[[#This Row],[Insurance_USD]]+Table1[[#This Row],[Visa_Fee_USD]]+Table1[[#This Row],[Annual_Estimated_Living_cost]]</f>
        <v>12312.360097323601</v>
      </c>
    </row>
    <row r="823" spans="1:17" x14ac:dyDescent="0.25">
      <c r="A823" s="2" t="s">
        <v>1242</v>
      </c>
      <c r="B823" s="1" t="s">
        <v>1260</v>
      </c>
      <c r="C823" s="1" t="s">
        <v>1261</v>
      </c>
      <c r="D823" s="1" t="s">
        <v>71</v>
      </c>
      <c r="E823" s="1" t="s">
        <v>16</v>
      </c>
      <c r="F823" s="1">
        <v>2</v>
      </c>
      <c r="G823" s="1" t="str">
        <f>CONCATENATE(Table1[[#This Row],[Duration_Years]]," ","years")</f>
        <v>2 years</v>
      </c>
      <c r="H823" s="11">
        <v>3800</v>
      </c>
      <c r="I823" s="1">
        <v>41.2</v>
      </c>
      <c r="J823" s="11">
        <v>250</v>
      </c>
      <c r="K823" s="11">
        <v>160</v>
      </c>
      <c r="L823" s="11">
        <v>250</v>
      </c>
      <c r="M823" s="22">
        <v>12300</v>
      </c>
      <c r="N823" s="3" t="str">
        <f>IF(Table1[[#This Row],[Exchange_Rate]]&lt;5,"Strong Currency", IF(Table1[[#This Row],[Exchange_Rate]]&lt;=1000, "Medium Currency","Weak Currency"))</f>
        <v>Weak Currency</v>
      </c>
      <c r="O823" s="11">
        <f>(Table1[[#This Row],[Living_Cost_Index]]/123.3)*1850</f>
        <v>618.16707218167073</v>
      </c>
      <c r="P823" s="11">
        <f>Table1[[#This Row],[Monthly_Estimated_Living_cost]]*12</f>
        <v>7418.0048661800483</v>
      </c>
      <c r="Q823" s="13">
        <f>Table1[[#This Row],[Tuition_USD]]+Table1[[#This Row],[Rent_USD]]+Table1[[#This Row],[Insurance_USD]]+Table1[[#This Row],[Visa_Fee_USD]]+Table1[[#This Row],[Annual_Estimated_Living_cost]]</f>
        <v>11878.004866180048</v>
      </c>
    </row>
    <row r="824" spans="1:17" x14ac:dyDescent="0.25">
      <c r="A824" s="2" t="s">
        <v>1245</v>
      </c>
      <c r="B824" s="1" t="s">
        <v>1262</v>
      </c>
      <c r="C824" s="1" t="s">
        <v>1184</v>
      </c>
      <c r="D824" s="1" t="s">
        <v>63</v>
      </c>
      <c r="E824" s="1" t="s">
        <v>75</v>
      </c>
      <c r="F824" s="1">
        <v>4</v>
      </c>
      <c r="G824" s="1" t="str">
        <f>CONCATENATE(Table1[[#This Row],[Duration_Years]]," ","years")</f>
        <v>4 years</v>
      </c>
      <c r="H824" s="11">
        <v>5000</v>
      </c>
      <c r="I824" s="1">
        <v>44.5</v>
      </c>
      <c r="J824" s="11">
        <v>350</v>
      </c>
      <c r="K824" s="11">
        <v>110</v>
      </c>
      <c r="L824" s="11">
        <v>300</v>
      </c>
      <c r="M824" s="22">
        <v>1</v>
      </c>
      <c r="N824" s="3" t="str">
        <f>IF(Table1[[#This Row],[Exchange_Rate]]&lt;5,"Strong Currency", IF(Table1[[#This Row],[Exchange_Rate]]&lt;=1000, "Medium Currency","Weak Currency"))</f>
        <v>Strong Currency</v>
      </c>
      <c r="O824" s="11">
        <f>(Table1[[#This Row],[Living_Cost_Index]]/123.3)*1850</f>
        <v>667.68045417680446</v>
      </c>
      <c r="P824" s="11">
        <f>Table1[[#This Row],[Monthly_Estimated_Living_cost]]*12</f>
        <v>8012.1654501216535</v>
      </c>
      <c r="Q824" s="13">
        <f>Table1[[#This Row],[Tuition_USD]]+Table1[[#This Row],[Rent_USD]]+Table1[[#This Row],[Insurance_USD]]+Table1[[#This Row],[Visa_Fee_USD]]+Table1[[#This Row],[Annual_Estimated_Living_cost]]</f>
        <v>13772.165450121654</v>
      </c>
    </row>
    <row r="825" spans="1:17" x14ac:dyDescent="0.25">
      <c r="A825" s="2" t="s">
        <v>1224</v>
      </c>
      <c r="B825" s="1" t="s">
        <v>1263</v>
      </c>
      <c r="C825" s="1" t="s">
        <v>1264</v>
      </c>
      <c r="D825" s="1" t="s">
        <v>241</v>
      </c>
      <c r="E825" s="1" t="s">
        <v>16</v>
      </c>
      <c r="F825" s="1">
        <v>2</v>
      </c>
      <c r="G825" s="1" t="str">
        <f>CONCATENATE(Table1[[#This Row],[Duration_Years]]," ","years")</f>
        <v>2 years</v>
      </c>
      <c r="H825" s="11">
        <v>2100</v>
      </c>
      <c r="I825" s="1">
        <v>38.5</v>
      </c>
      <c r="J825" s="11">
        <v>180</v>
      </c>
      <c r="K825" s="11">
        <v>100</v>
      </c>
      <c r="L825" s="11">
        <v>200</v>
      </c>
      <c r="M825" s="22">
        <v>109.5</v>
      </c>
      <c r="N825" s="3" t="str">
        <f>IF(Table1[[#This Row],[Exchange_Rate]]&lt;5,"Strong Currency", IF(Table1[[#This Row],[Exchange_Rate]]&lt;=1000, "Medium Currency","Weak Currency"))</f>
        <v>Medium Currency</v>
      </c>
      <c r="O825" s="11">
        <f>(Table1[[#This Row],[Living_Cost_Index]]/123.3)*1850</f>
        <v>577.65612327656117</v>
      </c>
      <c r="P825" s="11">
        <f>Table1[[#This Row],[Monthly_Estimated_Living_cost]]*12</f>
        <v>6931.8734793187341</v>
      </c>
      <c r="Q825" s="13">
        <f>Table1[[#This Row],[Tuition_USD]]+Table1[[#This Row],[Rent_USD]]+Table1[[#This Row],[Insurance_USD]]+Table1[[#This Row],[Visa_Fee_USD]]+Table1[[#This Row],[Annual_Estimated_Living_cost]]</f>
        <v>9511.8734793187341</v>
      </c>
    </row>
    <row r="826" spans="1:17" x14ac:dyDescent="0.25">
      <c r="A826" s="2" t="s">
        <v>1227</v>
      </c>
      <c r="B826" s="1" t="s">
        <v>1265</v>
      </c>
      <c r="C826" s="1" t="s">
        <v>1266</v>
      </c>
      <c r="D826" s="1" t="s">
        <v>40</v>
      </c>
      <c r="E826" s="1" t="s">
        <v>1353</v>
      </c>
      <c r="F826" s="1">
        <v>4</v>
      </c>
      <c r="G826" s="1" t="str">
        <f>CONCATENATE(Table1[[#This Row],[Duration_Years]]," ","years")</f>
        <v>4 years</v>
      </c>
      <c r="H826" s="11">
        <v>14000</v>
      </c>
      <c r="I826" s="1">
        <v>66.8</v>
      </c>
      <c r="J826" s="11">
        <v>700</v>
      </c>
      <c r="K826" s="11">
        <v>140</v>
      </c>
      <c r="L826" s="11">
        <v>700</v>
      </c>
      <c r="M826" s="22">
        <v>0.31</v>
      </c>
      <c r="N826" s="3" t="str">
        <f>IF(Table1[[#This Row],[Exchange_Rate]]&lt;5,"Strong Currency", IF(Table1[[#This Row],[Exchange_Rate]]&lt;=1000, "Medium Currency","Weak Currency"))</f>
        <v>Strong Currency</v>
      </c>
      <c r="O826" s="11">
        <f>(Table1[[#This Row],[Living_Cost_Index]]/123.3)*1850</f>
        <v>1002.2708840227087</v>
      </c>
      <c r="P826" s="11">
        <f>Table1[[#This Row],[Monthly_Estimated_Living_cost]]*12</f>
        <v>12027.250608272505</v>
      </c>
      <c r="Q826" s="13">
        <f>Table1[[#This Row],[Tuition_USD]]+Table1[[#This Row],[Rent_USD]]+Table1[[#This Row],[Insurance_USD]]+Table1[[#This Row],[Visa_Fee_USD]]+Table1[[#This Row],[Annual_Estimated_Living_cost]]</f>
        <v>27567.250608272505</v>
      </c>
    </row>
    <row r="827" spans="1:17" x14ac:dyDescent="0.25">
      <c r="A827" s="2" t="s">
        <v>1230</v>
      </c>
      <c r="B827" s="1" t="s">
        <v>1267</v>
      </c>
      <c r="C827" s="1" t="s">
        <v>1268</v>
      </c>
      <c r="D827" s="1" t="s">
        <v>20</v>
      </c>
      <c r="E827" s="1" t="s">
        <v>16</v>
      </c>
      <c r="F827" s="1">
        <v>2</v>
      </c>
      <c r="G827" s="1" t="str">
        <f>CONCATENATE(Table1[[#This Row],[Duration_Years]]," ","years")</f>
        <v>2 years</v>
      </c>
      <c r="H827" s="11">
        <v>3400</v>
      </c>
      <c r="I827" s="1">
        <v>42.5</v>
      </c>
      <c r="J827" s="11">
        <v>330</v>
      </c>
      <c r="K827" s="11">
        <v>120</v>
      </c>
      <c r="L827" s="11">
        <v>300</v>
      </c>
      <c r="M827" s="22">
        <v>36.799999999999997</v>
      </c>
      <c r="N827" s="3" t="str">
        <f>IF(Table1[[#This Row],[Exchange_Rate]]&lt;5,"Strong Currency", IF(Table1[[#This Row],[Exchange_Rate]]&lt;=1000, "Medium Currency","Weak Currency"))</f>
        <v>Medium Currency</v>
      </c>
      <c r="O827" s="11">
        <f>(Table1[[#This Row],[Living_Cost_Index]]/123.3)*1850</f>
        <v>637.6723438767234</v>
      </c>
      <c r="P827" s="11">
        <f>Table1[[#This Row],[Monthly_Estimated_Living_cost]]*12</f>
        <v>7652.0681265206804</v>
      </c>
      <c r="Q827" s="13">
        <f>Table1[[#This Row],[Tuition_USD]]+Table1[[#This Row],[Rent_USD]]+Table1[[#This Row],[Insurance_USD]]+Table1[[#This Row],[Visa_Fee_USD]]+Table1[[#This Row],[Annual_Estimated_Living_cost]]</f>
        <v>11802.06812652068</v>
      </c>
    </row>
    <row r="828" spans="1:17" x14ac:dyDescent="0.25">
      <c r="A828" s="2" t="s">
        <v>1233</v>
      </c>
      <c r="B828" s="1" t="s">
        <v>1269</v>
      </c>
      <c r="C828" s="1" t="s">
        <v>1270</v>
      </c>
      <c r="D828" s="1" t="s">
        <v>222</v>
      </c>
      <c r="E828" s="1" t="s">
        <v>75</v>
      </c>
      <c r="F828" s="1">
        <v>3</v>
      </c>
      <c r="G828" s="1" t="str">
        <f>CONCATENATE(Table1[[#This Row],[Duration_Years]]," ","years")</f>
        <v>3 years</v>
      </c>
      <c r="H828" s="11">
        <v>4000</v>
      </c>
      <c r="I828" s="1">
        <v>57.2</v>
      </c>
      <c r="J828" s="11">
        <v>420</v>
      </c>
      <c r="K828" s="11">
        <v>80</v>
      </c>
      <c r="L828" s="11">
        <v>450</v>
      </c>
      <c r="M828" s="22">
        <v>0.92</v>
      </c>
      <c r="N828" s="3" t="str">
        <f>IF(Table1[[#This Row],[Exchange_Rate]]&lt;5,"Strong Currency", IF(Table1[[#This Row],[Exchange_Rate]]&lt;=1000, "Medium Currency","Weak Currency"))</f>
        <v>Strong Currency</v>
      </c>
      <c r="O828" s="11">
        <f>(Table1[[#This Row],[Living_Cost_Index]]/123.3)*1850</f>
        <v>858.23195458231953</v>
      </c>
      <c r="P828" s="11">
        <f>Table1[[#This Row],[Monthly_Estimated_Living_cost]]*12</f>
        <v>10298.783454987835</v>
      </c>
      <c r="Q828" s="13">
        <f>Table1[[#This Row],[Tuition_USD]]+Table1[[#This Row],[Rent_USD]]+Table1[[#This Row],[Insurance_USD]]+Table1[[#This Row],[Visa_Fee_USD]]+Table1[[#This Row],[Annual_Estimated_Living_cost]]</f>
        <v>15248.783454987835</v>
      </c>
    </row>
    <row r="829" spans="1:17" x14ac:dyDescent="0.25">
      <c r="A829" s="2" t="s">
        <v>1236</v>
      </c>
      <c r="B829" s="1" t="s">
        <v>1271</v>
      </c>
      <c r="C829" s="1" t="s">
        <v>1272</v>
      </c>
      <c r="D829" s="1" t="s">
        <v>63</v>
      </c>
      <c r="E829" s="1" t="s">
        <v>16</v>
      </c>
      <c r="F829" s="1">
        <v>2</v>
      </c>
      <c r="G829" s="1" t="str">
        <f>CONCATENATE(Table1[[#This Row],[Duration_Years]]," ","years")</f>
        <v>2 years</v>
      </c>
      <c r="H829" s="11">
        <v>2500</v>
      </c>
      <c r="I829" s="1">
        <v>44.2</v>
      </c>
      <c r="J829" s="11">
        <v>300</v>
      </c>
      <c r="K829" s="11">
        <v>90</v>
      </c>
      <c r="L829" s="11">
        <v>320</v>
      </c>
      <c r="M829" s="22">
        <v>108.5</v>
      </c>
      <c r="N829" s="3" t="str">
        <f>IF(Table1[[#This Row],[Exchange_Rate]]&lt;5,"Strong Currency", IF(Table1[[#This Row],[Exchange_Rate]]&lt;=1000, "Medium Currency","Weak Currency"))</f>
        <v>Medium Currency</v>
      </c>
      <c r="O829" s="11">
        <f>(Table1[[#This Row],[Living_Cost_Index]]/123.3)*1850</f>
        <v>663.17923763179249</v>
      </c>
      <c r="P829" s="11">
        <f>Table1[[#This Row],[Monthly_Estimated_Living_cost]]*12</f>
        <v>7958.1508515815094</v>
      </c>
      <c r="Q829" s="13">
        <f>Table1[[#This Row],[Tuition_USD]]+Table1[[#This Row],[Rent_USD]]+Table1[[#This Row],[Insurance_USD]]+Table1[[#This Row],[Visa_Fee_USD]]+Table1[[#This Row],[Annual_Estimated_Living_cost]]</f>
        <v>11168.150851581509</v>
      </c>
    </row>
    <row r="830" spans="1:17" x14ac:dyDescent="0.25">
      <c r="A830" s="2" t="s">
        <v>1239</v>
      </c>
      <c r="B830" s="1" t="s">
        <v>1273</v>
      </c>
      <c r="C830" s="1" t="s">
        <v>1274</v>
      </c>
      <c r="D830" s="1" t="s">
        <v>71</v>
      </c>
      <c r="E830" s="1" t="s">
        <v>1353</v>
      </c>
      <c r="F830" s="1">
        <v>4</v>
      </c>
      <c r="G830" s="1" t="str">
        <f>CONCATENATE(Table1[[#This Row],[Duration_Years]]," ","years")</f>
        <v>4 years</v>
      </c>
      <c r="H830" s="11">
        <v>2900</v>
      </c>
      <c r="I830" s="1">
        <v>47.8</v>
      </c>
      <c r="J830" s="11">
        <v>320</v>
      </c>
      <c r="K830" s="11">
        <v>150</v>
      </c>
      <c r="L830" s="11">
        <v>280</v>
      </c>
      <c r="M830" s="22">
        <v>42150</v>
      </c>
      <c r="N830" s="3" t="str">
        <f>IF(Table1[[#This Row],[Exchange_Rate]]&lt;5,"Strong Currency", IF(Table1[[#This Row],[Exchange_Rate]]&lt;=1000, "Medium Currency","Weak Currency"))</f>
        <v>Weak Currency</v>
      </c>
      <c r="O830" s="11">
        <f>(Table1[[#This Row],[Living_Cost_Index]]/123.3)*1850</f>
        <v>717.19383617193841</v>
      </c>
      <c r="P830" s="11">
        <f>Table1[[#This Row],[Monthly_Estimated_Living_cost]]*12</f>
        <v>8606.3260340632605</v>
      </c>
      <c r="Q830" s="13">
        <f>Table1[[#This Row],[Tuition_USD]]+Table1[[#This Row],[Rent_USD]]+Table1[[#This Row],[Insurance_USD]]+Table1[[#This Row],[Visa_Fee_USD]]+Table1[[#This Row],[Annual_Estimated_Living_cost]]</f>
        <v>12256.326034063261</v>
      </c>
    </row>
    <row r="831" spans="1:17" x14ac:dyDescent="0.25">
      <c r="A831" s="2" t="s">
        <v>1242</v>
      </c>
      <c r="B831" s="1" t="s">
        <v>1275</v>
      </c>
      <c r="C831" s="1" t="s">
        <v>1276</v>
      </c>
      <c r="D831" s="1" t="s">
        <v>15</v>
      </c>
      <c r="E831" s="1" t="s">
        <v>75</v>
      </c>
      <c r="F831" s="1">
        <v>4</v>
      </c>
      <c r="G831" s="1" t="str">
        <f>CONCATENATE(Table1[[#This Row],[Duration_Years]]," ","years")</f>
        <v>4 years</v>
      </c>
      <c r="H831" s="11">
        <v>3500</v>
      </c>
      <c r="I831" s="1">
        <v>39.799999999999997</v>
      </c>
      <c r="J831" s="11">
        <v>220</v>
      </c>
      <c r="K831" s="11">
        <v>160</v>
      </c>
      <c r="L831" s="11">
        <v>250</v>
      </c>
      <c r="M831" s="22">
        <v>12300</v>
      </c>
      <c r="N831" s="3" t="str">
        <f>IF(Table1[[#This Row],[Exchange_Rate]]&lt;5,"Strong Currency", IF(Table1[[#This Row],[Exchange_Rate]]&lt;=1000, "Medium Currency","Weak Currency"))</f>
        <v>Weak Currency</v>
      </c>
      <c r="O831" s="11">
        <f>(Table1[[#This Row],[Living_Cost_Index]]/123.3)*1850</f>
        <v>597.16139497161384</v>
      </c>
      <c r="P831" s="11">
        <f>Table1[[#This Row],[Monthly_Estimated_Living_cost]]*12</f>
        <v>7165.9367396593661</v>
      </c>
      <c r="Q831" s="13">
        <f>Table1[[#This Row],[Tuition_USD]]+Table1[[#This Row],[Rent_USD]]+Table1[[#This Row],[Insurance_USD]]+Table1[[#This Row],[Visa_Fee_USD]]+Table1[[#This Row],[Annual_Estimated_Living_cost]]</f>
        <v>11295.936739659366</v>
      </c>
    </row>
    <row r="832" spans="1:17" x14ac:dyDescent="0.25">
      <c r="A832" s="2" t="s">
        <v>1245</v>
      </c>
      <c r="B832" s="1" t="s">
        <v>1277</v>
      </c>
      <c r="C832" s="1" t="s">
        <v>1278</v>
      </c>
      <c r="D832" s="1" t="s">
        <v>215</v>
      </c>
      <c r="E832" s="1" t="s">
        <v>16</v>
      </c>
      <c r="F832" s="1">
        <v>2</v>
      </c>
      <c r="G832" s="1" t="str">
        <f>CONCATENATE(Table1[[#This Row],[Duration_Years]]," ","years")</f>
        <v>2 years</v>
      </c>
      <c r="H832" s="11">
        <v>4800</v>
      </c>
      <c r="I832" s="1">
        <v>43.2</v>
      </c>
      <c r="J832" s="11">
        <v>320</v>
      </c>
      <c r="K832" s="11">
        <v>110</v>
      </c>
      <c r="L832" s="11">
        <v>300</v>
      </c>
      <c r="M832" s="22">
        <v>1</v>
      </c>
      <c r="N832" s="3" t="str">
        <f>IF(Table1[[#This Row],[Exchange_Rate]]&lt;5,"Strong Currency", IF(Table1[[#This Row],[Exchange_Rate]]&lt;=1000, "Medium Currency","Weak Currency"))</f>
        <v>Strong Currency</v>
      </c>
      <c r="O832" s="11">
        <f>(Table1[[#This Row],[Living_Cost_Index]]/123.3)*1850</f>
        <v>648.1751824817519</v>
      </c>
      <c r="P832" s="11">
        <f>Table1[[#This Row],[Monthly_Estimated_Living_cost]]*12</f>
        <v>7778.1021897810224</v>
      </c>
      <c r="Q832" s="13">
        <f>Table1[[#This Row],[Tuition_USD]]+Table1[[#This Row],[Rent_USD]]+Table1[[#This Row],[Insurance_USD]]+Table1[[#This Row],[Visa_Fee_USD]]+Table1[[#This Row],[Annual_Estimated_Living_cost]]</f>
        <v>13308.102189781022</v>
      </c>
    </row>
    <row r="833" spans="1:17" x14ac:dyDescent="0.25">
      <c r="A833" s="2" t="s">
        <v>1224</v>
      </c>
      <c r="B833" s="1" t="s">
        <v>1279</v>
      </c>
      <c r="C833" s="1" t="s">
        <v>1280</v>
      </c>
      <c r="D833" s="1" t="s">
        <v>207</v>
      </c>
      <c r="E833" s="1" t="s">
        <v>16</v>
      </c>
      <c r="F833" s="1">
        <v>2</v>
      </c>
      <c r="G833" s="1" t="str">
        <f>CONCATENATE(Table1[[#This Row],[Duration_Years]]," ","years")</f>
        <v>2 years</v>
      </c>
      <c r="H833" s="11">
        <v>2000</v>
      </c>
      <c r="I833" s="1">
        <v>37.200000000000003</v>
      </c>
      <c r="J833" s="11">
        <v>170</v>
      </c>
      <c r="K833" s="11">
        <v>100</v>
      </c>
      <c r="L833" s="11">
        <v>200</v>
      </c>
      <c r="M833" s="22">
        <v>109.5</v>
      </c>
      <c r="N833" s="3" t="str">
        <f>IF(Table1[[#This Row],[Exchange_Rate]]&lt;5,"Strong Currency", IF(Table1[[#This Row],[Exchange_Rate]]&lt;=1000, "Medium Currency","Weak Currency"))</f>
        <v>Medium Currency</v>
      </c>
      <c r="O833" s="11">
        <f>(Table1[[#This Row],[Living_Cost_Index]]/123.3)*1850</f>
        <v>558.1508515815085</v>
      </c>
      <c r="P833" s="11">
        <f>Table1[[#This Row],[Monthly_Estimated_Living_cost]]*12</f>
        <v>6697.8102189781021</v>
      </c>
      <c r="Q833" s="13">
        <f>Table1[[#This Row],[Tuition_USD]]+Table1[[#This Row],[Rent_USD]]+Table1[[#This Row],[Insurance_USD]]+Table1[[#This Row],[Visa_Fee_USD]]+Table1[[#This Row],[Annual_Estimated_Living_cost]]</f>
        <v>9167.8102189781021</v>
      </c>
    </row>
    <row r="834" spans="1:17" x14ac:dyDescent="0.25">
      <c r="A834" s="2" t="s">
        <v>1227</v>
      </c>
      <c r="B834" s="1" t="s">
        <v>1281</v>
      </c>
      <c r="C834" s="1" t="s">
        <v>1282</v>
      </c>
      <c r="D834" s="1" t="s">
        <v>20</v>
      </c>
      <c r="E834" s="1" t="s">
        <v>75</v>
      </c>
      <c r="F834" s="1">
        <v>3</v>
      </c>
      <c r="G834" s="1" t="str">
        <f>CONCATENATE(Table1[[#This Row],[Duration_Years]]," ","years")</f>
        <v>3 years</v>
      </c>
      <c r="H834" s="11">
        <v>13500</v>
      </c>
      <c r="I834" s="1">
        <v>65.400000000000006</v>
      </c>
      <c r="J834" s="11">
        <v>680</v>
      </c>
      <c r="K834" s="11">
        <v>140</v>
      </c>
      <c r="L834" s="11">
        <v>700</v>
      </c>
      <c r="M834" s="22">
        <v>0.31</v>
      </c>
      <c r="N834" s="3" t="str">
        <f>IF(Table1[[#This Row],[Exchange_Rate]]&lt;5,"Strong Currency", IF(Table1[[#This Row],[Exchange_Rate]]&lt;=1000, "Medium Currency","Weak Currency"))</f>
        <v>Strong Currency</v>
      </c>
      <c r="O834" s="11">
        <f>(Table1[[#This Row],[Living_Cost_Index]]/123.3)*1850</f>
        <v>981.26520681265208</v>
      </c>
      <c r="P834" s="11">
        <f>Table1[[#This Row],[Monthly_Estimated_Living_cost]]*12</f>
        <v>11775.182481751825</v>
      </c>
      <c r="Q834" s="13">
        <f>Table1[[#This Row],[Tuition_USD]]+Table1[[#This Row],[Rent_USD]]+Table1[[#This Row],[Insurance_USD]]+Table1[[#This Row],[Visa_Fee_USD]]+Table1[[#This Row],[Annual_Estimated_Living_cost]]</f>
        <v>26795.182481751825</v>
      </c>
    </row>
    <row r="835" spans="1:17" x14ac:dyDescent="0.25">
      <c r="A835" s="2" t="s">
        <v>1230</v>
      </c>
      <c r="B835" s="1" t="s">
        <v>1283</v>
      </c>
      <c r="C835" s="1" t="s">
        <v>1284</v>
      </c>
      <c r="D835" s="1" t="s">
        <v>40</v>
      </c>
      <c r="E835" s="1" t="s">
        <v>1353</v>
      </c>
      <c r="F835" s="1">
        <v>4</v>
      </c>
      <c r="G835" s="1" t="str">
        <f>CONCATENATE(Table1[[#This Row],[Duration_Years]]," ","years")</f>
        <v>4 years</v>
      </c>
      <c r="H835" s="11">
        <v>3600</v>
      </c>
      <c r="I835" s="1">
        <v>41.8</v>
      </c>
      <c r="J835" s="11">
        <v>320</v>
      </c>
      <c r="K835" s="11">
        <v>120</v>
      </c>
      <c r="L835" s="11">
        <v>300</v>
      </c>
      <c r="M835" s="22">
        <v>36.799999999999997</v>
      </c>
      <c r="N835" s="3" t="str">
        <f>IF(Table1[[#This Row],[Exchange_Rate]]&lt;5,"Strong Currency", IF(Table1[[#This Row],[Exchange_Rate]]&lt;=1000, "Medium Currency","Weak Currency"))</f>
        <v>Medium Currency</v>
      </c>
      <c r="O835" s="11">
        <f>(Table1[[#This Row],[Living_Cost_Index]]/123.3)*1850</f>
        <v>627.16950527169513</v>
      </c>
      <c r="P835" s="11">
        <f>Table1[[#This Row],[Monthly_Estimated_Living_cost]]*12</f>
        <v>7526.034063260342</v>
      </c>
      <c r="Q835" s="13">
        <f>Table1[[#This Row],[Tuition_USD]]+Table1[[#This Row],[Rent_USD]]+Table1[[#This Row],[Insurance_USD]]+Table1[[#This Row],[Visa_Fee_USD]]+Table1[[#This Row],[Annual_Estimated_Living_cost]]</f>
        <v>11866.034063260342</v>
      </c>
    </row>
    <row r="836" spans="1:17" x14ac:dyDescent="0.25">
      <c r="A836" s="2" t="s">
        <v>1233</v>
      </c>
      <c r="B836" s="1" t="s">
        <v>1285</v>
      </c>
      <c r="C836" s="1" t="s">
        <v>1286</v>
      </c>
      <c r="D836" s="1" t="s">
        <v>15</v>
      </c>
      <c r="E836" s="1" t="s">
        <v>16</v>
      </c>
      <c r="F836" s="1">
        <v>2</v>
      </c>
      <c r="G836" s="1" t="str">
        <f>CONCATENATE(Table1[[#This Row],[Duration_Years]]," ","years")</f>
        <v>2 years</v>
      </c>
      <c r="H836" s="11">
        <v>4100</v>
      </c>
      <c r="I836" s="1">
        <v>56.5</v>
      </c>
      <c r="J836" s="11">
        <v>400</v>
      </c>
      <c r="K836" s="11">
        <v>80</v>
      </c>
      <c r="L836" s="11">
        <v>450</v>
      </c>
      <c r="M836" s="22">
        <v>0.92</v>
      </c>
      <c r="N836" s="3" t="str">
        <f>IF(Table1[[#This Row],[Exchange_Rate]]&lt;5,"Strong Currency", IF(Table1[[#This Row],[Exchange_Rate]]&lt;=1000, "Medium Currency","Weak Currency"))</f>
        <v>Strong Currency</v>
      </c>
      <c r="O836" s="11">
        <f>(Table1[[#This Row],[Living_Cost_Index]]/123.3)*1850</f>
        <v>847.72911597729126</v>
      </c>
      <c r="P836" s="11">
        <f>Table1[[#This Row],[Monthly_Estimated_Living_cost]]*12</f>
        <v>10172.749391727495</v>
      </c>
      <c r="Q836" s="13">
        <f>Table1[[#This Row],[Tuition_USD]]+Table1[[#This Row],[Rent_USD]]+Table1[[#This Row],[Insurance_USD]]+Table1[[#This Row],[Visa_Fee_USD]]+Table1[[#This Row],[Annual_Estimated_Living_cost]]</f>
        <v>15202.749391727495</v>
      </c>
    </row>
    <row r="837" spans="1:17" x14ac:dyDescent="0.25">
      <c r="A837" s="2" t="s">
        <v>1236</v>
      </c>
      <c r="B837" s="1" t="s">
        <v>1287</v>
      </c>
      <c r="C837" s="1" t="s">
        <v>1288</v>
      </c>
      <c r="D837" s="1" t="s">
        <v>251</v>
      </c>
      <c r="E837" s="1" t="s">
        <v>75</v>
      </c>
      <c r="F837" s="1">
        <v>4</v>
      </c>
      <c r="G837" s="1" t="str">
        <f>CONCATENATE(Table1[[#This Row],[Duration_Years]]," ","years")</f>
        <v>4 years</v>
      </c>
      <c r="H837" s="11">
        <v>2400</v>
      </c>
      <c r="I837" s="1">
        <v>43.5</v>
      </c>
      <c r="J837" s="11">
        <v>280</v>
      </c>
      <c r="K837" s="11">
        <v>90</v>
      </c>
      <c r="L837" s="11">
        <v>320</v>
      </c>
      <c r="M837" s="22">
        <v>108.5</v>
      </c>
      <c r="N837" s="3" t="str">
        <f>IF(Table1[[#This Row],[Exchange_Rate]]&lt;5,"Strong Currency", IF(Table1[[#This Row],[Exchange_Rate]]&lt;=1000, "Medium Currency","Weak Currency"))</f>
        <v>Medium Currency</v>
      </c>
      <c r="O837" s="11">
        <f>(Table1[[#This Row],[Living_Cost_Index]]/123.3)*1850</f>
        <v>652.67639902676399</v>
      </c>
      <c r="P837" s="11">
        <f>Table1[[#This Row],[Monthly_Estimated_Living_cost]]*12</f>
        <v>7832.1167883211674</v>
      </c>
      <c r="Q837" s="13">
        <f>Table1[[#This Row],[Tuition_USD]]+Table1[[#This Row],[Rent_USD]]+Table1[[#This Row],[Insurance_USD]]+Table1[[#This Row],[Visa_Fee_USD]]+Table1[[#This Row],[Annual_Estimated_Living_cost]]</f>
        <v>10922.116788321167</v>
      </c>
    </row>
    <row r="838" spans="1:17" x14ac:dyDescent="0.25">
      <c r="A838" s="2" t="s">
        <v>1239</v>
      </c>
      <c r="B838" s="1" t="s">
        <v>1289</v>
      </c>
      <c r="C838" s="1" t="s">
        <v>1290</v>
      </c>
      <c r="D838" s="1" t="s">
        <v>241</v>
      </c>
      <c r="E838" s="1" t="s">
        <v>16</v>
      </c>
      <c r="F838" s="1">
        <v>2</v>
      </c>
      <c r="G838" s="1" t="str">
        <f>CONCATENATE(Table1[[#This Row],[Duration_Years]]," ","years")</f>
        <v>2 years</v>
      </c>
      <c r="H838" s="11">
        <v>2700</v>
      </c>
      <c r="I838" s="1">
        <v>46.8</v>
      </c>
      <c r="J838" s="11">
        <v>300</v>
      </c>
      <c r="K838" s="11">
        <v>150</v>
      </c>
      <c r="L838" s="11">
        <v>280</v>
      </c>
      <c r="M838" s="22">
        <v>42150</v>
      </c>
      <c r="N838" s="3" t="str">
        <f>IF(Table1[[#This Row],[Exchange_Rate]]&lt;5,"Strong Currency", IF(Table1[[#This Row],[Exchange_Rate]]&lt;=1000, "Medium Currency","Weak Currency"))</f>
        <v>Weak Currency</v>
      </c>
      <c r="O838" s="11">
        <f>(Table1[[#This Row],[Living_Cost_Index]]/123.3)*1850</f>
        <v>702.18978102189783</v>
      </c>
      <c r="P838" s="11">
        <f>Table1[[#This Row],[Monthly_Estimated_Living_cost]]*12</f>
        <v>8426.2773722627735</v>
      </c>
      <c r="Q838" s="13">
        <f>Table1[[#This Row],[Tuition_USD]]+Table1[[#This Row],[Rent_USD]]+Table1[[#This Row],[Insurance_USD]]+Table1[[#This Row],[Visa_Fee_USD]]+Table1[[#This Row],[Annual_Estimated_Living_cost]]</f>
        <v>11856.277372262773</v>
      </c>
    </row>
    <row r="839" spans="1:17" x14ac:dyDescent="0.25">
      <c r="A839" s="2" t="s">
        <v>1242</v>
      </c>
      <c r="B839" s="1" t="s">
        <v>1291</v>
      </c>
      <c r="C839" s="1" t="s">
        <v>1292</v>
      </c>
      <c r="D839" s="1" t="s">
        <v>222</v>
      </c>
      <c r="E839" s="1" t="s">
        <v>16</v>
      </c>
      <c r="F839" s="1">
        <v>2</v>
      </c>
      <c r="G839" s="1" t="str">
        <f>CONCATENATE(Table1[[#This Row],[Duration_Years]]," ","years")</f>
        <v>2 years</v>
      </c>
      <c r="H839" s="11">
        <v>3400</v>
      </c>
      <c r="I839" s="1">
        <v>38.5</v>
      </c>
      <c r="J839" s="11">
        <v>200</v>
      </c>
      <c r="K839" s="11">
        <v>160</v>
      </c>
      <c r="L839" s="11">
        <v>250</v>
      </c>
      <c r="M839" s="22">
        <v>12300</v>
      </c>
      <c r="N839" s="3" t="str">
        <f>IF(Table1[[#This Row],[Exchange_Rate]]&lt;5,"Strong Currency", IF(Table1[[#This Row],[Exchange_Rate]]&lt;=1000, "Medium Currency","Weak Currency"))</f>
        <v>Weak Currency</v>
      </c>
      <c r="O839" s="11">
        <f>(Table1[[#This Row],[Living_Cost_Index]]/123.3)*1850</f>
        <v>577.65612327656117</v>
      </c>
      <c r="P839" s="11">
        <f>Table1[[#This Row],[Monthly_Estimated_Living_cost]]*12</f>
        <v>6931.8734793187341</v>
      </c>
      <c r="Q839" s="13">
        <f>Table1[[#This Row],[Tuition_USD]]+Table1[[#This Row],[Rent_USD]]+Table1[[#This Row],[Insurance_USD]]+Table1[[#This Row],[Visa_Fee_USD]]+Table1[[#This Row],[Annual_Estimated_Living_cost]]</f>
        <v>10941.873479318734</v>
      </c>
    </row>
    <row r="840" spans="1:17" x14ac:dyDescent="0.25">
      <c r="A840" s="2" t="s">
        <v>1245</v>
      </c>
      <c r="B840" s="1" t="s">
        <v>1293</v>
      </c>
      <c r="C840" s="1" t="s">
        <v>1294</v>
      </c>
      <c r="D840" s="1" t="s">
        <v>20</v>
      </c>
      <c r="E840" s="1" t="s">
        <v>75</v>
      </c>
      <c r="F840" s="1">
        <v>3</v>
      </c>
      <c r="G840" s="1" t="str">
        <f>CONCATENATE(Table1[[#This Row],[Duration_Years]]," ","years")</f>
        <v>3 years</v>
      </c>
      <c r="H840" s="11">
        <v>4500</v>
      </c>
      <c r="I840" s="1">
        <v>42.8</v>
      </c>
      <c r="J840" s="11">
        <v>300</v>
      </c>
      <c r="K840" s="11">
        <v>110</v>
      </c>
      <c r="L840" s="11">
        <v>300</v>
      </c>
      <c r="M840" s="22">
        <v>1</v>
      </c>
      <c r="N840" s="3" t="str">
        <f>IF(Table1[[#This Row],[Exchange_Rate]]&lt;5,"Strong Currency", IF(Table1[[#This Row],[Exchange_Rate]]&lt;=1000, "Medium Currency","Weak Currency"))</f>
        <v>Strong Currency</v>
      </c>
      <c r="O840" s="11">
        <f>(Table1[[#This Row],[Living_Cost_Index]]/123.3)*1850</f>
        <v>642.1735604217356</v>
      </c>
      <c r="P840" s="11">
        <f>Table1[[#This Row],[Monthly_Estimated_Living_cost]]*12</f>
        <v>7706.0827250608272</v>
      </c>
      <c r="Q840" s="13">
        <f>Table1[[#This Row],[Tuition_USD]]+Table1[[#This Row],[Rent_USD]]+Table1[[#This Row],[Insurance_USD]]+Table1[[#This Row],[Visa_Fee_USD]]+Table1[[#This Row],[Annual_Estimated_Living_cost]]</f>
        <v>12916.082725060827</v>
      </c>
    </row>
    <row r="841" spans="1:17" x14ac:dyDescent="0.25">
      <c r="A841" s="2" t="s">
        <v>1224</v>
      </c>
      <c r="B841" s="1" t="s">
        <v>1295</v>
      </c>
      <c r="C841" s="1" t="s">
        <v>1296</v>
      </c>
      <c r="D841" s="1" t="s">
        <v>63</v>
      </c>
      <c r="E841" s="1" t="s">
        <v>1353</v>
      </c>
      <c r="F841" s="1">
        <v>4</v>
      </c>
      <c r="G841" s="1" t="str">
        <f>CONCATENATE(Table1[[#This Row],[Duration_Years]]," ","years")</f>
        <v>4 years</v>
      </c>
      <c r="H841" s="11">
        <v>2300</v>
      </c>
      <c r="I841" s="1">
        <v>36.799999999999997</v>
      </c>
      <c r="J841" s="11">
        <v>160</v>
      </c>
      <c r="K841" s="11">
        <v>100</v>
      </c>
      <c r="L841" s="11">
        <v>200</v>
      </c>
      <c r="M841" s="22">
        <v>109.5</v>
      </c>
      <c r="N841" s="3" t="str">
        <f>IF(Table1[[#This Row],[Exchange_Rate]]&lt;5,"Strong Currency", IF(Table1[[#This Row],[Exchange_Rate]]&lt;=1000, "Medium Currency","Weak Currency"))</f>
        <v>Medium Currency</v>
      </c>
      <c r="O841" s="11">
        <f>(Table1[[#This Row],[Living_Cost_Index]]/123.3)*1850</f>
        <v>552.14922952149232</v>
      </c>
      <c r="P841" s="11">
        <f>Table1[[#This Row],[Monthly_Estimated_Living_cost]]*12</f>
        <v>6625.7907542579078</v>
      </c>
      <c r="Q841" s="13">
        <f>Table1[[#This Row],[Tuition_USD]]+Table1[[#This Row],[Rent_USD]]+Table1[[#This Row],[Insurance_USD]]+Table1[[#This Row],[Visa_Fee_USD]]+Table1[[#This Row],[Annual_Estimated_Living_cost]]</f>
        <v>9385.7907542579087</v>
      </c>
    </row>
    <row r="842" spans="1:17" x14ac:dyDescent="0.25">
      <c r="A842" s="2" t="s">
        <v>1227</v>
      </c>
      <c r="B842" s="1" t="s">
        <v>1297</v>
      </c>
      <c r="C842" s="1" t="s">
        <v>1298</v>
      </c>
      <c r="D842" s="1" t="s">
        <v>207</v>
      </c>
      <c r="E842" s="1" t="s">
        <v>16</v>
      </c>
      <c r="F842" s="1">
        <v>2</v>
      </c>
      <c r="G842" s="1" t="str">
        <f>CONCATENATE(Table1[[#This Row],[Duration_Years]]," ","years")</f>
        <v>2 years</v>
      </c>
      <c r="H842" s="11">
        <v>13000</v>
      </c>
      <c r="I842" s="1">
        <v>64.5</v>
      </c>
      <c r="J842" s="11">
        <v>650</v>
      </c>
      <c r="K842" s="11">
        <v>140</v>
      </c>
      <c r="L842" s="11">
        <v>700</v>
      </c>
      <c r="M842" s="22">
        <v>0.31</v>
      </c>
      <c r="N842" s="3" t="str">
        <f>IF(Table1[[#This Row],[Exchange_Rate]]&lt;5,"Strong Currency", IF(Table1[[#This Row],[Exchange_Rate]]&lt;=1000, "Medium Currency","Weak Currency"))</f>
        <v>Strong Currency</v>
      </c>
      <c r="O842" s="11">
        <f>(Table1[[#This Row],[Living_Cost_Index]]/123.3)*1850</f>
        <v>967.7615571776156</v>
      </c>
      <c r="P842" s="11">
        <f>Table1[[#This Row],[Monthly_Estimated_Living_cost]]*12</f>
        <v>11613.138686131388</v>
      </c>
      <c r="Q842" s="13">
        <f>Table1[[#This Row],[Tuition_USD]]+Table1[[#This Row],[Rent_USD]]+Table1[[#This Row],[Insurance_USD]]+Table1[[#This Row],[Visa_Fee_USD]]+Table1[[#This Row],[Annual_Estimated_Living_cost]]</f>
        <v>26103.138686131388</v>
      </c>
    </row>
    <row r="843" spans="1:17" x14ac:dyDescent="0.25">
      <c r="A843" s="2" t="s">
        <v>1230</v>
      </c>
      <c r="B843" s="1" t="s">
        <v>1299</v>
      </c>
      <c r="C843" s="1" t="s">
        <v>1300</v>
      </c>
      <c r="D843" s="1" t="s">
        <v>71</v>
      </c>
      <c r="E843" s="1" t="s">
        <v>16</v>
      </c>
      <c r="F843" s="1">
        <v>2</v>
      </c>
      <c r="G843" s="1" t="str">
        <f>CONCATENATE(Table1[[#This Row],[Duration_Years]]," ","years")</f>
        <v>2 years</v>
      </c>
      <c r="H843" s="11">
        <v>3300</v>
      </c>
      <c r="I843" s="1">
        <v>40.5</v>
      </c>
      <c r="J843" s="11">
        <v>300</v>
      </c>
      <c r="K843" s="11">
        <v>120</v>
      </c>
      <c r="L843" s="11">
        <v>300</v>
      </c>
      <c r="M843" s="22">
        <v>36.799999999999997</v>
      </c>
      <c r="N843" s="3" t="str">
        <f>IF(Table1[[#This Row],[Exchange_Rate]]&lt;5,"Strong Currency", IF(Table1[[#This Row],[Exchange_Rate]]&lt;=1000, "Medium Currency","Weak Currency"))</f>
        <v>Medium Currency</v>
      </c>
      <c r="O843" s="11">
        <f>(Table1[[#This Row],[Living_Cost_Index]]/123.3)*1850</f>
        <v>607.66423357664235</v>
      </c>
      <c r="P843" s="11">
        <f>Table1[[#This Row],[Monthly_Estimated_Living_cost]]*12</f>
        <v>7291.9708029197081</v>
      </c>
      <c r="Q843" s="13">
        <f>Table1[[#This Row],[Tuition_USD]]+Table1[[#This Row],[Rent_USD]]+Table1[[#This Row],[Insurance_USD]]+Table1[[#This Row],[Visa_Fee_USD]]+Table1[[#This Row],[Annual_Estimated_Living_cost]]</f>
        <v>11311.970802919708</v>
      </c>
    </row>
    <row r="844" spans="1:17" x14ac:dyDescent="0.25">
      <c r="A844" s="2" t="s">
        <v>1233</v>
      </c>
      <c r="B844" s="1" t="s">
        <v>1301</v>
      </c>
      <c r="C844" s="1" t="s">
        <v>1302</v>
      </c>
      <c r="D844" s="1" t="s">
        <v>215</v>
      </c>
      <c r="E844" s="1" t="s">
        <v>75</v>
      </c>
      <c r="F844" s="1">
        <v>3</v>
      </c>
      <c r="G844" s="1" t="str">
        <f>CONCATENATE(Table1[[#This Row],[Duration_Years]]," ","years")</f>
        <v>3 years</v>
      </c>
      <c r="H844" s="11">
        <v>3900</v>
      </c>
      <c r="I844" s="1">
        <v>55.4</v>
      </c>
      <c r="J844" s="11">
        <v>380</v>
      </c>
      <c r="K844" s="11">
        <v>80</v>
      </c>
      <c r="L844" s="11">
        <v>450</v>
      </c>
      <c r="M844" s="22">
        <v>0.92</v>
      </c>
      <c r="N844" s="3" t="str">
        <f>IF(Table1[[#This Row],[Exchange_Rate]]&lt;5,"Strong Currency", IF(Table1[[#This Row],[Exchange_Rate]]&lt;=1000, "Medium Currency","Weak Currency"))</f>
        <v>Strong Currency</v>
      </c>
      <c r="O844" s="11">
        <f>(Table1[[#This Row],[Living_Cost_Index]]/123.3)*1850</f>
        <v>831.22465531224657</v>
      </c>
      <c r="P844" s="11">
        <f>Table1[[#This Row],[Monthly_Estimated_Living_cost]]*12</f>
        <v>9974.6958637469579</v>
      </c>
      <c r="Q844" s="13">
        <f>Table1[[#This Row],[Tuition_USD]]+Table1[[#This Row],[Rent_USD]]+Table1[[#This Row],[Insurance_USD]]+Table1[[#This Row],[Visa_Fee_USD]]+Table1[[#This Row],[Annual_Estimated_Living_cost]]</f>
        <v>14784.695863746958</v>
      </c>
    </row>
    <row r="845" spans="1:17" x14ac:dyDescent="0.25">
      <c r="A845" s="2" t="s">
        <v>1236</v>
      </c>
      <c r="B845" s="1" t="s">
        <v>1303</v>
      </c>
      <c r="C845" s="1" t="s">
        <v>1304</v>
      </c>
      <c r="D845" s="1" t="s">
        <v>15</v>
      </c>
      <c r="E845" s="1" t="s">
        <v>16</v>
      </c>
      <c r="F845" s="1">
        <v>2</v>
      </c>
      <c r="G845" s="1" t="str">
        <f>CONCATENATE(Table1[[#This Row],[Duration_Years]]," ","years")</f>
        <v>2 years</v>
      </c>
      <c r="H845" s="11">
        <v>2300</v>
      </c>
      <c r="I845" s="1">
        <v>42.8</v>
      </c>
      <c r="J845" s="11">
        <v>270</v>
      </c>
      <c r="K845" s="11">
        <v>90</v>
      </c>
      <c r="L845" s="11">
        <v>320</v>
      </c>
      <c r="M845" s="22">
        <v>108.5</v>
      </c>
      <c r="N845" s="3" t="str">
        <f>IF(Table1[[#This Row],[Exchange_Rate]]&lt;5,"Strong Currency", IF(Table1[[#This Row],[Exchange_Rate]]&lt;=1000, "Medium Currency","Weak Currency"))</f>
        <v>Medium Currency</v>
      </c>
      <c r="O845" s="11">
        <f>(Table1[[#This Row],[Living_Cost_Index]]/123.3)*1850</f>
        <v>642.1735604217356</v>
      </c>
      <c r="P845" s="11">
        <f>Table1[[#This Row],[Monthly_Estimated_Living_cost]]*12</f>
        <v>7706.0827250608272</v>
      </c>
      <c r="Q845" s="13">
        <f>Table1[[#This Row],[Tuition_USD]]+Table1[[#This Row],[Rent_USD]]+Table1[[#This Row],[Insurance_USD]]+Table1[[#This Row],[Visa_Fee_USD]]+Table1[[#This Row],[Annual_Estimated_Living_cost]]</f>
        <v>10686.082725060827</v>
      </c>
    </row>
    <row r="846" spans="1:17" x14ac:dyDescent="0.25">
      <c r="A846" s="2" t="s">
        <v>1239</v>
      </c>
      <c r="B846" s="1" t="s">
        <v>1305</v>
      </c>
      <c r="C846" s="1" t="s">
        <v>1306</v>
      </c>
      <c r="D846" s="1" t="s">
        <v>40</v>
      </c>
      <c r="E846" s="1" t="s">
        <v>1353</v>
      </c>
      <c r="F846" s="1">
        <v>4</v>
      </c>
      <c r="G846" s="1" t="str">
        <f>CONCATENATE(Table1[[#This Row],[Duration_Years]]," ","years")</f>
        <v>4 years</v>
      </c>
      <c r="H846" s="11">
        <v>2600</v>
      </c>
      <c r="I846" s="1">
        <v>45.5</v>
      </c>
      <c r="J846" s="11">
        <v>280</v>
      </c>
      <c r="K846" s="11">
        <v>150</v>
      </c>
      <c r="L846" s="11">
        <v>280</v>
      </c>
      <c r="M846" s="22">
        <v>42150</v>
      </c>
      <c r="N846" s="3" t="str">
        <f>IF(Table1[[#This Row],[Exchange_Rate]]&lt;5,"Strong Currency", IF(Table1[[#This Row],[Exchange_Rate]]&lt;=1000, "Medium Currency","Weak Currency"))</f>
        <v>Weak Currency</v>
      </c>
      <c r="O846" s="11">
        <f>(Table1[[#This Row],[Living_Cost_Index]]/123.3)*1850</f>
        <v>682.68450932684516</v>
      </c>
      <c r="P846" s="11">
        <f>Table1[[#This Row],[Monthly_Estimated_Living_cost]]*12</f>
        <v>8192.2141119221415</v>
      </c>
      <c r="Q846" s="13">
        <f>Table1[[#This Row],[Tuition_USD]]+Table1[[#This Row],[Rent_USD]]+Table1[[#This Row],[Insurance_USD]]+Table1[[#This Row],[Visa_Fee_USD]]+Table1[[#This Row],[Annual_Estimated_Living_cost]]</f>
        <v>11502.214111922141</v>
      </c>
    </row>
    <row r="847" spans="1:17" x14ac:dyDescent="0.25">
      <c r="A847" s="2" t="s">
        <v>1242</v>
      </c>
      <c r="B847" s="1" t="s">
        <v>1307</v>
      </c>
      <c r="C847" s="1" t="s">
        <v>1308</v>
      </c>
      <c r="D847" s="1" t="s">
        <v>241</v>
      </c>
      <c r="E847" s="1" t="s">
        <v>16</v>
      </c>
      <c r="F847" s="1">
        <v>2</v>
      </c>
      <c r="G847" s="1" t="str">
        <f>CONCATENATE(Table1[[#This Row],[Duration_Years]]," ","years")</f>
        <v>2 years</v>
      </c>
      <c r="H847" s="11">
        <v>3200</v>
      </c>
      <c r="I847" s="1">
        <v>37.799999999999997</v>
      </c>
      <c r="J847" s="11">
        <v>180</v>
      </c>
      <c r="K847" s="11">
        <v>160</v>
      </c>
      <c r="L847" s="11">
        <v>250</v>
      </c>
      <c r="M847" s="22">
        <v>12300</v>
      </c>
      <c r="N847" s="3" t="str">
        <f>IF(Table1[[#This Row],[Exchange_Rate]]&lt;5,"Strong Currency", IF(Table1[[#This Row],[Exchange_Rate]]&lt;=1000, "Medium Currency","Weak Currency"))</f>
        <v>Weak Currency</v>
      </c>
      <c r="O847" s="11">
        <f>(Table1[[#This Row],[Living_Cost_Index]]/123.3)*1850</f>
        <v>567.15328467153279</v>
      </c>
      <c r="P847" s="11">
        <f>Table1[[#This Row],[Monthly_Estimated_Living_cost]]*12</f>
        <v>6805.8394160583939</v>
      </c>
      <c r="Q847" s="13">
        <f>Table1[[#This Row],[Tuition_USD]]+Table1[[#This Row],[Rent_USD]]+Table1[[#This Row],[Insurance_USD]]+Table1[[#This Row],[Visa_Fee_USD]]+Table1[[#This Row],[Annual_Estimated_Living_cost]]</f>
        <v>10595.839416058394</v>
      </c>
    </row>
    <row r="848" spans="1:17" x14ac:dyDescent="0.25">
      <c r="A848" s="2" t="s">
        <v>1245</v>
      </c>
      <c r="B848" s="1" t="s">
        <v>1309</v>
      </c>
      <c r="C848" s="1" t="s">
        <v>1310</v>
      </c>
      <c r="D848" s="1" t="s">
        <v>63</v>
      </c>
      <c r="E848" s="1" t="s">
        <v>75</v>
      </c>
      <c r="F848" s="1">
        <v>4</v>
      </c>
      <c r="G848" s="1" t="str">
        <f>CONCATENATE(Table1[[#This Row],[Duration_Years]]," ","years")</f>
        <v>4 years</v>
      </c>
      <c r="H848" s="11">
        <v>4200</v>
      </c>
      <c r="I848" s="1">
        <v>42.1</v>
      </c>
      <c r="J848" s="11">
        <v>280</v>
      </c>
      <c r="K848" s="11">
        <v>110</v>
      </c>
      <c r="L848" s="11">
        <v>300</v>
      </c>
      <c r="M848" s="22">
        <v>1</v>
      </c>
      <c r="N848" s="3" t="str">
        <f>IF(Table1[[#This Row],[Exchange_Rate]]&lt;5,"Strong Currency", IF(Table1[[#This Row],[Exchange_Rate]]&lt;=1000, "Medium Currency","Weak Currency"))</f>
        <v>Strong Currency</v>
      </c>
      <c r="O848" s="11">
        <f>(Table1[[#This Row],[Living_Cost_Index]]/123.3)*1850</f>
        <v>631.67072181670721</v>
      </c>
      <c r="P848" s="11">
        <f>Table1[[#This Row],[Monthly_Estimated_Living_cost]]*12</f>
        <v>7580.048661800487</v>
      </c>
      <c r="Q848" s="13">
        <f>Table1[[#This Row],[Tuition_USD]]+Table1[[#This Row],[Rent_USD]]+Table1[[#This Row],[Insurance_USD]]+Table1[[#This Row],[Visa_Fee_USD]]+Table1[[#This Row],[Annual_Estimated_Living_cost]]</f>
        <v>12470.048661800487</v>
      </c>
    </row>
    <row r="849" spans="1:17" x14ac:dyDescent="0.25">
      <c r="A849" s="2" t="s">
        <v>167</v>
      </c>
      <c r="B849" s="1" t="s">
        <v>168</v>
      </c>
      <c r="C849" s="1" t="s">
        <v>169</v>
      </c>
      <c r="D849" s="1" t="s">
        <v>15</v>
      </c>
      <c r="E849" s="1" t="s">
        <v>16</v>
      </c>
      <c r="F849" s="1">
        <v>2</v>
      </c>
      <c r="G849" s="1" t="str">
        <f>CONCATENATE(Table1[[#This Row],[Duration_Years]]," ","years")</f>
        <v>2 years</v>
      </c>
      <c r="H849" s="11">
        <v>8500</v>
      </c>
      <c r="I849" s="1">
        <v>55.4</v>
      </c>
      <c r="J849" s="11">
        <v>500</v>
      </c>
      <c r="K849" s="11">
        <v>120</v>
      </c>
      <c r="L849" s="11">
        <v>400</v>
      </c>
      <c r="M849" s="22">
        <v>4.6500000000000004</v>
      </c>
      <c r="N849" s="3" t="str">
        <f>IF(Table1[[#This Row],[Exchange_Rate]]&lt;5,"Strong Currency", IF(Table1[[#This Row],[Exchange_Rate]]&lt;=1000, "Medium Currency","Weak Currency"))</f>
        <v>Strong Currency</v>
      </c>
      <c r="O849" s="11">
        <f>(Table1[[#This Row],[Living_Cost_Index]]/123.3)*1850</f>
        <v>831.22465531224657</v>
      </c>
      <c r="P849" s="11">
        <f>Table1[[#This Row],[Monthly_Estimated_Living_cost]]*12</f>
        <v>9974.6958637469579</v>
      </c>
      <c r="Q849" s="13">
        <f>Table1[[#This Row],[Tuition_USD]]+Table1[[#This Row],[Rent_USD]]+Table1[[#This Row],[Insurance_USD]]+Table1[[#This Row],[Visa_Fee_USD]]+Table1[[#This Row],[Annual_Estimated_Living_cost]]</f>
        <v>19494.695863746958</v>
      </c>
    </row>
    <row r="850" spans="1:17" x14ac:dyDescent="0.25">
      <c r="A850" s="2" t="s">
        <v>375</v>
      </c>
      <c r="B850" s="1" t="s">
        <v>376</v>
      </c>
      <c r="C850" s="1" t="s">
        <v>377</v>
      </c>
      <c r="D850" s="1" t="s">
        <v>20</v>
      </c>
      <c r="E850" s="1" t="s">
        <v>1353</v>
      </c>
      <c r="F850" s="1">
        <v>4</v>
      </c>
      <c r="G850" s="1" t="str">
        <f>CONCATENATE(Table1[[#This Row],[Duration_Years]]," ","years")</f>
        <v>4 years</v>
      </c>
      <c r="H850" s="11">
        <v>5000</v>
      </c>
      <c r="I850" s="1">
        <v>72.5</v>
      </c>
      <c r="J850" s="11">
        <v>800</v>
      </c>
      <c r="K850" s="11">
        <v>200</v>
      </c>
      <c r="L850" s="11">
        <v>800</v>
      </c>
      <c r="M850" s="22">
        <v>3.75</v>
      </c>
      <c r="N850" s="3" t="str">
        <f>IF(Table1[[#This Row],[Exchange_Rate]]&lt;5,"Strong Currency", IF(Table1[[#This Row],[Exchange_Rate]]&lt;=1000, "Medium Currency","Weak Currency"))</f>
        <v>Strong Currency</v>
      </c>
      <c r="O850" s="11">
        <f>(Table1[[#This Row],[Living_Cost_Index]]/123.3)*1850</f>
        <v>1087.7939983779399</v>
      </c>
      <c r="P850" s="11">
        <f>Table1[[#This Row],[Monthly_Estimated_Living_cost]]*12</f>
        <v>13053.52798053528</v>
      </c>
      <c r="Q850" s="13">
        <f>Table1[[#This Row],[Tuition_USD]]+Table1[[#This Row],[Rent_USD]]+Table1[[#This Row],[Insurance_USD]]+Table1[[#This Row],[Visa_Fee_USD]]+Table1[[#This Row],[Annual_Estimated_Living_cost]]</f>
        <v>19853.52798053528</v>
      </c>
    </row>
    <row r="851" spans="1:17" x14ac:dyDescent="0.25">
      <c r="A851" s="2" t="s">
        <v>12</v>
      </c>
      <c r="B851" s="1" t="s">
        <v>122</v>
      </c>
      <c r="C851" s="1" t="s">
        <v>14</v>
      </c>
      <c r="D851" s="1" t="s">
        <v>40</v>
      </c>
      <c r="E851" s="1" t="s">
        <v>16</v>
      </c>
      <c r="F851" s="1">
        <v>2</v>
      </c>
      <c r="G851" s="1" t="str">
        <f>CONCATENATE(Table1[[#This Row],[Duration_Years]]," ","years")</f>
        <v>2 years</v>
      </c>
      <c r="H851" s="11">
        <v>58000</v>
      </c>
      <c r="I851" s="1">
        <v>82.1</v>
      </c>
      <c r="J851" s="11">
        <v>2200</v>
      </c>
      <c r="K851" s="11">
        <v>160</v>
      </c>
      <c r="L851" s="11">
        <v>1500</v>
      </c>
      <c r="M851" s="22">
        <v>1</v>
      </c>
      <c r="N851" s="3" t="str">
        <f>IF(Table1[[#This Row],[Exchange_Rate]]&lt;5,"Strong Currency", IF(Table1[[#This Row],[Exchange_Rate]]&lt;=1000, "Medium Currency","Weak Currency"))</f>
        <v>Strong Currency</v>
      </c>
      <c r="O851" s="11">
        <f>(Table1[[#This Row],[Living_Cost_Index]]/123.3)*1850</f>
        <v>1231.8329278183292</v>
      </c>
      <c r="P851" s="11">
        <f>Table1[[#This Row],[Monthly_Estimated_Living_cost]]*12</f>
        <v>14781.99513381995</v>
      </c>
      <c r="Q851" s="13">
        <f>Table1[[#This Row],[Tuition_USD]]+Table1[[#This Row],[Rent_USD]]+Table1[[#This Row],[Insurance_USD]]+Table1[[#This Row],[Visa_Fee_USD]]+Table1[[#This Row],[Annual_Estimated_Living_cost]]</f>
        <v>76641.995133819946</v>
      </c>
    </row>
    <row r="852" spans="1:17" x14ac:dyDescent="0.25">
      <c r="A852" s="2" t="s">
        <v>17</v>
      </c>
      <c r="B852" s="1" t="s">
        <v>18</v>
      </c>
      <c r="C852" s="1" t="s">
        <v>1311</v>
      </c>
      <c r="D852" s="1" t="s">
        <v>63</v>
      </c>
      <c r="E852" s="1" t="s">
        <v>16</v>
      </c>
      <c r="F852" s="1">
        <v>2</v>
      </c>
      <c r="G852" s="1" t="str">
        <f>CONCATENATE(Table1[[#This Row],[Duration_Years]]," ","years")</f>
        <v>2 years</v>
      </c>
      <c r="H852" s="11">
        <v>42000</v>
      </c>
      <c r="I852" s="1">
        <v>75.3</v>
      </c>
      <c r="J852" s="11">
        <v>1800</v>
      </c>
      <c r="K852" s="11">
        <v>485</v>
      </c>
      <c r="L852" s="11">
        <v>800</v>
      </c>
      <c r="M852" s="22">
        <v>0.79</v>
      </c>
      <c r="N852" s="3" t="str">
        <f>IF(Table1[[#This Row],[Exchange_Rate]]&lt;5,"Strong Currency", IF(Table1[[#This Row],[Exchange_Rate]]&lt;=1000, "Medium Currency","Weak Currency"))</f>
        <v>Strong Currency</v>
      </c>
      <c r="O852" s="11">
        <f>(Table1[[#This Row],[Living_Cost_Index]]/123.3)*1850</f>
        <v>1129.8053527980535</v>
      </c>
      <c r="P852" s="11">
        <f>Table1[[#This Row],[Monthly_Estimated_Living_cost]]*12</f>
        <v>13557.664233576641</v>
      </c>
      <c r="Q852" s="13">
        <f>Table1[[#This Row],[Tuition_USD]]+Table1[[#This Row],[Rent_USD]]+Table1[[#This Row],[Insurance_USD]]+Table1[[#This Row],[Visa_Fee_USD]]+Table1[[#This Row],[Annual_Estimated_Living_cost]]</f>
        <v>58642.664233576637</v>
      </c>
    </row>
    <row r="853" spans="1:17" x14ac:dyDescent="0.25">
      <c r="A853" s="2" t="s">
        <v>183</v>
      </c>
      <c r="B853" s="1" t="s">
        <v>770</v>
      </c>
      <c r="C853" s="1" t="s">
        <v>1312</v>
      </c>
      <c r="D853" s="1" t="s">
        <v>207</v>
      </c>
      <c r="E853" s="1" t="s">
        <v>1353</v>
      </c>
      <c r="F853" s="1">
        <v>4</v>
      </c>
      <c r="G853" s="1" t="str">
        <f>CONCATENATE(Table1[[#This Row],[Duration_Years]]," ","years")</f>
        <v>4 years</v>
      </c>
      <c r="H853" s="11">
        <v>3500</v>
      </c>
      <c r="I853" s="1">
        <v>71.400000000000006</v>
      </c>
      <c r="J853" s="11">
        <v>1100</v>
      </c>
      <c r="K853" s="11">
        <v>80</v>
      </c>
      <c r="L853" s="11">
        <v>750</v>
      </c>
      <c r="M853" s="22">
        <v>0.92</v>
      </c>
      <c r="N853" s="3" t="str">
        <f>IF(Table1[[#This Row],[Exchange_Rate]]&lt;5,"Strong Currency", IF(Table1[[#This Row],[Exchange_Rate]]&lt;=1000, "Medium Currency","Weak Currency"))</f>
        <v>Strong Currency</v>
      </c>
      <c r="O853" s="11">
        <f>(Table1[[#This Row],[Living_Cost_Index]]/123.3)*1850</f>
        <v>1071.2895377128955</v>
      </c>
      <c r="P853" s="11">
        <f>Table1[[#This Row],[Monthly_Estimated_Living_cost]]*12</f>
        <v>12855.474452554747</v>
      </c>
      <c r="Q853" s="13">
        <f>Table1[[#This Row],[Tuition_USD]]+Table1[[#This Row],[Rent_USD]]+Table1[[#This Row],[Insurance_USD]]+Table1[[#This Row],[Visa_Fee_USD]]+Table1[[#This Row],[Annual_Estimated_Living_cost]]</f>
        <v>18285.474452554747</v>
      </c>
    </row>
    <row r="854" spans="1:17" x14ac:dyDescent="0.25">
      <c r="A854" s="2" t="s">
        <v>186</v>
      </c>
      <c r="B854" s="1" t="s">
        <v>187</v>
      </c>
      <c r="C854" s="1" t="s">
        <v>188</v>
      </c>
      <c r="D854" s="1" t="s">
        <v>71</v>
      </c>
      <c r="E854" s="1" t="s">
        <v>16</v>
      </c>
      <c r="F854" s="1">
        <v>2</v>
      </c>
      <c r="G854" s="1" t="str">
        <f>CONCATENATE(Table1[[#This Row],[Duration_Years]]," ","years")</f>
        <v>2 years</v>
      </c>
      <c r="H854" s="11">
        <v>4000</v>
      </c>
      <c r="I854" s="1">
        <v>73.2</v>
      </c>
      <c r="J854" s="11">
        <v>1200</v>
      </c>
      <c r="K854" s="11">
        <v>120</v>
      </c>
      <c r="L854" s="11">
        <v>700</v>
      </c>
      <c r="M854" s="22">
        <v>0.92</v>
      </c>
      <c r="N854" s="3" t="str">
        <f>IF(Table1[[#This Row],[Exchange_Rate]]&lt;5,"Strong Currency", IF(Table1[[#This Row],[Exchange_Rate]]&lt;=1000, "Medium Currency","Weak Currency"))</f>
        <v>Strong Currency</v>
      </c>
      <c r="O854" s="11">
        <f>(Table1[[#This Row],[Living_Cost_Index]]/123.3)*1850</f>
        <v>1098.2968369829684</v>
      </c>
      <c r="P854" s="11">
        <f>Table1[[#This Row],[Monthly_Estimated_Living_cost]]*12</f>
        <v>13179.56204379562</v>
      </c>
      <c r="Q854" s="13">
        <f>Table1[[#This Row],[Tuition_USD]]+Table1[[#This Row],[Rent_USD]]+Table1[[#This Row],[Insurance_USD]]+Table1[[#This Row],[Visa_Fee_USD]]+Table1[[#This Row],[Annual_Estimated_Living_cost]]</f>
        <v>19199.56204379562</v>
      </c>
    </row>
    <row r="855" spans="1:17" x14ac:dyDescent="0.25">
      <c r="A855" s="2" t="s">
        <v>44</v>
      </c>
      <c r="B855" s="1" t="s">
        <v>45</v>
      </c>
      <c r="C855" s="1" t="s">
        <v>46</v>
      </c>
      <c r="D855" s="1" t="s">
        <v>15</v>
      </c>
      <c r="E855" s="1" t="s">
        <v>16</v>
      </c>
      <c r="F855" s="1">
        <v>2</v>
      </c>
      <c r="G855" s="1" t="str">
        <f>CONCATENATE(Table1[[#This Row],[Duration_Years]]," ","years")</f>
        <v>2 years</v>
      </c>
      <c r="H855" s="11">
        <v>4500</v>
      </c>
      <c r="I855" s="1">
        <v>84.3</v>
      </c>
      <c r="J855" s="11">
        <v>1800</v>
      </c>
      <c r="K855" s="11">
        <v>99</v>
      </c>
      <c r="L855" s="11">
        <v>850</v>
      </c>
      <c r="M855" s="22">
        <v>0.92</v>
      </c>
      <c r="N855" s="3" t="str">
        <f>IF(Table1[[#This Row],[Exchange_Rate]]&lt;5,"Strong Currency", IF(Table1[[#This Row],[Exchange_Rate]]&lt;=1000, "Medium Currency","Weak Currency"))</f>
        <v>Strong Currency</v>
      </c>
      <c r="O855" s="11">
        <f>(Table1[[#This Row],[Living_Cost_Index]]/123.3)*1850</f>
        <v>1264.8418491484183</v>
      </c>
      <c r="P855" s="11">
        <f>Table1[[#This Row],[Monthly_Estimated_Living_cost]]*12</f>
        <v>15178.102189781021</v>
      </c>
      <c r="Q855" s="13">
        <f>Table1[[#This Row],[Tuition_USD]]+Table1[[#This Row],[Rent_USD]]+Table1[[#This Row],[Insurance_USD]]+Table1[[#This Row],[Visa_Fee_USD]]+Table1[[#This Row],[Annual_Estimated_Living_cost]]</f>
        <v>22427.102189781021</v>
      </c>
    </row>
    <row r="856" spans="1:17" x14ac:dyDescent="0.25">
      <c r="A856" s="2" t="s">
        <v>167</v>
      </c>
      <c r="B856" s="1" t="s">
        <v>1313</v>
      </c>
      <c r="C856" s="1" t="s">
        <v>1314</v>
      </c>
      <c r="D856" s="1" t="s">
        <v>215</v>
      </c>
      <c r="E856" s="1" t="s">
        <v>75</v>
      </c>
      <c r="F856" s="1">
        <v>3</v>
      </c>
      <c r="G856" s="1" t="str">
        <f>CONCATENATE(Table1[[#This Row],[Duration_Years]]," ","years")</f>
        <v>3 years</v>
      </c>
      <c r="H856" s="11">
        <v>7500</v>
      </c>
      <c r="I856" s="1">
        <v>52.1</v>
      </c>
      <c r="J856" s="11">
        <v>450</v>
      </c>
      <c r="K856" s="11">
        <v>120</v>
      </c>
      <c r="L856" s="11">
        <v>400</v>
      </c>
      <c r="M856" s="22">
        <v>4.6500000000000004</v>
      </c>
      <c r="N856" s="3" t="str">
        <f>IF(Table1[[#This Row],[Exchange_Rate]]&lt;5,"Strong Currency", IF(Table1[[#This Row],[Exchange_Rate]]&lt;=1000, "Medium Currency","Weak Currency"))</f>
        <v>Strong Currency</v>
      </c>
      <c r="O856" s="11">
        <f>(Table1[[#This Row],[Living_Cost_Index]]/123.3)*1850</f>
        <v>781.71127331711273</v>
      </c>
      <c r="P856" s="11">
        <f>Table1[[#This Row],[Monthly_Estimated_Living_cost]]*12</f>
        <v>9380.5352798053536</v>
      </c>
      <c r="Q856" s="13">
        <f>Table1[[#This Row],[Tuition_USD]]+Table1[[#This Row],[Rent_USD]]+Table1[[#This Row],[Insurance_USD]]+Table1[[#This Row],[Visa_Fee_USD]]+Table1[[#This Row],[Annual_Estimated_Living_cost]]</f>
        <v>17850.535279805354</v>
      </c>
    </row>
    <row r="857" spans="1:17" x14ac:dyDescent="0.25">
      <c r="A857" s="2" t="s">
        <v>375</v>
      </c>
      <c r="B857" s="1" t="s">
        <v>1315</v>
      </c>
      <c r="C857" s="1" t="s">
        <v>1316</v>
      </c>
      <c r="D857" s="1" t="s">
        <v>251</v>
      </c>
      <c r="E857" s="1" t="s">
        <v>16</v>
      </c>
      <c r="F857" s="1">
        <v>2</v>
      </c>
      <c r="G857" s="1" t="str">
        <f>CONCATENATE(Table1[[#This Row],[Duration_Years]]," ","years")</f>
        <v>2 years</v>
      </c>
      <c r="H857" s="11">
        <v>4800</v>
      </c>
      <c r="I857" s="1">
        <v>70.2</v>
      </c>
      <c r="J857" s="11">
        <v>750</v>
      </c>
      <c r="K857" s="11">
        <v>200</v>
      </c>
      <c r="L857" s="11">
        <v>800</v>
      </c>
      <c r="M857" s="22">
        <v>3.75</v>
      </c>
      <c r="N857" s="3" t="str">
        <f>IF(Table1[[#This Row],[Exchange_Rate]]&lt;5,"Strong Currency", IF(Table1[[#This Row],[Exchange_Rate]]&lt;=1000, "Medium Currency","Weak Currency"))</f>
        <v>Strong Currency</v>
      </c>
      <c r="O857" s="11">
        <f>(Table1[[#This Row],[Living_Cost_Index]]/123.3)*1850</f>
        <v>1053.2846715328469</v>
      </c>
      <c r="P857" s="11">
        <f>Table1[[#This Row],[Monthly_Estimated_Living_cost]]*12</f>
        <v>12639.416058394163</v>
      </c>
      <c r="Q857" s="13">
        <f>Table1[[#This Row],[Tuition_USD]]+Table1[[#This Row],[Rent_USD]]+Table1[[#This Row],[Insurance_USD]]+Table1[[#This Row],[Visa_Fee_USD]]+Table1[[#This Row],[Annual_Estimated_Living_cost]]</f>
        <v>19189.416058394163</v>
      </c>
    </row>
    <row r="858" spans="1:17" x14ac:dyDescent="0.25">
      <c r="A858" s="2" t="s">
        <v>12</v>
      </c>
      <c r="B858" s="1" t="s">
        <v>120</v>
      </c>
      <c r="C858" s="1" t="s">
        <v>121</v>
      </c>
      <c r="D858" s="1" t="s">
        <v>15</v>
      </c>
      <c r="E858" s="1" t="s">
        <v>1353</v>
      </c>
      <c r="F858" s="1">
        <v>5</v>
      </c>
      <c r="G858" s="1" t="str">
        <f>CONCATENATE(Table1[[#This Row],[Duration_Years]]," ","years")</f>
        <v>5 years</v>
      </c>
      <c r="H858" s="11">
        <v>52000</v>
      </c>
      <c r="I858" s="1">
        <v>84.3</v>
      </c>
      <c r="J858" s="11">
        <v>2300</v>
      </c>
      <c r="K858" s="11">
        <v>160</v>
      </c>
      <c r="L858" s="11">
        <v>1500</v>
      </c>
      <c r="M858" s="22">
        <v>1</v>
      </c>
      <c r="N858" s="3" t="str">
        <f>IF(Table1[[#This Row],[Exchange_Rate]]&lt;5,"Strong Currency", IF(Table1[[#This Row],[Exchange_Rate]]&lt;=1000, "Medium Currency","Weak Currency"))</f>
        <v>Strong Currency</v>
      </c>
      <c r="O858" s="11">
        <f>(Table1[[#This Row],[Living_Cost_Index]]/123.3)*1850</f>
        <v>1264.8418491484183</v>
      </c>
      <c r="P858" s="11">
        <f>Table1[[#This Row],[Monthly_Estimated_Living_cost]]*12</f>
        <v>15178.102189781021</v>
      </c>
      <c r="Q858" s="13">
        <f>Table1[[#This Row],[Tuition_USD]]+Table1[[#This Row],[Rent_USD]]+Table1[[#This Row],[Insurance_USD]]+Table1[[#This Row],[Visa_Fee_USD]]+Table1[[#This Row],[Annual_Estimated_Living_cost]]</f>
        <v>71138.102189781028</v>
      </c>
    </row>
    <row r="859" spans="1:17" x14ac:dyDescent="0.25">
      <c r="A859" s="2" t="s">
        <v>17</v>
      </c>
      <c r="B859" s="1" t="s">
        <v>13</v>
      </c>
      <c r="C859" s="1" t="s">
        <v>127</v>
      </c>
      <c r="D859" s="1" t="s">
        <v>40</v>
      </c>
      <c r="E859" s="1" t="s">
        <v>1353</v>
      </c>
      <c r="F859" s="1">
        <v>4</v>
      </c>
      <c r="G859" s="1" t="str">
        <f>CONCATENATE(Table1[[#This Row],[Duration_Years]]," ","years")</f>
        <v>4 years</v>
      </c>
      <c r="H859" s="11">
        <v>45000</v>
      </c>
      <c r="I859" s="1">
        <v>71.5</v>
      </c>
      <c r="J859" s="11">
        <v>1600</v>
      </c>
      <c r="K859" s="11">
        <v>485</v>
      </c>
      <c r="L859" s="11">
        <v>800</v>
      </c>
      <c r="M859" s="22">
        <v>0.79</v>
      </c>
      <c r="N859" s="3" t="str">
        <f>IF(Table1[[#This Row],[Exchange_Rate]]&lt;5,"Strong Currency", IF(Table1[[#This Row],[Exchange_Rate]]&lt;=1000, "Medium Currency","Weak Currency"))</f>
        <v>Strong Currency</v>
      </c>
      <c r="O859" s="11">
        <f>(Table1[[#This Row],[Living_Cost_Index]]/123.3)*1850</f>
        <v>1072.7899432278994</v>
      </c>
      <c r="P859" s="11">
        <f>Table1[[#This Row],[Monthly_Estimated_Living_cost]]*12</f>
        <v>12873.479318734793</v>
      </c>
      <c r="Q859" s="13">
        <f>Table1[[#This Row],[Tuition_USD]]+Table1[[#This Row],[Rent_USD]]+Table1[[#This Row],[Insurance_USD]]+Table1[[#This Row],[Visa_Fee_USD]]+Table1[[#This Row],[Annual_Estimated_Living_cost]]</f>
        <v>60758.479318734797</v>
      </c>
    </row>
    <row r="860" spans="1:17" x14ac:dyDescent="0.25">
      <c r="A860" s="2" t="s">
        <v>183</v>
      </c>
      <c r="B860" s="1" t="s">
        <v>184</v>
      </c>
      <c r="C860" s="1" t="s">
        <v>1317</v>
      </c>
      <c r="D860" s="1" t="s">
        <v>20</v>
      </c>
      <c r="E860" s="1" t="s">
        <v>16</v>
      </c>
      <c r="F860" s="1">
        <v>2</v>
      </c>
      <c r="G860" s="1" t="str">
        <f>CONCATENATE(Table1[[#This Row],[Duration_Years]]," ","years")</f>
        <v>2 years</v>
      </c>
      <c r="H860" s="11">
        <v>3800</v>
      </c>
      <c r="I860" s="1">
        <v>73.599999999999994</v>
      </c>
      <c r="J860" s="11">
        <v>1000</v>
      </c>
      <c r="K860" s="11">
        <v>80</v>
      </c>
      <c r="L860" s="11">
        <v>750</v>
      </c>
      <c r="M860" s="22">
        <v>0.92</v>
      </c>
      <c r="N860" s="3" t="str">
        <f>IF(Table1[[#This Row],[Exchange_Rate]]&lt;5,"Strong Currency", IF(Table1[[#This Row],[Exchange_Rate]]&lt;=1000, "Medium Currency","Weak Currency"))</f>
        <v>Strong Currency</v>
      </c>
      <c r="O860" s="11">
        <f>(Table1[[#This Row],[Living_Cost_Index]]/123.3)*1850</f>
        <v>1104.2984590429846</v>
      </c>
      <c r="P860" s="11">
        <f>Table1[[#This Row],[Monthly_Estimated_Living_cost]]*12</f>
        <v>13251.581508515816</v>
      </c>
      <c r="Q860" s="13">
        <f>Table1[[#This Row],[Tuition_USD]]+Table1[[#This Row],[Rent_USD]]+Table1[[#This Row],[Insurance_USD]]+Table1[[#This Row],[Visa_Fee_USD]]+Table1[[#This Row],[Annual_Estimated_Living_cost]]</f>
        <v>18881.581508515817</v>
      </c>
    </row>
    <row r="861" spans="1:17" x14ac:dyDescent="0.25">
      <c r="A861" s="2" t="s">
        <v>186</v>
      </c>
      <c r="B861" s="1" t="s">
        <v>774</v>
      </c>
      <c r="C861" s="1" t="s">
        <v>775</v>
      </c>
      <c r="D861" s="1" t="s">
        <v>207</v>
      </c>
      <c r="E861" s="1" t="s">
        <v>75</v>
      </c>
      <c r="F861" s="1">
        <v>3</v>
      </c>
      <c r="G861" s="1" t="str">
        <f>CONCATENATE(Table1[[#This Row],[Duration_Years]]," ","years")</f>
        <v>3 years</v>
      </c>
      <c r="H861" s="11">
        <v>3500</v>
      </c>
      <c r="I861" s="1">
        <v>71.2</v>
      </c>
      <c r="J861" s="11">
        <v>1100</v>
      </c>
      <c r="K861" s="11">
        <v>120</v>
      </c>
      <c r="L861" s="11">
        <v>700</v>
      </c>
      <c r="M861" s="22">
        <v>0.92</v>
      </c>
      <c r="N861" s="3" t="str">
        <f>IF(Table1[[#This Row],[Exchange_Rate]]&lt;5,"Strong Currency", IF(Table1[[#This Row],[Exchange_Rate]]&lt;=1000, "Medium Currency","Weak Currency"))</f>
        <v>Strong Currency</v>
      </c>
      <c r="O861" s="11">
        <f>(Table1[[#This Row],[Living_Cost_Index]]/123.3)*1850</f>
        <v>1068.2887266828873</v>
      </c>
      <c r="P861" s="11">
        <f>Table1[[#This Row],[Monthly_Estimated_Living_cost]]*12</f>
        <v>12819.464720194646</v>
      </c>
      <c r="Q861" s="13">
        <f>Table1[[#This Row],[Tuition_USD]]+Table1[[#This Row],[Rent_USD]]+Table1[[#This Row],[Insurance_USD]]+Table1[[#This Row],[Visa_Fee_USD]]+Table1[[#This Row],[Annual_Estimated_Living_cost]]</f>
        <v>18239.464720194646</v>
      </c>
    </row>
    <row r="862" spans="1:17" x14ac:dyDescent="0.25">
      <c r="A862" s="2" t="s">
        <v>44</v>
      </c>
      <c r="B862" s="1" t="s">
        <v>420</v>
      </c>
      <c r="C862" s="1" t="s">
        <v>1318</v>
      </c>
      <c r="D862" s="1" t="s">
        <v>63</v>
      </c>
      <c r="E862" s="1" t="s">
        <v>16</v>
      </c>
      <c r="F862" s="1">
        <v>2</v>
      </c>
      <c r="G862" s="1" t="str">
        <f>CONCATENATE(Table1[[#This Row],[Duration_Years]]," ","years")</f>
        <v>2 years</v>
      </c>
      <c r="H862" s="11">
        <v>4200</v>
      </c>
      <c r="I862" s="1">
        <v>75.599999999999994</v>
      </c>
      <c r="J862" s="11">
        <v>1200</v>
      </c>
      <c r="K862" s="11">
        <v>99</v>
      </c>
      <c r="L862" s="11">
        <v>850</v>
      </c>
      <c r="M862" s="22">
        <v>0.92</v>
      </c>
      <c r="N862" s="3" t="str">
        <f>IF(Table1[[#This Row],[Exchange_Rate]]&lt;5,"Strong Currency", IF(Table1[[#This Row],[Exchange_Rate]]&lt;=1000, "Medium Currency","Weak Currency"))</f>
        <v>Strong Currency</v>
      </c>
      <c r="O862" s="11">
        <f>(Table1[[#This Row],[Living_Cost_Index]]/123.3)*1850</f>
        <v>1134.3065693430656</v>
      </c>
      <c r="P862" s="11">
        <f>Table1[[#This Row],[Monthly_Estimated_Living_cost]]*12</f>
        <v>13611.678832116788</v>
      </c>
      <c r="Q862" s="13">
        <f>Table1[[#This Row],[Tuition_USD]]+Table1[[#This Row],[Rent_USD]]+Table1[[#This Row],[Insurance_USD]]+Table1[[#This Row],[Visa_Fee_USD]]+Table1[[#This Row],[Annual_Estimated_Living_cost]]</f>
        <v>19960.678832116788</v>
      </c>
    </row>
    <row r="863" spans="1:17" x14ac:dyDescent="0.25">
      <c r="A863" s="2" t="s">
        <v>167</v>
      </c>
      <c r="B863" s="1" t="s">
        <v>1319</v>
      </c>
      <c r="C863" s="1" t="s">
        <v>1320</v>
      </c>
      <c r="D863" s="1" t="s">
        <v>71</v>
      </c>
      <c r="E863" s="1" t="s">
        <v>1353</v>
      </c>
      <c r="F863" s="1">
        <v>4</v>
      </c>
      <c r="G863" s="1" t="str">
        <f>CONCATENATE(Table1[[#This Row],[Duration_Years]]," ","years")</f>
        <v>4 years</v>
      </c>
      <c r="H863" s="11">
        <v>8000</v>
      </c>
      <c r="I863" s="1">
        <v>51.8</v>
      </c>
      <c r="J863" s="11">
        <v>400</v>
      </c>
      <c r="K863" s="11">
        <v>120</v>
      </c>
      <c r="L863" s="11">
        <v>400</v>
      </c>
      <c r="M863" s="22">
        <v>4.6500000000000004</v>
      </c>
      <c r="N863" s="3" t="str">
        <f>IF(Table1[[#This Row],[Exchange_Rate]]&lt;5,"Strong Currency", IF(Table1[[#This Row],[Exchange_Rate]]&lt;=1000, "Medium Currency","Weak Currency"))</f>
        <v>Strong Currency</v>
      </c>
      <c r="O863" s="11">
        <f>(Table1[[#This Row],[Living_Cost_Index]]/123.3)*1850</f>
        <v>777.21005677210053</v>
      </c>
      <c r="P863" s="11">
        <f>Table1[[#This Row],[Monthly_Estimated_Living_cost]]*12</f>
        <v>9326.5206812652068</v>
      </c>
      <c r="Q863" s="13">
        <f>Table1[[#This Row],[Tuition_USD]]+Table1[[#This Row],[Rent_USD]]+Table1[[#This Row],[Insurance_USD]]+Table1[[#This Row],[Visa_Fee_USD]]+Table1[[#This Row],[Annual_Estimated_Living_cost]]</f>
        <v>18246.520681265207</v>
      </c>
    </row>
    <row r="864" spans="1:17" x14ac:dyDescent="0.25">
      <c r="A864" s="2" t="s">
        <v>375</v>
      </c>
      <c r="B864" s="1" t="s">
        <v>1321</v>
      </c>
      <c r="C864" s="1" t="s">
        <v>1322</v>
      </c>
      <c r="D864" s="1" t="s">
        <v>15</v>
      </c>
      <c r="E864" s="1" t="s">
        <v>16</v>
      </c>
      <c r="F864" s="1">
        <v>2</v>
      </c>
      <c r="G864" s="1" t="str">
        <f>CONCATENATE(Table1[[#This Row],[Duration_Years]]," ","years")</f>
        <v>2 years</v>
      </c>
      <c r="H864" s="11">
        <v>4500</v>
      </c>
      <c r="I864" s="1">
        <v>68.5</v>
      </c>
      <c r="J864" s="11">
        <v>700</v>
      </c>
      <c r="K864" s="11">
        <v>200</v>
      </c>
      <c r="L864" s="11">
        <v>800</v>
      </c>
      <c r="M864" s="22">
        <v>3.75</v>
      </c>
      <c r="N864" s="3" t="str">
        <f>IF(Table1[[#This Row],[Exchange_Rate]]&lt;5,"Strong Currency", IF(Table1[[#This Row],[Exchange_Rate]]&lt;=1000, "Medium Currency","Weak Currency"))</f>
        <v>Strong Currency</v>
      </c>
      <c r="O864" s="11">
        <f>(Table1[[#This Row],[Living_Cost_Index]]/123.3)*1850</f>
        <v>1027.7777777777778</v>
      </c>
      <c r="P864" s="11">
        <f>Table1[[#This Row],[Monthly_Estimated_Living_cost]]*12</f>
        <v>12333.333333333334</v>
      </c>
      <c r="Q864" s="13">
        <f>Table1[[#This Row],[Tuition_USD]]+Table1[[#This Row],[Rent_USD]]+Table1[[#This Row],[Insurance_USD]]+Table1[[#This Row],[Visa_Fee_USD]]+Table1[[#This Row],[Annual_Estimated_Living_cost]]</f>
        <v>18533.333333333336</v>
      </c>
    </row>
    <row r="865" spans="1:17" x14ac:dyDescent="0.25">
      <c r="A865" s="2" t="s">
        <v>12</v>
      </c>
      <c r="B865" s="1" t="s">
        <v>170</v>
      </c>
      <c r="C865" s="1" t="s">
        <v>171</v>
      </c>
      <c r="D865" s="1" t="s">
        <v>20</v>
      </c>
      <c r="E865" s="1" t="s">
        <v>16</v>
      </c>
      <c r="F865" s="1">
        <v>2</v>
      </c>
      <c r="G865" s="1" t="str">
        <f>CONCATENATE(Table1[[#This Row],[Duration_Years]]," ","years")</f>
        <v>2 years</v>
      </c>
      <c r="H865" s="11">
        <v>54000</v>
      </c>
      <c r="I865" s="1">
        <v>83.2</v>
      </c>
      <c r="J865" s="11">
        <v>2000</v>
      </c>
      <c r="K865" s="11">
        <v>160</v>
      </c>
      <c r="L865" s="11">
        <v>1500</v>
      </c>
      <c r="M865" s="22">
        <v>1</v>
      </c>
      <c r="N865" s="3" t="str">
        <f>IF(Table1[[#This Row],[Exchange_Rate]]&lt;5,"Strong Currency", IF(Table1[[#This Row],[Exchange_Rate]]&lt;=1000, "Medium Currency","Weak Currency"))</f>
        <v>Strong Currency</v>
      </c>
      <c r="O865" s="11">
        <f>(Table1[[#This Row],[Living_Cost_Index]]/123.3)*1850</f>
        <v>1248.3373884833738</v>
      </c>
      <c r="P865" s="11">
        <f>Table1[[#This Row],[Monthly_Estimated_Living_cost]]*12</f>
        <v>14980.048661800487</v>
      </c>
      <c r="Q865" s="13">
        <f>Table1[[#This Row],[Tuition_USD]]+Table1[[#This Row],[Rent_USD]]+Table1[[#This Row],[Insurance_USD]]+Table1[[#This Row],[Visa_Fee_USD]]+Table1[[#This Row],[Annual_Estimated_Living_cost]]</f>
        <v>72640.04866180048</v>
      </c>
    </row>
    <row r="866" spans="1:17" x14ac:dyDescent="0.25">
      <c r="A866" s="2" t="s">
        <v>17</v>
      </c>
      <c r="B866" s="1" t="s">
        <v>125</v>
      </c>
      <c r="C866" s="1" t="s">
        <v>126</v>
      </c>
      <c r="D866" s="1" t="s">
        <v>207</v>
      </c>
      <c r="E866" s="1" t="s">
        <v>16</v>
      </c>
      <c r="F866" s="1">
        <v>2</v>
      </c>
      <c r="G866" s="1" t="str">
        <f>CONCATENATE(Table1[[#This Row],[Duration_Years]]," ","years")</f>
        <v>2 years</v>
      </c>
      <c r="H866" s="11">
        <v>40000</v>
      </c>
      <c r="I866" s="1">
        <v>71.5</v>
      </c>
      <c r="J866" s="11">
        <v>1400</v>
      </c>
      <c r="K866" s="11">
        <v>485</v>
      </c>
      <c r="L866" s="11">
        <v>800</v>
      </c>
      <c r="M866" s="22">
        <v>0.79</v>
      </c>
      <c r="N866" s="3" t="str">
        <f>IF(Table1[[#This Row],[Exchange_Rate]]&lt;5,"Strong Currency", IF(Table1[[#This Row],[Exchange_Rate]]&lt;=1000, "Medium Currency","Weak Currency"))</f>
        <v>Strong Currency</v>
      </c>
      <c r="O866" s="11">
        <f>(Table1[[#This Row],[Living_Cost_Index]]/123.3)*1850</f>
        <v>1072.7899432278994</v>
      </c>
      <c r="P866" s="11">
        <f>Table1[[#This Row],[Monthly_Estimated_Living_cost]]*12</f>
        <v>12873.479318734793</v>
      </c>
      <c r="Q866" s="13">
        <f>Table1[[#This Row],[Tuition_USD]]+Table1[[#This Row],[Rent_USD]]+Table1[[#This Row],[Insurance_USD]]+Table1[[#This Row],[Visa_Fee_USD]]+Table1[[#This Row],[Annual_Estimated_Living_cost]]</f>
        <v>55558.479318734797</v>
      </c>
    </row>
    <row r="867" spans="1:17" x14ac:dyDescent="0.25">
      <c r="A867" s="2" t="s">
        <v>183</v>
      </c>
      <c r="B867" s="1" t="s">
        <v>782</v>
      </c>
      <c r="C867" s="1" t="s">
        <v>1323</v>
      </c>
      <c r="D867" s="1" t="s">
        <v>215</v>
      </c>
      <c r="E867" s="1" t="s">
        <v>1353</v>
      </c>
      <c r="F867" s="1">
        <v>4</v>
      </c>
      <c r="G867" s="1" t="str">
        <f>CONCATENATE(Table1[[#This Row],[Duration_Years]]," ","years")</f>
        <v>4 years</v>
      </c>
      <c r="H867" s="11">
        <v>3200</v>
      </c>
      <c r="I867" s="1">
        <v>68.5</v>
      </c>
      <c r="J867" s="11">
        <v>800</v>
      </c>
      <c r="K867" s="11">
        <v>80</v>
      </c>
      <c r="L867" s="11">
        <v>750</v>
      </c>
      <c r="M867" s="22">
        <v>0.92</v>
      </c>
      <c r="N867" s="3" t="str">
        <f>IF(Table1[[#This Row],[Exchange_Rate]]&lt;5,"Strong Currency", IF(Table1[[#This Row],[Exchange_Rate]]&lt;=1000, "Medium Currency","Weak Currency"))</f>
        <v>Strong Currency</v>
      </c>
      <c r="O867" s="11">
        <f>(Table1[[#This Row],[Living_Cost_Index]]/123.3)*1850</f>
        <v>1027.7777777777778</v>
      </c>
      <c r="P867" s="11">
        <f>Table1[[#This Row],[Monthly_Estimated_Living_cost]]*12</f>
        <v>12333.333333333334</v>
      </c>
      <c r="Q867" s="13">
        <f>Table1[[#This Row],[Tuition_USD]]+Table1[[#This Row],[Rent_USD]]+Table1[[#This Row],[Insurance_USD]]+Table1[[#This Row],[Visa_Fee_USD]]+Table1[[#This Row],[Annual_Estimated_Living_cost]]</f>
        <v>17163.333333333336</v>
      </c>
    </row>
    <row r="868" spans="1:17" x14ac:dyDescent="0.25">
      <c r="A868" s="2" t="s">
        <v>186</v>
      </c>
      <c r="B868" s="1" t="s">
        <v>784</v>
      </c>
      <c r="C868" s="1" t="s">
        <v>785</v>
      </c>
      <c r="D868" s="1" t="s">
        <v>40</v>
      </c>
      <c r="E868" s="1" t="s">
        <v>16</v>
      </c>
      <c r="F868" s="1">
        <v>2</v>
      </c>
      <c r="G868" s="1" t="str">
        <f>CONCATENATE(Table1[[#This Row],[Duration_Years]]," ","years")</f>
        <v>2 years</v>
      </c>
      <c r="H868" s="11">
        <v>3800</v>
      </c>
      <c r="I868" s="1">
        <v>69.8</v>
      </c>
      <c r="J868" s="11">
        <v>900</v>
      </c>
      <c r="K868" s="11">
        <v>120</v>
      </c>
      <c r="L868" s="11">
        <v>700</v>
      </c>
      <c r="M868" s="22">
        <v>0.92</v>
      </c>
      <c r="N868" s="3" t="str">
        <f>IF(Table1[[#This Row],[Exchange_Rate]]&lt;5,"Strong Currency", IF(Table1[[#This Row],[Exchange_Rate]]&lt;=1000, "Medium Currency","Weak Currency"))</f>
        <v>Strong Currency</v>
      </c>
      <c r="O868" s="11">
        <f>(Table1[[#This Row],[Living_Cost_Index]]/123.3)*1850</f>
        <v>1047.2830494728303</v>
      </c>
      <c r="P868" s="11">
        <f>Table1[[#This Row],[Monthly_Estimated_Living_cost]]*12</f>
        <v>12567.396593673962</v>
      </c>
      <c r="Q868" s="13">
        <f>Table1[[#This Row],[Tuition_USD]]+Table1[[#This Row],[Rent_USD]]+Table1[[#This Row],[Insurance_USD]]+Table1[[#This Row],[Visa_Fee_USD]]+Table1[[#This Row],[Annual_Estimated_Living_cost]]</f>
        <v>18087.396593673962</v>
      </c>
    </row>
    <row r="869" spans="1:17" x14ac:dyDescent="0.25">
      <c r="A869" s="2" t="s">
        <v>44</v>
      </c>
      <c r="B869" s="1" t="s">
        <v>418</v>
      </c>
      <c r="C869" s="1" t="s">
        <v>419</v>
      </c>
      <c r="D869" s="1" t="s">
        <v>251</v>
      </c>
      <c r="E869" s="1" t="s">
        <v>1353</v>
      </c>
      <c r="F869" s="1">
        <v>4</v>
      </c>
      <c r="G869" s="1" t="str">
        <f>CONCATENATE(Table1[[#This Row],[Duration_Years]]," ","years")</f>
        <v>4 years</v>
      </c>
      <c r="H869" s="11">
        <v>4300</v>
      </c>
      <c r="I869" s="1">
        <v>72.099999999999994</v>
      </c>
      <c r="J869" s="11">
        <v>1000</v>
      </c>
      <c r="K869" s="11">
        <v>99</v>
      </c>
      <c r="L869" s="11">
        <v>850</v>
      </c>
      <c r="M869" s="22">
        <v>0.92</v>
      </c>
      <c r="N869" s="3" t="str">
        <f>IF(Table1[[#This Row],[Exchange_Rate]]&lt;5,"Strong Currency", IF(Table1[[#This Row],[Exchange_Rate]]&lt;=1000, "Medium Currency","Weak Currency"))</f>
        <v>Strong Currency</v>
      </c>
      <c r="O869" s="11">
        <f>(Table1[[#This Row],[Living_Cost_Index]]/123.3)*1850</f>
        <v>1081.7923763179238</v>
      </c>
      <c r="P869" s="11">
        <f>Table1[[#This Row],[Monthly_Estimated_Living_cost]]*12</f>
        <v>12981.508515815085</v>
      </c>
      <c r="Q869" s="13">
        <f>Table1[[#This Row],[Tuition_USD]]+Table1[[#This Row],[Rent_USD]]+Table1[[#This Row],[Insurance_USD]]+Table1[[#This Row],[Visa_Fee_USD]]+Table1[[#This Row],[Annual_Estimated_Living_cost]]</f>
        <v>19230.508515815083</v>
      </c>
    </row>
    <row r="870" spans="1:17" x14ac:dyDescent="0.25">
      <c r="A870" s="2" t="s">
        <v>167</v>
      </c>
      <c r="B870" s="1" t="s">
        <v>1324</v>
      </c>
      <c r="C870" s="1" t="s">
        <v>1325</v>
      </c>
      <c r="D870" s="1" t="s">
        <v>15</v>
      </c>
      <c r="E870" s="1" t="s">
        <v>16</v>
      </c>
      <c r="F870" s="1">
        <v>2</v>
      </c>
      <c r="G870" s="1" t="str">
        <f>CONCATENATE(Table1[[#This Row],[Duration_Years]]," ","years")</f>
        <v>2 years</v>
      </c>
      <c r="H870" s="11">
        <v>7000</v>
      </c>
      <c r="I870" s="1">
        <v>49.5</v>
      </c>
      <c r="J870" s="11">
        <v>380</v>
      </c>
      <c r="K870" s="11">
        <v>120</v>
      </c>
      <c r="L870" s="11">
        <v>400</v>
      </c>
      <c r="M870" s="22">
        <v>4.6500000000000004</v>
      </c>
      <c r="N870" s="3" t="str">
        <f>IF(Table1[[#This Row],[Exchange_Rate]]&lt;5,"Strong Currency", IF(Table1[[#This Row],[Exchange_Rate]]&lt;=1000, "Medium Currency","Weak Currency"))</f>
        <v>Strong Currency</v>
      </c>
      <c r="O870" s="11">
        <f>(Table1[[#This Row],[Living_Cost_Index]]/123.3)*1850</f>
        <v>742.70072992700727</v>
      </c>
      <c r="P870" s="11">
        <f>Table1[[#This Row],[Monthly_Estimated_Living_cost]]*12</f>
        <v>8912.4087591240877</v>
      </c>
      <c r="Q870" s="13">
        <f>Table1[[#This Row],[Tuition_USD]]+Table1[[#This Row],[Rent_USD]]+Table1[[#This Row],[Insurance_USD]]+Table1[[#This Row],[Visa_Fee_USD]]+Table1[[#This Row],[Annual_Estimated_Living_cost]]</f>
        <v>16812.40875912409</v>
      </c>
    </row>
    <row r="871" spans="1:17" x14ac:dyDescent="0.25">
      <c r="A871" s="2" t="s">
        <v>375</v>
      </c>
      <c r="B871" s="1" t="s">
        <v>1326</v>
      </c>
      <c r="C871" s="1" t="s">
        <v>1327</v>
      </c>
      <c r="D871" s="1" t="s">
        <v>241</v>
      </c>
      <c r="E871" s="1" t="s">
        <v>75</v>
      </c>
      <c r="F871" s="1">
        <v>4</v>
      </c>
      <c r="G871" s="1" t="str">
        <f>CONCATENATE(Table1[[#This Row],[Duration_Years]]," ","years")</f>
        <v>4 years</v>
      </c>
      <c r="H871" s="11">
        <v>4200</v>
      </c>
      <c r="I871" s="1">
        <v>65.400000000000006</v>
      </c>
      <c r="J871" s="11">
        <v>650</v>
      </c>
      <c r="K871" s="11">
        <v>200</v>
      </c>
      <c r="L871" s="11">
        <v>800</v>
      </c>
      <c r="M871" s="22">
        <v>3.75</v>
      </c>
      <c r="N871" s="3" t="str">
        <f>IF(Table1[[#This Row],[Exchange_Rate]]&lt;5,"Strong Currency", IF(Table1[[#This Row],[Exchange_Rate]]&lt;=1000, "Medium Currency","Weak Currency"))</f>
        <v>Strong Currency</v>
      </c>
      <c r="O871" s="11">
        <f>(Table1[[#This Row],[Living_Cost_Index]]/123.3)*1850</f>
        <v>981.26520681265208</v>
      </c>
      <c r="P871" s="11">
        <f>Table1[[#This Row],[Monthly_Estimated_Living_cost]]*12</f>
        <v>11775.182481751825</v>
      </c>
      <c r="Q871" s="13">
        <f>Table1[[#This Row],[Tuition_USD]]+Table1[[#This Row],[Rent_USD]]+Table1[[#This Row],[Insurance_USD]]+Table1[[#This Row],[Visa_Fee_USD]]+Table1[[#This Row],[Annual_Estimated_Living_cost]]</f>
        <v>17625.182481751825</v>
      </c>
    </row>
    <row r="872" spans="1:17" x14ac:dyDescent="0.25">
      <c r="A872" s="2" t="s">
        <v>12</v>
      </c>
      <c r="B872" s="1" t="s">
        <v>123</v>
      </c>
      <c r="C872" s="1" t="s">
        <v>1328</v>
      </c>
      <c r="D872" s="1" t="s">
        <v>136</v>
      </c>
      <c r="E872" s="1" t="s">
        <v>1353</v>
      </c>
      <c r="F872" s="1">
        <v>5</v>
      </c>
      <c r="G872" s="1" t="str">
        <f>CONCATENATE(Table1[[#This Row],[Duration_Years]]," ","years")</f>
        <v>5 years</v>
      </c>
      <c r="H872" s="11">
        <v>56000</v>
      </c>
      <c r="I872" s="1">
        <v>82.1</v>
      </c>
      <c r="J872" s="11">
        <v>2100</v>
      </c>
      <c r="K872" s="11">
        <v>160</v>
      </c>
      <c r="L872" s="11">
        <v>1500</v>
      </c>
      <c r="M872" s="22">
        <v>1</v>
      </c>
      <c r="N872" s="3" t="str">
        <f>IF(Table1[[#This Row],[Exchange_Rate]]&lt;5,"Strong Currency", IF(Table1[[#This Row],[Exchange_Rate]]&lt;=1000, "Medium Currency","Weak Currency"))</f>
        <v>Strong Currency</v>
      </c>
      <c r="O872" s="11">
        <f>(Table1[[#This Row],[Living_Cost_Index]]/123.3)*1850</f>
        <v>1231.8329278183292</v>
      </c>
      <c r="P872" s="11">
        <f>Table1[[#This Row],[Monthly_Estimated_Living_cost]]*12</f>
        <v>14781.99513381995</v>
      </c>
      <c r="Q872" s="13">
        <f>Table1[[#This Row],[Tuition_USD]]+Table1[[#This Row],[Rent_USD]]+Table1[[#This Row],[Insurance_USD]]+Table1[[#This Row],[Visa_Fee_USD]]+Table1[[#This Row],[Annual_Estimated_Living_cost]]</f>
        <v>74541.995133819946</v>
      </c>
    </row>
    <row r="873" spans="1:17" x14ac:dyDescent="0.25">
      <c r="A873" s="2" t="s">
        <v>17</v>
      </c>
      <c r="B873" s="1" t="s">
        <v>529</v>
      </c>
      <c r="C873" s="1" t="s">
        <v>530</v>
      </c>
      <c r="D873" s="1" t="s">
        <v>20</v>
      </c>
      <c r="E873" s="1" t="s">
        <v>16</v>
      </c>
      <c r="F873" s="1">
        <v>2</v>
      </c>
      <c r="G873" s="1" t="str">
        <f>CONCATENATE(Table1[[#This Row],[Duration_Years]]," ","years")</f>
        <v>2 years</v>
      </c>
      <c r="H873" s="11">
        <v>38000</v>
      </c>
      <c r="I873" s="1">
        <v>67.8</v>
      </c>
      <c r="J873" s="11">
        <v>1100</v>
      </c>
      <c r="K873" s="11">
        <v>485</v>
      </c>
      <c r="L873" s="11">
        <v>800</v>
      </c>
      <c r="M873" s="22">
        <v>0.79</v>
      </c>
      <c r="N873" s="3" t="str">
        <f>IF(Table1[[#This Row],[Exchange_Rate]]&lt;5,"Strong Currency", IF(Table1[[#This Row],[Exchange_Rate]]&lt;=1000, "Medium Currency","Weak Currency"))</f>
        <v>Strong Currency</v>
      </c>
      <c r="O873" s="11">
        <f>(Table1[[#This Row],[Living_Cost_Index]]/123.3)*1850</f>
        <v>1017.2749391727493</v>
      </c>
      <c r="P873" s="11">
        <f>Table1[[#This Row],[Monthly_Estimated_Living_cost]]*12</f>
        <v>12207.299270072992</v>
      </c>
      <c r="Q873" s="13">
        <f>Table1[[#This Row],[Tuition_USD]]+Table1[[#This Row],[Rent_USD]]+Table1[[#This Row],[Insurance_USD]]+Table1[[#This Row],[Visa_Fee_USD]]+Table1[[#This Row],[Annual_Estimated_Living_cost]]</f>
        <v>52592.299270072996</v>
      </c>
    </row>
    <row r="874" spans="1:17" x14ac:dyDescent="0.25">
      <c r="A874" s="2" t="s">
        <v>183</v>
      </c>
      <c r="B874" s="1" t="s">
        <v>793</v>
      </c>
      <c r="C874" s="1" t="s">
        <v>794</v>
      </c>
      <c r="D874" s="1" t="s">
        <v>63</v>
      </c>
      <c r="E874" s="1" t="s">
        <v>16</v>
      </c>
      <c r="F874" s="1">
        <v>2</v>
      </c>
      <c r="G874" s="1" t="str">
        <f>CONCATENATE(Table1[[#This Row],[Duration_Years]]," ","years")</f>
        <v>2 years</v>
      </c>
      <c r="H874" s="11">
        <v>3000</v>
      </c>
      <c r="I874" s="1">
        <v>65.400000000000006</v>
      </c>
      <c r="J874" s="11">
        <v>750</v>
      </c>
      <c r="K874" s="11">
        <v>80</v>
      </c>
      <c r="L874" s="11">
        <v>750</v>
      </c>
      <c r="M874" s="22">
        <v>0.92</v>
      </c>
      <c r="N874" s="3" t="str">
        <f>IF(Table1[[#This Row],[Exchange_Rate]]&lt;5,"Strong Currency", IF(Table1[[#This Row],[Exchange_Rate]]&lt;=1000, "Medium Currency","Weak Currency"))</f>
        <v>Strong Currency</v>
      </c>
      <c r="O874" s="11">
        <f>(Table1[[#This Row],[Living_Cost_Index]]/123.3)*1850</f>
        <v>981.26520681265208</v>
      </c>
      <c r="P874" s="11">
        <f>Table1[[#This Row],[Monthly_Estimated_Living_cost]]*12</f>
        <v>11775.182481751825</v>
      </c>
      <c r="Q874" s="13">
        <f>Table1[[#This Row],[Tuition_USD]]+Table1[[#This Row],[Rent_USD]]+Table1[[#This Row],[Insurance_USD]]+Table1[[#This Row],[Visa_Fee_USD]]+Table1[[#This Row],[Annual_Estimated_Living_cost]]</f>
        <v>16355.182481751825</v>
      </c>
    </row>
    <row r="875" spans="1:17" x14ac:dyDescent="0.25">
      <c r="A875" s="2" t="s">
        <v>186</v>
      </c>
      <c r="B875" s="1" t="s">
        <v>795</v>
      </c>
      <c r="C875" s="1" t="s">
        <v>796</v>
      </c>
      <c r="D875" s="1" t="s">
        <v>215</v>
      </c>
      <c r="E875" s="1" t="s">
        <v>1353</v>
      </c>
      <c r="F875" s="1">
        <v>4</v>
      </c>
      <c r="G875" s="1" t="str">
        <f>CONCATENATE(Table1[[#This Row],[Duration_Years]]," ","years")</f>
        <v>4 years</v>
      </c>
      <c r="H875" s="11">
        <v>3600</v>
      </c>
      <c r="I875" s="1">
        <v>70.5</v>
      </c>
      <c r="J875" s="11">
        <v>950</v>
      </c>
      <c r="K875" s="11">
        <v>120</v>
      </c>
      <c r="L875" s="11">
        <v>700</v>
      </c>
      <c r="M875" s="22">
        <v>0.92</v>
      </c>
      <c r="N875" s="3" t="str">
        <f>IF(Table1[[#This Row],[Exchange_Rate]]&lt;5,"Strong Currency", IF(Table1[[#This Row],[Exchange_Rate]]&lt;=1000, "Medium Currency","Weak Currency"))</f>
        <v>Strong Currency</v>
      </c>
      <c r="O875" s="11">
        <f>(Table1[[#This Row],[Living_Cost_Index]]/123.3)*1850</f>
        <v>1057.7858880778588</v>
      </c>
      <c r="P875" s="11">
        <f>Table1[[#This Row],[Monthly_Estimated_Living_cost]]*12</f>
        <v>12693.430656934306</v>
      </c>
      <c r="Q875" s="13">
        <f>Table1[[#This Row],[Tuition_USD]]+Table1[[#This Row],[Rent_USD]]+Table1[[#This Row],[Insurance_USD]]+Table1[[#This Row],[Visa_Fee_USD]]+Table1[[#This Row],[Annual_Estimated_Living_cost]]</f>
        <v>18063.430656934306</v>
      </c>
    </row>
    <row r="876" spans="1:17" x14ac:dyDescent="0.25">
      <c r="A876" s="2" t="s">
        <v>44</v>
      </c>
      <c r="B876" s="1" t="s">
        <v>1329</v>
      </c>
      <c r="C876" s="1" t="s">
        <v>1330</v>
      </c>
      <c r="D876" s="1" t="s">
        <v>40</v>
      </c>
      <c r="E876" s="1" t="s">
        <v>16</v>
      </c>
      <c r="F876" s="1">
        <v>2</v>
      </c>
      <c r="G876" s="1" t="str">
        <f>CONCATENATE(Table1[[#This Row],[Duration_Years]]," ","years")</f>
        <v>2 years</v>
      </c>
      <c r="H876" s="11">
        <v>4100</v>
      </c>
      <c r="I876" s="1">
        <v>73.5</v>
      </c>
      <c r="J876" s="11">
        <v>1100</v>
      </c>
      <c r="K876" s="11">
        <v>99</v>
      </c>
      <c r="L876" s="11">
        <v>850</v>
      </c>
      <c r="M876" s="22">
        <v>0.92</v>
      </c>
      <c r="N876" s="3" t="str">
        <f>IF(Table1[[#This Row],[Exchange_Rate]]&lt;5,"Strong Currency", IF(Table1[[#This Row],[Exchange_Rate]]&lt;=1000, "Medium Currency","Weak Currency"))</f>
        <v>Strong Currency</v>
      </c>
      <c r="O876" s="11">
        <f>(Table1[[#This Row],[Living_Cost_Index]]/123.3)*1850</f>
        <v>1102.7980535279805</v>
      </c>
      <c r="P876" s="11">
        <f>Table1[[#This Row],[Monthly_Estimated_Living_cost]]*12</f>
        <v>13233.576642335767</v>
      </c>
      <c r="Q876" s="13">
        <f>Table1[[#This Row],[Tuition_USD]]+Table1[[#This Row],[Rent_USD]]+Table1[[#This Row],[Insurance_USD]]+Table1[[#This Row],[Visa_Fee_USD]]+Table1[[#This Row],[Annual_Estimated_Living_cost]]</f>
        <v>19382.576642335767</v>
      </c>
    </row>
    <row r="877" spans="1:17" x14ac:dyDescent="0.25">
      <c r="A877" s="2" t="s">
        <v>167</v>
      </c>
      <c r="B877" s="1" t="s">
        <v>1331</v>
      </c>
      <c r="C877" s="1" t="s">
        <v>1332</v>
      </c>
      <c r="D877" s="1" t="s">
        <v>71</v>
      </c>
      <c r="E877" s="1" t="s">
        <v>75</v>
      </c>
      <c r="F877" s="1">
        <v>3</v>
      </c>
      <c r="G877" s="1" t="str">
        <f>CONCATENATE(Table1[[#This Row],[Duration_Years]]," ","years")</f>
        <v>3 years</v>
      </c>
      <c r="H877" s="11">
        <v>7800</v>
      </c>
      <c r="I877" s="1">
        <v>53.2</v>
      </c>
      <c r="J877" s="11">
        <v>450</v>
      </c>
      <c r="K877" s="11">
        <v>120</v>
      </c>
      <c r="L877" s="11">
        <v>400</v>
      </c>
      <c r="M877" s="22">
        <v>4.6500000000000004</v>
      </c>
      <c r="N877" s="3" t="str">
        <f>IF(Table1[[#This Row],[Exchange_Rate]]&lt;5,"Strong Currency", IF(Table1[[#This Row],[Exchange_Rate]]&lt;=1000, "Medium Currency","Weak Currency"))</f>
        <v>Strong Currency</v>
      </c>
      <c r="O877" s="11">
        <f>(Table1[[#This Row],[Living_Cost_Index]]/123.3)*1850</f>
        <v>798.2157339821573</v>
      </c>
      <c r="P877" s="11">
        <f>Table1[[#This Row],[Monthly_Estimated_Living_cost]]*12</f>
        <v>9578.5888077858872</v>
      </c>
      <c r="Q877" s="13">
        <f>Table1[[#This Row],[Tuition_USD]]+Table1[[#This Row],[Rent_USD]]+Table1[[#This Row],[Insurance_USD]]+Table1[[#This Row],[Visa_Fee_USD]]+Table1[[#This Row],[Annual_Estimated_Living_cost]]</f>
        <v>18348.588807785887</v>
      </c>
    </row>
    <row r="878" spans="1:17" x14ac:dyDescent="0.25">
      <c r="A878" s="2" t="s">
        <v>375</v>
      </c>
      <c r="B878" s="1" t="s">
        <v>1333</v>
      </c>
      <c r="C878" s="1" t="s">
        <v>1334</v>
      </c>
      <c r="D878" s="1" t="s">
        <v>15</v>
      </c>
      <c r="E878" s="1" t="s">
        <v>16</v>
      </c>
      <c r="F878" s="1">
        <v>2</v>
      </c>
      <c r="G878" s="1" t="str">
        <f>CONCATENATE(Table1[[#This Row],[Duration_Years]]," ","years")</f>
        <v>2 years</v>
      </c>
      <c r="H878" s="11">
        <v>4600</v>
      </c>
      <c r="I878" s="1">
        <v>67.8</v>
      </c>
      <c r="J878" s="11">
        <v>680</v>
      </c>
      <c r="K878" s="11">
        <v>200</v>
      </c>
      <c r="L878" s="11">
        <v>800</v>
      </c>
      <c r="M878" s="22">
        <v>3.75</v>
      </c>
      <c r="N878" s="3" t="str">
        <f>IF(Table1[[#This Row],[Exchange_Rate]]&lt;5,"Strong Currency", IF(Table1[[#This Row],[Exchange_Rate]]&lt;=1000, "Medium Currency","Weak Currency"))</f>
        <v>Strong Currency</v>
      </c>
      <c r="O878" s="11">
        <f>(Table1[[#This Row],[Living_Cost_Index]]/123.3)*1850</f>
        <v>1017.2749391727493</v>
      </c>
      <c r="P878" s="11">
        <f>Table1[[#This Row],[Monthly_Estimated_Living_cost]]*12</f>
        <v>12207.299270072992</v>
      </c>
      <c r="Q878" s="13">
        <f>Table1[[#This Row],[Tuition_USD]]+Table1[[#This Row],[Rent_USD]]+Table1[[#This Row],[Insurance_USD]]+Table1[[#This Row],[Visa_Fee_USD]]+Table1[[#This Row],[Annual_Estimated_Living_cost]]</f>
        <v>18487.299270072992</v>
      </c>
    </row>
    <row r="879" spans="1:17" x14ac:dyDescent="0.25">
      <c r="A879" s="2" t="s">
        <v>12</v>
      </c>
      <c r="B879" s="1" t="s">
        <v>357</v>
      </c>
      <c r="C879" s="1" t="s">
        <v>358</v>
      </c>
      <c r="D879" s="1" t="s">
        <v>20</v>
      </c>
      <c r="E879" s="1" t="s">
        <v>16</v>
      </c>
      <c r="F879" s="1">
        <v>2</v>
      </c>
      <c r="G879" s="1" t="str">
        <f>CONCATENATE(Table1[[#This Row],[Duration_Years]]," ","years")</f>
        <v>2 years</v>
      </c>
      <c r="H879" s="11">
        <v>62000</v>
      </c>
      <c r="I879" s="1">
        <v>100</v>
      </c>
      <c r="J879" s="11">
        <v>2500</v>
      </c>
      <c r="K879" s="11">
        <v>160</v>
      </c>
      <c r="L879" s="11">
        <v>1500</v>
      </c>
      <c r="M879" s="22">
        <v>1</v>
      </c>
      <c r="N879" s="3" t="str">
        <f>IF(Table1[[#This Row],[Exchange_Rate]]&lt;5,"Strong Currency", IF(Table1[[#This Row],[Exchange_Rate]]&lt;=1000, "Medium Currency","Weak Currency"))</f>
        <v>Strong Currency</v>
      </c>
      <c r="O879" s="11">
        <f>(Table1[[#This Row],[Living_Cost_Index]]/123.3)*1850</f>
        <v>1500.4055150040551</v>
      </c>
      <c r="P879" s="11">
        <f>Table1[[#This Row],[Monthly_Estimated_Living_cost]]*12</f>
        <v>18004.866180048662</v>
      </c>
      <c r="Q879" s="13">
        <f>Table1[[#This Row],[Tuition_USD]]+Table1[[#This Row],[Rent_USD]]+Table1[[#This Row],[Insurance_USD]]+Table1[[#This Row],[Visa_Fee_USD]]+Table1[[#This Row],[Annual_Estimated_Living_cost]]</f>
        <v>84164.866180048659</v>
      </c>
    </row>
    <row r="880" spans="1:17" x14ac:dyDescent="0.25">
      <c r="A880" s="2" t="s">
        <v>17</v>
      </c>
      <c r="B880" s="1" t="s">
        <v>172</v>
      </c>
      <c r="C880" s="1" t="s">
        <v>173</v>
      </c>
      <c r="D880" s="1" t="s">
        <v>207</v>
      </c>
      <c r="E880" s="1" t="s">
        <v>1353</v>
      </c>
      <c r="F880" s="1">
        <v>4</v>
      </c>
      <c r="G880" s="1" t="str">
        <f>CONCATENATE(Table1[[#This Row],[Duration_Years]]," ","years")</f>
        <v>4 years</v>
      </c>
      <c r="H880" s="11">
        <v>35000</v>
      </c>
      <c r="I880" s="1">
        <v>65.400000000000006</v>
      </c>
      <c r="J880" s="11">
        <v>900</v>
      </c>
      <c r="K880" s="11">
        <v>485</v>
      </c>
      <c r="L880" s="11">
        <v>800</v>
      </c>
      <c r="M880" s="22">
        <v>0.79</v>
      </c>
      <c r="N880" s="3" t="str">
        <f>IF(Table1[[#This Row],[Exchange_Rate]]&lt;5,"Strong Currency", IF(Table1[[#This Row],[Exchange_Rate]]&lt;=1000, "Medium Currency","Weak Currency"))</f>
        <v>Strong Currency</v>
      </c>
      <c r="O880" s="11">
        <f>(Table1[[#This Row],[Living_Cost_Index]]/123.3)*1850</f>
        <v>981.26520681265208</v>
      </c>
      <c r="P880" s="11">
        <f>Table1[[#This Row],[Monthly_Estimated_Living_cost]]*12</f>
        <v>11775.182481751825</v>
      </c>
      <c r="Q880" s="13">
        <f>Table1[[#This Row],[Tuition_USD]]+Table1[[#This Row],[Rent_USD]]+Table1[[#This Row],[Insurance_USD]]+Table1[[#This Row],[Visa_Fee_USD]]+Table1[[#This Row],[Annual_Estimated_Living_cost]]</f>
        <v>48960.182481751821</v>
      </c>
    </row>
    <row r="881" spans="1:17" x14ac:dyDescent="0.25">
      <c r="A881" s="2" t="s">
        <v>183</v>
      </c>
      <c r="B881" s="1" t="s">
        <v>813</v>
      </c>
      <c r="C881" s="1" t="s">
        <v>1335</v>
      </c>
      <c r="D881" s="1" t="s">
        <v>15</v>
      </c>
      <c r="E881" s="1" t="s">
        <v>75</v>
      </c>
      <c r="F881" s="1">
        <v>3</v>
      </c>
      <c r="G881" s="1" t="str">
        <f>CONCATENATE(Table1[[#This Row],[Duration_Years]]," ","years")</f>
        <v>3 years</v>
      </c>
      <c r="H881" s="11">
        <v>2800</v>
      </c>
      <c r="I881" s="1">
        <v>64.5</v>
      </c>
      <c r="J881" s="11">
        <v>700</v>
      </c>
      <c r="K881" s="11">
        <v>80</v>
      </c>
      <c r="L881" s="11">
        <v>750</v>
      </c>
      <c r="M881" s="22">
        <v>0.92</v>
      </c>
      <c r="N881" s="3" t="str">
        <f>IF(Table1[[#This Row],[Exchange_Rate]]&lt;5,"Strong Currency", IF(Table1[[#This Row],[Exchange_Rate]]&lt;=1000, "Medium Currency","Weak Currency"))</f>
        <v>Strong Currency</v>
      </c>
      <c r="O881" s="11">
        <f>(Table1[[#This Row],[Living_Cost_Index]]/123.3)*1850</f>
        <v>967.7615571776156</v>
      </c>
      <c r="P881" s="11">
        <f>Table1[[#This Row],[Monthly_Estimated_Living_cost]]*12</f>
        <v>11613.138686131388</v>
      </c>
      <c r="Q881" s="13">
        <f>Table1[[#This Row],[Tuition_USD]]+Table1[[#This Row],[Rent_USD]]+Table1[[#This Row],[Insurance_USD]]+Table1[[#This Row],[Visa_Fee_USD]]+Table1[[#This Row],[Annual_Estimated_Living_cost]]</f>
        <v>15943.138686131388</v>
      </c>
    </row>
    <row r="882" spans="1:17" x14ac:dyDescent="0.25">
      <c r="A882" s="2" t="s">
        <v>186</v>
      </c>
      <c r="B882" s="1" t="s">
        <v>805</v>
      </c>
      <c r="C882" s="1" t="s">
        <v>806</v>
      </c>
      <c r="D882" s="1" t="s">
        <v>251</v>
      </c>
      <c r="E882" s="1" t="s">
        <v>16</v>
      </c>
      <c r="F882" s="1">
        <v>2</v>
      </c>
      <c r="G882" s="1" t="str">
        <f>CONCATENATE(Table1[[#This Row],[Duration_Years]]," ","years")</f>
        <v>2 years</v>
      </c>
      <c r="H882" s="11">
        <v>3500</v>
      </c>
      <c r="I882" s="1">
        <v>71.2</v>
      </c>
      <c r="J882" s="11">
        <v>1000</v>
      </c>
      <c r="K882" s="11">
        <v>120</v>
      </c>
      <c r="L882" s="11">
        <v>700</v>
      </c>
      <c r="M882" s="22">
        <v>0.92</v>
      </c>
      <c r="N882" s="3" t="str">
        <f>IF(Table1[[#This Row],[Exchange_Rate]]&lt;5,"Strong Currency", IF(Table1[[#This Row],[Exchange_Rate]]&lt;=1000, "Medium Currency","Weak Currency"))</f>
        <v>Strong Currency</v>
      </c>
      <c r="O882" s="11">
        <f>(Table1[[#This Row],[Living_Cost_Index]]/123.3)*1850</f>
        <v>1068.2887266828873</v>
      </c>
      <c r="P882" s="11">
        <f>Table1[[#This Row],[Monthly_Estimated_Living_cost]]*12</f>
        <v>12819.464720194646</v>
      </c>
      <c r="Q882" s="13">
        <f>Table1[[#This Row],[Tuition_USD]]+Table1[[#This Row],[Rent_USD]]+Table1[[#This Row],[Insurance_USD]]+Table1[[#This Row],[Visa_Fee_USD]]+Table1[[#This Row],[Annual_Estimated_Living_cost]]</f>
        <v>18139.464720194646</v>
      </c>
    </row>
    <row r="883" spans="1:17" x14ac:dyDescent="0.25">
      <c r="A883" s="2" t="s">
        <v>44</v>
      </c>
      <c r="B883" s="1" t="s">
        <v>426</v>
      </c>
      <c r="C883" s="1" t="s">
        <v>427</v>
      </c>
      <c r="D883" s="1" t="s">
        <v>215</v>
      </c>
      <c r="E883" s="1" t="s">
        <v>1353</v>
      </c>
      <c r="F883" s="1">
        <v>4</v>
      </c>
      <c r="G883" s="1" t="str">
        <f>CONCATENATE(Table1[[#This Row],[Duration_Years]]," ","years")</f>
        <v>4 years</v>
      </c>
      <c r="H883" s="11">
        <v>4300</v>
      </c>
      <c r="I883" s="1">
        <v>72.099999999999994</v>
      </c>
      <c r="J883" s="11">
        <v>1000</v>
      </c>
      <c r="K883" s="11">
        <v>99</v>
      </c>
      <c r="L883" s="11">
        <v>850</v>
      </c>
      <c r="M883" s="22">
        <v>0.92</v>
      </c>
      <c r="N883" s="3" t="str">
        <f>IF(Table1[[#This Row],[Exchange_Rate]]&lt;5,"Strong Currency", IF(Table1[[#This Row],[Exchange_Rate]]&lt;=1000, "Medium Currency","Weak Currency"))</f>
        <v>Strong Currency</v>
      </c>
      <c r="O883" s="11">
        <f>(Table1[[#This Row],[Living_Cost_Index]]/123.3)*1850</f>
        <v>1081.7923763179238</v>
      </c>
      <c r="P883" s="11">
        <f>Table1[[#This Row],[Monthly_Estimated_Living_cost]]*12</f>
        <v>12981.508515815085</v>
      </c>
      <c r="Q883" s="13">
        <f>Table1[[#This Row],[Tuition_USD]]+Table1[[#This Row],[Rent_USD]]+Table1[[#This Row],[Insurance_USD]]+Table1[[#This Row],[Visa_Fee_USD]]+Table1[[#This Row],[Annual_Estimated_Living_cost]]</f>
        <v>19230.508515815083</v>
      </c>
    </row>
    <row r="884" spans="1:17" x14ac:dyDescent="0.25">
      <c r="A884" s="2" t="s">
        <v>167</v>
      </c>
      <c r="B884" s="1" t="s">
        <v>1336</v>
      </c>
      <c r="C884" s="1" t="s">
        <v>1337</v>
      </c>
      <c r="D884" s="1" t="s">
        <v>40</v>
      </c>
      <c r="E884" s="1" t="s">
        <v>16</v>
      </c>
      <c r="F884" s="1">
        <v>2</v>
      </c>
      <c r="G884" s="1" t="str">
        <f>CONCATENATE(Table1[[#This Row],[Duration_Years]]," ","years")</f>
        <v>2 years</v>
      </c>
      <c r="H884" s="11">
        <v>7200</v>
      </c>
      <c r="I884" s="1">
        <v>51.5</v>
      </c>
      <c r="J884" s="11">
        <v>420</v>
      </c>
      <c r="K884" s="11">
        <v>120</v>
      </c>
      <c r="L884" s="11">
        <v>400</v>
      </c>
      <c r="M884" s="22">
        <v>4.6500000000000004</v>
      </c>
      <c r="N884" s="3" t="str">
        <f>IF(Table1[[#This Row],[Exchange_Rate]]&lt;5,"Strong Currency", IF(Table1[[#This Row],[Exchange_Rate]]&lt;=1000, "Medium Currency","Weak Currency"))</f>
        <v>Strong Currency</v>
      </c>
      <c r="O884" s="11">
        <f>(Table1[[#This Row],[Living_Cost_Index]]/123.3)*1850</f>
        <v>772.70884022708844</v>
      </c>
      <c r="P884" s="11">
        <f>Table1[[#This Row],[Monthly_Estimated_Living_cost]]*12</f>
        <v>9272.5060827250618</v>
      </c>
      <c r="Q884" s="13">
        <f>Table1[[#This Row],[Tuition_USD]]+Table1[[#This Row],[Rent_USD]]+Table1[[#This Row],[Insurance_USD]]+Table1[[#This Row],[Visa_Fee_USD]]+Table1[[#This Row],[Annual_Estimated_Living_cost]]</f>
        <v>17412.506082725064</v>
      </c>
    </row>
    <row r="885" spans="1:17" x14ac:dyDescent="0.25">
      <c r="A885" s="2" t="s">
        <v>375</v>
      </c>
      <c r="B885" s="1" t="s">
        <v>1338</v>
      </c>
      <c r="C885" s="1" t="s">
        <v>1339</v>
      </c>
      <c r="D885" s="1" t="s">
        <v>241</v>
      </c>
      <c r="E885" s="1" t="s">
        <v>16</v>
      </c>
      <c r="F885" s="1">
        <v>2</v>
      </c>
      <c r="G885" s="1" t="str">
        <f>CONCATENATE(Table1[[#This Row],[Duration_Years]]," ","years")</f>
        <v>2 years</v>
      </c>
      <c r="H885" s="11">
        <v>4400</v>
      </c>
      <c r="I885" s="1">
        <v>64.5</v>
      </c>
      <c r="J885" s="11">
        <v>600</v>
      </c>
      <c r="K885" s="11">
        <v>200</v>
      </c>
      <c r="L885" s="11">
        <v>800</v>
      </c>
      <c r="M885" s="22">
        <v>3.75</v>
      </c>
      <c r="N885" s="3" t="str">
        <f>IF(Table1[[#This Row],[Exchange_Rate]]&lt;5,"Strong Currency", IF(Table1[[#This Row],[Exchange_Rate]]&lt;=1000, "Medium Currency","Weak Currency"))</f>
        <v>Strong Currency</v>
      </c>
      <c r="O885" s="11">
        <f>(Table1[[#This Row],[Living_Cost_Index]]/123.3)*1850</f>
        <v>967.7615571776156</v>
      </c>
      <c r="P885" s="11">
        <f>Table1[[#This Row],[Monthly_Estimated_Living_cost]]*12</f>
        <v>11613.138686131388</v>
      </c>
      <c r="Q885" s="13">
        <f>Table1[[#This Row],[Tuition_USD]]+Table1[[#This Row],[Rent_USD]]+Table1[[#This Row],[Insurance_USD]]+Table1[[#This Row],[Visa_Fee_USD]]+Table1[[#This Row],[Annual_Estimated_Living_cost]]</f>
        <v>17613.138686131388</v>
      </c>
    </row>
    <row r="886" spans="1:17" x14ac:dyDescent="0.25">
      <c r="A886" s="2" t="s">
        <v>12</v>
      </c>
      <c r="B886" s="1" t="s">
        <v>510</v>
      </c>
      <c r="C886" s="1" t="s">
        <v>511</v>
      </c>
      <c r="D886" s="1" t="s">
        <v>63</v>
      </c>
      <c r="E886" s="1" t="s">
        <v>1353</v>
      </c>
      <c r="F886" s="1">
        <v>5</v>
      </c>
      <c r="G886" s="1" t="str">
        <f>CONCATENATE(Table1[[#This Row],[Duration_Years]]," ","years")</f>
        <v>5 years</v>
      </c>
      <c r="H886" s="11">
        <v>52000</v>
      </c>
      <c r="I886" s="1">
        <v>79.8</v>
      </c>
      <c r="J886" s="11">
        <v>2200</v>
      </c>
      <c r="K886" s="11">
        <v>160</v>
      </c>
      <c r="L886" s="11">
        <v>1500</v>
      </c>
      <c r="M886" s="22">
        <v>1</v>
      </c>
      <c r="N886" s="3" t="str">
        <f>IF(Table1[[#This Row],[Exchange_Rate]]&lt;5,"Strong Currency", IF(Table1[[#This Row],[Exchange_Rate]]&lt;=1000, "Medium Currency","Weak Currency"))</f>
        <v>Strong Currency</v>
      </c>
      <c r="O886" s="11">
        <f>(Table1[[#This Row],[Living_Cost_Index]]/123.3)*1850</f>
        <v>1197.3236009732359</v>
      </c>
      <c r="P886" s="11">
        <f>Table1[[#This Row],[Monthly_Estimated_Living_cost]]*12</f>
        <v>14367.883211678831</v>
      </c>
      <c r="Q886" s="13">
        <f>Table1[[#This Row],[Tuition_USD]]+Table1[[#This Row],[Rent_USD]]+Table1[[#This Row],[Insurance_USD]]+Table1[[#This Row],[Visa_Fee_USD]]+Table1[[#This Row],[Annual_Estimated_Living_cost]]</f>
        <v>70227.883211678825</v>
      </c>
    </row>
    <row r="887" spans="1:17" x14ac:dyDescent="0.25">
      <c r="A887" s="2" t="s">
        <v>17</v>
      </c>
      <c r="B887" s="1" t="s">
        <v>97</v>
      </c>
      <c r="C887" s="1" t="s">
        <v>98</v>
      </c>
      <c r="D887" s="1" t="s">
        <v>71</v>
      </c>
      <c r="E887" s="1" t="s">
        <v>16</v>
      </c>
      <c r="F887" s="1">
        <v>2</v>
      </c>
      <c r="G887" s="1" t="str">
        <f>CONCATENATE(Table1[[#This Row],[Duration_Years]]," ","years")</f>
        <v>2 years</v>
      </c>
      <c r="H887" s="11">
        <v>36000</v>
      </c>
      <c r="I887" s="1">
        <v>68.900000000000006</v>
      </c>
      <c r="J887" s="11">
        <v>1200</v>
      </c>
      <c r="K887" s="11">
        <v>485</v>
      </c>
      <c r="L887" s="11">
        <v>800</v>
      </c>
      <c r="M887" s="22">
        <v>0.79</v>
      </c>
      <c r="N887" s="3" t="str">
        <f>IF(Table1[[#This Row],[Exchange_Rate]]&lt;5,"Strong Currency", IF(Table1[[#This Row],[Exchange_Rate]]&lt;=1000, "Medium Currency","Weak Currency"))</f>
        <v>Strong Currency</v>
      </c>
      <c r="O887" s="11">
        <f>(Table1[[#This Row],[Living_Cost_Index]]/123.3)*1850</f>
        <v>1033.779399837794</v>
      </c>
      <c r="P887" s="11">
        <f>Table1[[#This Row],[Monthly_Estimated_Living_cost]]*12</f>
        <v>12405.352798053529</v>
      </c>
      <c r="Q887" s="13">
        <f>Table1[[#This Row],[Tuition_USD]]+Table1[[#This Row],[Rent_USD]]+Table1[[#This Row],[Insurance_USD]]+Table1[[#This Row],[Visa_Fee_USD]]+Table1[[#This Row],[Annual_Estimated_Living_cost]]</f>
        <v>50890.352798053529</v>
      </c>
    </row>
    <row r="888" spans="1:17" x14ac:dyDescent="0.25">
      <c r="A888" s="2" t="s">
        <v>183</v>
      </c>
      <c r="B888" s="1" t="s">
        <v>803</v>
      </c>
      <c r="C888" s="1" t="s">
        <v>804</v>
      </c>
      <c r="D888" s="1" t="s">
        <v>222</v>
      </c>
      <c r="E888" s="1" t="s">
        <v>16</v>
      </c>
      <c r="F888" s="1">
        <v>2</v>
      </c>
      <c r="G888" s="1" t="str">
        <f>CONCATENATE(Table1[[#This Row],[Duration_Years]]," ","years")</f>
        <v>2 years</v>
      </c>
      <c r="H888" s="11">
        <v>3400</v>
      </c>
      <c r="I888" s="1">
        <v>67.8</v>
      </c>
      <c r="J888" s="11">
        <v>850</v>
      </c>
      <c r="K888" s="11">
        <v>80</v>
      </c>
      <c r="L888" s="11">
        <v>750</v>
      </c>
      <c r="M888" s="22">
        <v>0.92</v>
      </c>
      <c r="N888" s="3" t="str">
        <f>IF(Table1[[#This Row],[Exchange_Rate]]&lt;5,"Strong Currency", IF(Table1[[#This Row],[Exchange_Rate]]&lt;=1000, "Medium Currency","Weak Currency"))</f>
        <v>Strong Currency</v>
      </c>
      <c r="O888" s="11">
        <f>(Table1[[#This Row],[Living_Cost_Index]]/123.3)*1850</f>
        <v>1017.2749391727493</v>
      </c>
      <c r="P888" s="11">
        <f>Table1[[#This Row],[Monthly_Estimated_Living_cost]]*12</f>
        <v>12207.299270072992</v>
      </c>
      <c r="Q888" s="13">
        <f>Table1[[#This Row],[Tuition_USD]]+Table1[[#This Row],[Rent_USD]]+Table1[[#This Row],[Insurance_USD]]+Table1[[#This Row],[Visa_Fee_USD]]+Table1[[#This Row],[Annual_Estimated_Living_cost]]</f>
        <v>17287.299270072992</v>
      </c>
    </row>
    <row r="889" spans="1:17" x14ac:dyDescent="0.25">
      <c r="A889" s="2" t="s">
        <v>186</v>
      </c>
      <c r="B889" s="1" t="s">
        <v>815</v>
      </c>
      <c r="C889" s="1" t="s">
        <v>816</v>
      </c>
      <c r="D889" s="1" t="s">
        <v>15</v>
      </c>
      <c r="E889" s="1" t="s">
        <v>75</v>
      </c>
      <c r="F889" s="1">
        <v>3</v>
      </c>
      <c r="G889" s="1" t="str">
        <f>CONCATENATE(Table1[[#This Row],[Duration_Years]]," ","years")</f>
        <v>3 years</v>
      </c>
      <c r="H889" s="11">
        <v>3200</v>
      </c>
      <c r="I889" s="1">
        <v>67.8</v>
      </c>
      <c r="J889" s="11">
        <v>800</v>
      </c>
      <c r="K889" s="11">
        <v>120</v>
      </c>
      <c r="L889" s="11">
        <v>700</v>
      </c>
      <c r="M889" s="22">
        <v>0.92</v>
      </c>
      <c r="N889" s="3" t="str">
        <f>IF(Table1[[#This Row],[Exchange_Rate]]&lt;5,"Strong Currency", IF(Table1[[#This Row],[Exchange_Rate]]&lt;=1000, "Medium Currency","Weak Currency"))</f>
        <v>Strong Currency</v>
      </c>
      <c r="O889" s="11">
        <f>(Table1[[#This Row],[Living_Cost_Index]]/123.3)*1850</f>
        <v>1017.2749391727493</v>
      </c>
      <c r="P889" s="11">
        <f>Table1[[#This Row],[Monthly_Estimated_Living_cost]]*12</f>
        <v>12207.299270072992</v>
      </c>
      <c r="Q889" s="13">
        <f>Table1[[#This Row],[Tuition_USD]]+Table1[[#This Row],[Rent_USD]]+Table1[[#This Row],[Insurance_USD]]+Table1[[#This Row],[Visa_Fee_USD]]+Table1[[#This Row],[Annual_Estimated_Living_cost]]</f>
        <v>17027.299270072992</v>
      </c>
    </row>
    <row r="890" spans="1:17" x14ac:dyDescent="0.25">
      <c r="A890" s="2" t="s">
        <v>44</v>
      </c>
      <c r="B890" s="1" t="s">
        <v>424</v>
      </c>
      <c r="C890" s="1" t="s">
        <v>649</v>
      </c>
      <c r="D890" s="1" t="s">
        <v>20</v>
      </c>
      <c r="E890" s="1" t="s">
        <v>16</v>
      </c>
      <c r="F890" s="1">
        <v>2</v>
      </c>
      <c r="G890" s="1" t="str">
        <f>CONCATENATE(Table1[[#This Row],[Duration_Years]]," ","years")</f>
        <v>2 years</v>
      </c>
      <c r="H890" s="11">
        <v>4100</v>
      </c>
      <c r="I890" s="1">
        <v>76.5</v>
      </c>
      <c r="J890" s="11">
        <v>1300</v>
      </c>
      <c r="K890" s="11">
        <v>99</v>
      </c>
      <c r="L890" s="11">
        <v>850</v>
      </c>
      <c r="M890" s="22">
        <v>0.92</v>
      </c>
      <c r="N890" s="3" t="str">
        <f>IF(Table1[[#This Row],[Exchange_Rate]]&lt;5,"Strong Currency", IF(Table1[[#This Row],[Exchange_Rate]]&lt;=1000, "Medium Currency","Weak Currency"))</f>
        <v>Strong Currency</v>
      </c>
      <c r="O890" s="11">
        <f>(Table1[[#This Row],[Living_Cost_Index]]/123.3)*1850</f>
        <v>1147.8102189781023</v>
      </c>
      <c r="P890" s="11">
        <f>Table1[[#This Row],[Monthly_Estimated_Living_cost]]*12</f>
        <v>13773.722627737228</v>
      </c>
      <c r="Q890" s="13">
        <f>Table1[[#This Row],[Tuition_USD]]+Table1[[#This Row],[Rent_USD]]+Table1[[#This Row],[Insurance_USD]]+Table1[[#This Row],[Visa_Fee_USD]]+Table1[[#This Row],[Annual_Estimated_Living_cost]]</f>
        <v>20122.722627737228</v>
      </c>
    </row>
    <row r="891" spans="1:17" x14ac:dyDescent="0.25">
      <c r="A891" s="2" t="s">
        <v>167</v>
      </c>
      <c r="B891" s="1" t="s">
        <v>1340</v>
      </c>
      <c r="C891" s="1" t="s">
        <v>1341</v>
      </c>
      <c r="D891" s="1" t="s">
        <v>207</v>
      </c>
      <c r="E891" s="1" t="s">
        <v>1353</v>
      </c>
      <c r="F891" s="1">
        <v>4</v>
      </c>
      <c r="G891" s="1" t="str">
        <f>CONCATENATE(Table1[[#This Row],[Duration_Years]]," ","years")</f>
        <v>4 years</v>
      </c>
      <c r="H891" s="11">
        <v>7500</v>
      </c>
      <c r="I891" s="1">
        <v>50.2</v>
      </c>
      <c r="J891" s="11">
        <v>400</v>
      </c>
      <c r="K891" s="11">
        <v>120</v>
      </c>
      <c r="L891" s="11">
        <v>400</v>
      </c>
      <c r="M891" s="22">
        <v>4.6500000000000004</v>
      </c>
      <c r="N891" s="3" t="str">
        <f>IF(Table1[[#This Row],[Exchange_Rate]]&lt;5,"Strong Currency", IF(Table1[[#This Row],[Exchange_Rate]]&lt;=1000, "Medium Currency","Weak Currency"))</f>
        <v>Strong Currency</v>
      </c>
      <c r="O891" s="11">
        <f>(Table1[[#This Row],[Living_Cost_Index]]/123.3)*1850</f>
        <v>753.20356853203577</v>
      </c>
      <c r="P891" s="11">
        <f>Table1[[#This Row],[Monthly_Estimated_Living_cost]]*12</f>
        <v>9038.4428223844297</v>
      </c>
      <c r="Q891" s="13">
        <f>Table1[[#This Row],[Tuition_USD]]+Table1[[#This Row],[Rent_USD]]+Table1[[#This Row],[Insurance_USD]]+Table1[[#This Row],[Visa_Fee_USD]]+Table1[[#This Row],[Annual_Estimated_Living_cost]]</f>
        <v>17458.44282238443</v>
      </c>
    </row>
    <row r="892" spans="1:17" x14ac:dyDescent="0.25">
      <c r="A892" s="2" t="s">
        <v>375</v>
      </c>
      <c r="B892" s="1" t="s">
        <v>1342</v>
      </c>
      <c r="C892" s="1" t="s">
        <v>1343</v>
      </c>
      <c r="D892" s="1" t="s">
        <v>63</v>
      </c>
      <c r="E892" s="1" t="s">
        <v>75</v>
      </c>
      <c r="F892" s="1">
        <v>4</v>
      </c>
      <c r="G892" s="1" t="str">
        <f>CONCATENATE(Table1[[#This Row],[Duration_Years]]," ","years")</f>
        <v>4 years</v>
      </c>
      <c r="H892" s="11">
        <v>4100</v>
      </c>
      <c r="I892" s="1">
        <v>63.2</v>
      </c>
      <c r="J892" s="11">
        <v>580</v>
      </c>
      <c r="K892" s="11">
        <v>200</v>
      </c>
      <c r="L892" s="11">
        <v>800</v>
      </c>
      <c r="M892" s="22">
        <v>3.75</v>
      </c>
      <c r="N892" s="3" t="str">
        <f>IF(Table1[[#This Row],[Exchange_Rate]]&lt;5,"Strong Currency", IF(Table1[[#This Row],[Exchange_Rate]]&lt;=1000, "Medium Currency","Weak Currency"))</f>
        <v>Strong Currency</v>
      </c>
      <c r="O892" s="11">
        <f>(Table1[[#This Row],[Living_Cost_Index]]/123.3)*1850</f>
        <v>948.25628548256282</v>
      </c>
      <c r="P892" s="11">
        <f>Table1[[#This Row],[Monthly_Estimated_Living_cost]]*12</f>
        <v>11379.075425790754</v>
      </c>
      <c r="Q892" s="13">
        <f>Table1[[#This Row],[Tuition_USD]]+Table1[[#This Row],[Rent_USD]]+Table1[[#This Row],[Insurance_USD]]+Table1[[#This Row],[Visa_Fee_USD]]+Table1[[#This Row],[Annual_Estimated_Living_cost]]</f>
        <v>17059.075425790754</v>
      </c>
    </row>
    <row r="893" spans="1:17" x14ac:dyDescent="0.25">
      <c r="A893" s="2" t="s">
        <v>12</v>
      </c>
      <c r="B893" s="1" t="s">
        <v>271</v>
      </c>
      <c r="C893" s="1" t="s">
        <v>272</v>
      </c>
      <c r="D893" s="1" t="s">
        <v>40</v>
      </c>
      <c r="E893" s="1" t="s">
        <v>16</v>
      </c>
      <c r="F893" s="1">
        <v>2</v>
      </c>
      <c r="G893" s="1" t="str">
        <f>CONCATENATE(Table1[[#This Row],[Duration_Years]]," ","years")</f>
        <v>2 years</v>
      </c>
      <c r="H893" s="11">
        <v>58000</v>
      </c>
      <c r="I893" s="1">
        <v>84.1</v>
      </c>
      <c r="J893" s="11">
        <v>1900</v>
      </c>
      <c r="K893" s="11">
        <v>160</v>
      </c>
      <c r="L893" s="11">
        <v>1500</v>
      </c>
      <c r="M893" s="22">
        <v>1</v>
      </c>
      <c r="N893" s="3" t="str">
        <f>IF(Table1[[#This Row],[Exchange_Rate]]&lt;5,"Strong Currency", IF(Table1[[#This Row],[Exchange_Rate]]&lt;=1000, "Medium Currency","Weak Currency"))</f>
        <v>Strong Currency</v>
      </c>
      <c r="O893" s="11">
        <f>(Table1[[#This Row],[Living_Cost_Index]]/123.3)*1850</f>
        <v>1261.8410381184103</v>
      </c>
      <c r="P893" s="11">
        <f>Table1[[#This Row],[Monthly_Estimated_Living_cost]]*12</f>
        <v>15142.092457420924</v>
      </c>
      <c r="Q893" s="13">
        <f>Table1[[#This Row],[Tuition_USD]]+Table1[[#This Row],[Rent_USD]]+Table1[[#This Row],[Insurance_USD]]+Table1[[#This Row],[Visa_Fee_USD]]+Table1[[#This Row],[Annual_Estimated_Living_cost]]</f>
        <v>76702.09245742092</v>
      </c>
    </row>
    <row r="894" spans="1:17" x14ac:dyDescent="0.25">
      <c r="A894" s="2" t="s">
        <v>17</v>
      </c>
      <c r="B894" s="1" t="s">
        <v>153</v>
      </c>
      <c r="C894" s="1" t="s">
        <v>154</v>
      </c>
      <c r="D894" s="1" t="s">
        <v>251</v>
      </c>
      <c r="E894" s="1" t="s">
        <v>1353</v>
      </c>
      <c r="F894" s="1">
        <v>4</v>
      </c>
      <c r="G894" s="1" t="str">
        <f>CONCATENATE(Table1[[#This Row],[Duration_Years]]," ","years")</f>
        <v>4 years</v>
      </c>
      <c r="H894" s="11">
        <v>34000</v>
      </c>
      <c r="I894" s="1">
        <v>64.5</v>
      </c>
      <c r="J894" s="11">
        <v>950</v>
      </c>
      <c r="K894" s="11">
        <v>485</v>
      </c>
      <c r="L894" s="11">
        <v>800</v>
      </c>
      <c r="M894" s="22">
        <v>0.79</v>
      </c>
      <c r="N894" s="3" t="str">
        <f>IF(Table1[[#This Row],[Exchange_Rate]]&lt;5,"Strong Currency", IF(Table1[[#This Row],[Exchange_Rate]]&lt;=1000, "Medium Currency","Weak Currency"))</f>
        <v>Strong Currency</v>
      </c>
      <c r="O894" s="11">
        <f>(Table1[[#This Row],[Living_Cost_Index]]/123.3)*1850</f>
        <v>967.7615571776156</v>
      </c>
      <c r="P894" s="11">
        <f>Table1[[#This Row],[Monthly_Estimated_Living_cost]]*12</f>
        <v>11613.138686131388</v>
      </c>
      <c r="Q894" s="13">
        <f>Table1[[#This Row],[Tuition_USD]]+Table1[[#This Row],[Rent_USD]]+Table1[[#This Row],[Insurance_USD]]+Table1[[#This Row],[Visa_Fee_USD]]+Table1[[#This Row],[Annual_Estimated_Living_cost]]</f>
        <v>47848.138686131388</v>
      </c>
    </row>
    <row r="895" spans="1:17" x14ac:dyDescent="0.25">
      <c r="A895" s="2" t="s">
        <v>183</v>
      </c>
      <c r="B895" s="1" t="s">
        <v>833</v>
      </c>
      <c r="C895" s="1" t="s">
        <v>834</v>
      </c>
      <c r="D895" s="1" t="s">
        <v>215</v>
      </c>
      <c r="E895" s="1" t="s">
        <v>16</v>
      </c>
      <c r="F895" s="1">
        <v>2</v>
      </c>
      <c r="G895" s="1" t="str">
        <f>CONCATENATE(Table1[[#This Row],[Duration_Years]]," ","years")</f>
        <v>2 years</v>
      </c>
      <c r="H895" s="11">
        <v>3100</v>
      </c>
      <c r="I895" s="1">
        <v>62.1</v>
      </c>
      <c r="J895" s="11">
        <v>600</v>
      </c>
      <c r="K895" s="11">
        <v>80</v>
      </c>
      <c r="L895" s="11">
        <v>750</v>
      </c>
      <c r="M895" s="22">
        <v>0.92</v>
      </c>
      <c r="N895" s="3" t="str">
        <f>IF(Table1[[#This Row],[Exchange_Rate]]&lt;5,"Strong Currency", IF(Table1[[#This Row],[Exchange_Rate]]&lt;=1000, "Medium Currency","Weak Currency"))</f>
        <v>Strong Currency</v>
      </c>
      <c r="O895" s="11">
        <f>(Table1[[#This Row],[Living_Cost_Index]]/123.3)*1850</f>
        <v>931.75182481751835</v>
      </c>
      <c r="P895" s="11">
        <f>Table1[[#This Row],[Monthly_Estimated_Living_cost]]*12</f>
        <v>11181.02189781022</v>
      </c>
      <c r="Q895" s="13">
        <f>Table1[[#This Row],[Tuition_USD]]+Table1[[#This Row],[Rent_USD]]+Table1[[#This Row],[Insurance_USD]]+Table1[[#This Row],[Visa_Fee_USD]]+Table1[[#This Row],[Annual_Estimated_Living_cost]]</f>
        <v>15711.02189781022</v>
      </c>
    </row>
    <row r="896" spans="1:17" x14ac:dyDescent="0.25">
      <c r="A896" s="2" t="s">
        <v>186</v>
      </c>
      <c r="B896" s="1" t="s">
        <v>825</v>
      </c>
      <c r="C896" s="1" t="s">
        <v>826</v>
      </c>
      <c r="D896" s="1" t="s">
        <v>241</v>
      </c>
      <c r="E896" s="1" t="s">
        <v>16</v>
      </c>
      <c r="F896" s="1">
        <v>2</v>
      </c>
      <c r="G896" s="1" t="str">
        <f>CONCATENATE(Table1[[#This Row],[Duration_Years]]," ","years")</f>
        <v>2 years</v>
      </c>
      <c r="H896" s="11">
        <v>3300</v>
      </c>
      <c r="I896" s="1">
        <v>68.900000000000006</v>
      </c>
      <c r="J896" s="11">
        <v>850</v>
      </c>
      <c r="K896" s="11">
        <v>120</v>
      </c>
      <c r="L896" s="11">
        <v>700</v>
      </c>
      <c r="M896" s="22">
        <v>0.92</v>
      </c>
      <c r="N896" s="3" t="str">
        <f>IF(Table1[[#This Row],[Exchange_Rate]]&lt;5,"Strong Currency", IF(Table1[[#This Row],[Exchange_Rate]]&lt;=1000, "Medium Currency","Weak Currency"))</f>
        <v>Strong Currency</v>
      </c>
      <c r="O896" s="11">
        <f>(Table1[[#This Row],[Living_Cost_Index]]/123.3)*1850</f>
        <v>1033.779399837794</v>
      </c>
      <c r="P896" s="11">
        <f>Table1[[#This Row],[Monthly_Estimated_Living_cost]]*12</f>
        <v>12405.352798053529</v>
      </c>
      <c r="Q896" s="13">
        <f>Table1[[#This Row],[Tuition_USD]]+Table1[[#This Row],[Rent_USD]]+Table1[[#This Row],[Insurance_USD]]+Table1[[#This Row],[Visa_Fee_USD]]+Table1[[#This Row],[Annual_Estimated_Living_cost]]</f>
        <v>17375.352798053529</v>
      </c>
    </row>
    <row r="897" spans="1:17" x14ac:dyDescent="0.25">
      <c r="A897" s="2" t="s">
        <v>44</v>
      </c>
      <c r="B897" s="1" t="s">
        <v>428</v>
      </c>
      <c r="C897" s="1" t="s">
        <v>655</v>
      </c>
      <c r="D897" s="1" t="s">
        <v>15</v>
      </c>
      <c r="E897" s="1" t="s">
        <v>75</v>
      </c>
      <c r="F897" s="1">
        <v>3</v>
      </c>
      <c r="G897" s="1" t="str">
        <f>CONCATENATE(Table1[[#This Row],[Duration_Years]]," ","years")</f>
        <v>3 years</v>
      </c>
      <c r="H897" s="11">
        <v>4200</v>
      </c>
      <c r="I897" s="1">
        <v>69.8</v>
      </c>
      <c r="J897" s="11">
        <v>950</v>
      </c>
      <c r="K897" s="11">
        <v>99</v>
      </c>
      <c r="L897" s="11">
        <v>850</v>
      </c>
      <c r="M897" s="22">
        <v>0.92</v>
      </c>
      <c r="N897" s="3" t="str">
        <f>IF(Table1[[#This Row],[Exchange_Rate]]&lt;5,"Strong Currency", IF(Table1[[#This Row],[Exchange_Rate]]&lt;=1000, "Medium Currency","Weak Currency"))</f>
        <v>Strong Currency</v>
      </c>
      <c r="O897" s="11">
        <f>(Table1[[#This Row],[Living_Cost_Index]]/123.3)*1850</f>
        <v>1047.2830494728303</v>
      </c>
      <c r="P897" s="11">
        <f>Table1[[#This Row],[Monthly_Estimated_Living_cost]]*12</f>
        <v>12567.396593673962</v>
      </c>
      <c r="Q897" s="13">
        <f>Table1[[#This Row],[Tuition_USD]]+Table1[[#This Row],[Rent_USD]]+Table1[[#This Row],[Insurance_USD]]+Table1[[#This Row],[Visa_Fee_USD]]+Table1[[#This Row],[Annual_Estimated_Living_cost]]</f>
        <v>18666.396593673962</v>
      </c>
    </row>
    <row r="898" spans="1:17" x14ac:dyDescent="0.25">
      <c r="A898" s="2" t="s">
        <v>167</v>
      </c>
      <c r="B898" s="1" t="s">
        <v>1344</v>
      </c>
      <c r="C898" s="1" t="s">
        <v>1345</v>
      </c>
      <c r="D898" s="1" t="s">
        <v>71</v>
      </c>
      <c r="E898" s="1" t="s">
        <v>16</v>
      </c>
      <c r="F898" s="1">
        <v>2</v>
      </c>
      <c r="G898" s="1" t="str">
        <f>CONCATENATE(Table1[[#This Row],[Duration_Years]]," ","years")</f>
        <v>2 years</v>
      </c>
      <c r="H898" s="11">
        <v>7100</v>
      </c>
      <c r="I898" s="1">
        <v>51.8</v>
      </c>
      <c r="J898" s="11">
        <v>430</v>
      </c>
      <c r="K898" s="11">
        <v>120</v>
      </c>
      <c r="L898" s="11">
        <v>400</v>
      </c>
      <c r="M898" s="22">
        <v>4.6500000000000004</v>
      </c>
      <c r="N898" s="3" t="str">
        <f>IF(Table1[[#This Row],[Exchange_Rate]]&lt;5,"Strong Currency", IF(Table1[[#This Row],[Exchange_Rate]]&lt;=1000, "Medium Currency","Weak Currency"))</f>
        <v>Strong Currency</v>
      </c>
      <c r="O898" s="11">
        <f>(Table1[[#This Row],[Living_Cost_Index]]/123.3)*1850</f>
        <v>777.21005677210053</v>
      </c>
      <c r="P898" s="11">
        <f>Table1[[#This Row],[Monthly_Estimated_Living_cost]]*12</f>
        <v>9326.5206812652068</v>
      </c>
      <c r="Q898" s="13">
        <f>Table1[[#This Row],[Tuition_USD]]+Table1[[#This Row],[Rent_USD]]+Table1[[#This Row],[Insurance_USD]]+Table1[[#This Row],[Visa_Fee_USD]]+Table1[[#This Row],[Annual_Estimated_Living_cost]]</f>
        <v>17376.520681265207</v>
      </c>
    </row>
    <row r="899" spans="1:17" x14ac:dyDescent="0.25">
      <c r="A899" s="2" t="s">
        <v>375</v>
      </c>
      <c r="B899" s="1" t="s">
        <v>1346</v>
      </c>
      <c r="C899" s="1" t="s">
        <v>1347</v>
      </c>
      <c r="D899" s="1" t="s">
        <v>222</v>
      </c>
      <c r="E899" s="1" t="s">
        <v>1353</v>
      </c>
      <c r="F899" s="1">
        <v>4</v>
      </c>
      <c r="G899" s="1" t="str">
        <f>CONCATENATE(Table1[[#This Row],[Duration_Years]]," ","years")</f>
        <v>4 years</v>
      </c>
      <c r="H899" s="11">
        <v>4300</v>
      </c>
      <c r="I899" s="1">
        <v>65.8</v>
      </c>
      <c r="J899" s="11">
        <v>650</v>
      </c>
      <c r="K899" s="11">
        <v>200</v>
      </c>
      <c r="L899" s="11">
        <v>800</v>
      </c>
      <c r="M899" s="22">
        <v>3.75</v>
      </c>
      <c r="N899" s="3" t="str">
        <f>IF(Table1[[#This Row],[Exchange_Rate]]&lt;5,"Strong Currency", IF(Table1[[#This Row],[Exchange_Rate]]&lt;=1000, "Medium Currency","Weak Currency"))</f>
        <v>Strong Currency</v>
      </c>
      <c r="O899" s="11">
        <f>(Table1[[#This Row],[Living_Cost_Index]]/123.3)*1850</f>
        <v>987.26682887266816</v>
      </c>
      <c r="P899" s="11">
        <f>Table1[[#This Row],[Monthly_Estimated_Living_cost]]*12</f>
        <v>11847.201946472018</v>
      </c>
      <c r="Q899" s="13">
        <f>Table1[[#This Row],[Tuition_USD]]+Table1[[#This Row],[Rent_USD]]+Table1[[#This Row],[Insurance_USD]]+Table1[[#This Row],[Visa_Fee_USD]]+Table1[[#This Row],[Annual_Estimated_Living_cost]]</f>
        <v>17797.201946472018</v>
      </c>
    </row>
    <row r="900" spans="1:17" x14ac:dyDescent="0.25">
      <c r="A900" s="2" t="s">
        <v>12</v>
      </c>
      <c r="B900" s="1" t="s">
        <v>638</v>
      </c>
      <c r="C900" s="1" t="s">
        <v>121</v>
      </c>
      <c r="D900" s="1" t="s">
        <v>20</v>
      </c>
      <c r="E900" s="1" t="s">
        <v>16</v>
      </c>
      <c r="F900" s="1">
        <v>2</v>
      </c>
      <c r="G900" s="1" t="str">
        <f>CONCATENATE(Table1[[#This Row],[Duration_Years]]," ","years")</f>
        <v>2 years</v>
      </c>
      <c r="H900" s="11">
        <v>55000</v>
      </c>
      <c r="I900" s="1">
        <v>95.2</v>
      </c>
      <c r="J900" s="11">
        <v>2400</v>
      </c>
      <c r="K900" s="11">
        <v>160</v>
      </c>
      <c r="L900" s="11">
        <v>1500</v>
      </c>
      <c r="M900" s="22">
        <v>1</v>
      </c>
      <c r="N900" s="3" t="str">
        <f>IF(Table1[[#This Row],[Exchange_Rate]]&lt;5,"Strong Currency", IF(Table1[[#This Row],[Exchange_Rate]]&lt;=1000, "Medium Currency","Weak Currency"))</f>
        <v>Strong Currency</v>
      </c>
      <c r="O900" s="11">
        <f>(Table1[[#This Row],[Living_Cost_Index]]/123.3)*1850</f>
        <v>1428.3860502838606</v>
      </c>
      <c r="P900" s="11">
        <f>Table1[[#This Row],[Monthly_Estimated_Living_cost]]*12</f>
        <v>17140.632603406328</v>
      </c>
      <c r="Q900" s="13">
        <f>Table1[[#This Row],[Tuition_USD]]+Table1[[#This Row],[Rent_USD]]+Table1[[#This Row],[Insurance_USD]]+Table1[[#This Row],[Visa_Fee_USD]]+Table1[[#This Row],[Annual_Estimated_Living_cost]]</f>
        <v>76200.632603406324</v>
      </c>
    </row>
    <row r="901" spans="1:17" x14ac:dyDescent="0.25">
      <c r="A901" s="2" t="s">
        <v>17</v>
      </c>
      <c r="B901" s="1" t="s">
        <v>290</v>
      </c>
      <c r="C901" s="1" t="s">
        <v>291</v>
      </c>
      <c r="D901" s="1" t="s">
        <v>63</v>
      </c>
      <c r="E901" s="1" t="s">
        <v>16</v>
      </c>
      <c r="F901" s="1">
        <v>2</v>
      </c>
      <c r="G901" s="1" t="str">
        <f>CONCATENATE(Table1[[#This Row],[Duration_Years]]," ","years")</f>
        <v>2 years</v>
      </c>
      <c r="H901" s="11">
        <v>35000</v>
      </c>
      <c r="I901" s="1">
        <v>63.2</v>
      </c>
      <c r="J901" s="11">
        <v>900</v>
      </c>
      <c r="K901" s="11">
        <v>485</v>
      </c>
      <c r="L901" s="11">
        <v>800</v>
      </c>
      <c r="M901" s="22">
        <v>0.79</v>
      </c>
      <c r="N901" s="3" t="str">
        <f>IF(Table1[[#This Row],[Exchange_Rate]]&lt;5,"Strong Currency", IF(Table1[[#This Row],[Exchange_Rate]]&lt;=1000, "Medium Currency","Weak Currency"))</f>
        <v>Strong Currency</v>
      </c>
      <c r="O901" s="11">
        <f>(Table1[[#This Row],[Living_Cost_Index]]/123.3)*1850</f>
        <v>948.25628548256282</v>
      </c>
      <c r="P901" s="11">
        <f>Table1[[#This Row],[Monthly_Estimated_Living_cost]]*12</f>
        <v>11379.075425790754</v>
      </c>
      <c r="Q901" s="13">
        <f>Table1[[#This Row],[Tuition_USD]]+Table1[[#This Row],[Rent_USD]]+Table1[[#This Row],[Insurance_USD]]+Table1[[#This Row],[Visa_Fee_USD]]+Table1[[#This Row],[Annual_Estimated_Living_cost]]</f>
        <v>48564.075425790754</v>
      </c>
    </row>
    <row r="902" spans="1:17" x14ac:dyDescent="0.25">
      <c r="A902" s="2" t="s">
        <v>183</v>
      </c>
      <c r="B902" s="1" t="s">
        <v>823</v>
      </c>
      <c r="C902" s="1" t="s">
        <v>824</v>
      </c>
      <c r="D902" s="1" t="s">
        <v>40</v>
      </c>
      <c r="E902" s="1" t="s">
        <v>1353</v>
      </c>
      <c r="F902" s="1">
        <v>4</v>
      </c>
      <c r="G902" s="1" t="str">
        <f>CONCATENATE(Table1[[#This Row],[Duration_Years]]," ","years")</f>
        <v>4 years</v>
      </c>
      <c r="H902" s="11">
        <v>2900</v>
      </c>
      <c r="I902" s="1">
        <v>63.2</v>
      </c>
      <c r="J902" s="11">
        <v>650</v>
      </c>
      <c r="K902" s="11">
        <v>80</v>
      </c>
      <c r="L902" s="11">
        <v>750</v>
      </c>
      <c r="M902" s="22">
        <v>0.92</v>
      </c>
      <c r="N902" s="3" t="str">
        <f>IF(Table1[[#This Row],[Exchange_Rate]]&lt;5,"Strong Currency", IF(Table1[[#This Row],[Exchange_Rate]]&lt;=1000, "Medium Currency","Weak Currency"))</f>
        <v>Strong Currency</v>
      </c>
      <c r="O902" s="11">
        <f>(Table1[[#This Row],[Living_Cost_Index]]/123.3)*1850</f>
        <v>948.25628548256282</v>
      </c>
      <c r="P902" s="11">
        <f>Table1[[#This Row],[Monthly_Estimated_Living_cost]]*12</f>
        <v>11379.075425790754</v>
      </c>
      <c r="Q902" s="13">
        <f>Table1[[#This Row],[Tuition_USD]]+Table1[[#This Row],[Rent_USD]]+Table1[[#This Row],[Insurance_USD]]+Table1[[#This Row],[Visa_Fee_USD]]+Table1[[#This Row],[Annual_Estimated_Living_cost]]</f>
        <v>15759.075425790754</v>
      </c>
    </row>
    <row r="903" spans="1:17" x14ac:dyDescent="0.25">
      <c r="A903" s="2" t="s">
        <v>186</v>
      </c>
      <c r="B903" s="1" t="s">
        <v>835</v>
      </c>
      <c r="C903" s="1" t="s">
        <v>836</v>
      </c>
      <c r="D903" s="1" t="s">
        <v>207</v>
      </c>
      <c r="E903" s="1" t="s">
        <v>16</v>
      </c>
      <c r="F903" s="1">
        <v>2</v>
      </c>
      <c r="G903" s="1" t="str">
        <f>CONCATENATE(Table1[[#This Row],[Duration_Years]]," ","years")</f>
        <v>2 years</v>
      </c>
      <c r="H903" s="11">
        <v>3400</v>
      </c>
      <c r="I903" s="1">
        <v>69.5</v>
      </c>
      <c r="J903" s="11">
        <v>900</v>
      </c>
      <c r="K903" s="11">
        <v>120</v>
      </c>
      <c r="L903" s="11">
        <v>700</v>
      </c>
      <c r="M903" s="22">
        <v>0.92</v>
      </c>
      <c r="N903" s="3" t="str">
        <f>IF(Table1[[#This Row],[Exchange_Rate]]&lt;5,"Strong Currency", IF(Table1[[#This Row],[Exchange_Rate]]&lt;=1000, "Medium Currency","Weak Currency"))</f>
        <v>Strong Currency</v>
      </c>
      <c r="O903" s="11">
        <f>(Table1[[#This Row],[Living_Cost_Index]]/123.3)*1850</f>
        <v>1042.7818329278184</v>
      </c>
      <c r="P903" s="11">
        <f>Table1[[#This Row],[Monthly_Estimated_Living_cost]]*12</f>
        <v>12513.381995133821</v>
      </c>
      <c r="Q903" s="13">
        <f>Table1[[#This Row],[Tuition_USD]]+Table1[[#This Row],[Rent_USD]]+Table1[[#This Row],[Insurance_USD]]+Table1[[#This Row],[Visa_Fee_USD]]+Table1[[#This Row],[Annual_Estimated_Living_cost]]</f>
        <v>17633.381995133823</v>
      </c>
    </row>
    <row r="904" spans="1:17" x14ac:dyDescent="0.25">
      <c r="A904" s="2" t="s">
        <v>44</v>
      </c>
      <c r="B904" s="1" t="s">
        <v>432</v>
      </c>
      <c r="C904" s="1" t="s">
        <v>433</v>
      </c>
      <c r="D904" s="1" t="s">
        <v>71</v>
      </c>
      <c r="E904" s="1" t="s">
        <v>16</v>
      </c>
      <c r="F904" s="1">
        <v>2</v>
      </c>
      <c r="G904" s="1" t="str">
        <f>CONCATENATE(Table1[[#This Row],[Duration_Years]]," ","years")</f>
        <v>2 years</v>
      </c>
      <c r="H904" s="11">
        <v>4000</v>
      </c>
      <c r="I904" s="1">
        <v>70.2</v>
      </c>
      <c r="J904" s="11">
        <v>1000</v>
      </c>
      <c r="K904" s="11">
        <v>99</v>
      </c>
      <c r="L904" s="11">
        <v>850</v>
      </c>
      <c r="M904" s="22">
        <v>0.92</v>
      </c>
      <c r="N904" s="3" t="str">
        <f>IF(Table1[[#This Row],[Exchange_Rate]]&lt;5,"Strong Currency", IF(Table1[[#This Row],[Exchange_Rate]]&lt;=1000, "Medium Currency","Weak Currency"))</f>
        <v>Strong Currency</v>
      </c>
      <c r="O904" s="11">
        <f>(Table1[[#This Row],[Living_Cost_Index]]/123.3)*1850</f>
        <v>1053.2846715328469</v>
      </c>
      <c r="P904" s="11">
        <f>Table1[[#This Row],[Monthly_Estimated_Living_cost]]*12</f>
        <v>12639.416058394163</v>
      </c>
      <c r="Q904" s="13">
        <f>Table1[[#This Row],[Tuition_USD]]+Table1[[#This Row],[Rent_USD]]+Table1[[#This Row],[Insurance_USD]]+Table1[[#This Row],[Visa_Fee_USD]]+Table1[[#This Row],[Annual_Estimated_Living_cost]]</f>
        <v>18588.416058394163</v>
      </c>
    </row>
    <row r="905" spans="1:17" x14ac:dyDescent="0.25">
      <c r="A905" s="2" t="s">
        <v>167</v>
      </c>
      <c r="B905" s="1" t="s">
        <v>1348</v>
      </c>
      <c r="C905" s="1" t="s">
        <v>1349</v>
      </c>
      <c r="D905" s="1" t="s">
        <v>15</v>
      </c>
      <c r="E905" s="1" t="s">
        <v>75</v>
      </c>
      <c r="F905" s="1">
        <v>3</v>
      </c>
      <c r="G905" s="1" t="str">
        <f>CONCATENATE(Table1[[#This Row],[Duration_Years]]," ","years")</f>
        <v>3 years</v>
      </c>
      <c r="H905" s="11">
        <v>6800</v>
      </c>
      <c r="I905" s="1">
        <v>50.5</v>
      </c>
      <c r="J905" s="11">
        <v>400</v>
      </c>
      <c r="K905" s="11">
        <v>120</v>
      </c>
      <c r="L905" s="11">
        <v>400</v>
      </c>
      <c r="M905" s="22">
        <v>4.6500000000000004</v>
      </c>
      <c r="N905" s="3" t="str">
        <f>IF(Table1[[#This Row],[Exchange_Rate]]&lt;5,"Strong Currency", IF(Table1[[#This Row],[Exchange_Rate]]&lt;=1000, "Medium Currency","Weak Currency"))</f>
        <v>Strong Currency</v>
      </c>
      <c r="O905" s="11">
        <f>(Table1[[#This Row],[Living_Cost_Index]]/123.3)*1850</f>
        <v>757.70478507704797</v>
      </c>
      <c r="P905" s="11">
        <f>Table1[[#This Row],[Monthly_Estimated_Living_cost]]*12</f>
        <v>9092.4574209245766</v>
      </c>
      <c r="Q905" s="13">
        <f>Table1[[#This Row],[Tuition_USD]]+Table1[[#This Row],[Rent_USD]]+Table1[[#This Row],[Insurance_USD]]+Table1[[#This Row],[Visa_Fee_USD]]+Table1[[#This Row],[Annual_Estimated_Living_cost]]</f>
        <v>16812.457420924577</v>
      </c>
    </row>
    <row r="906" spans="1:17" x14ac:dyDescent="0.25">
      <c r="A906" s="2" t="s">
        <v>375</v>
      </c>
      <c r="B906" s="1" t="s">
        <v>1350</v>
      </c>
      <c r="C906" s="1" t="s">
        <v>1351</v>
      </c>
      <c r="D906" s="1" t="s">
        <v>215</v>
      </c>
      <c r="E906" s="1" t="s">
        <v>16</v>
      </c>
      <c r="F906" s="1">
        <v>2</v>
      </c>
      <c r="G906" s="1" t="str">
        <f>CONCATENATE(Table1[[#This Row],[Duration_Years]]," ","years")</f>
        <v>2 years</v>
      </c>
      <c r="H906" s="11">
        <v>4200</v>
      </c>
      <c r="I906" s="1">
        <v>64.2</v>
      </c>
      <c r="J906" s="11">
        <v>600</v>
      </c>
      <c r="K906" s="11">
        <v>200</v>
      </c>
      <c r="L906" s="11">
        <v>800</v>
      </c>
      <c r="M906" s="22">
        <v>3.75</v>
      </c>
      <c r="N906" s="3" t="str">
        <f>IF(Table1[[#This Row],[Exchange_Rate]]&lt;5,"Strong Currency", IF(Table1[[#This Row],[Exchange_Rate]]&lt;=1000, "Medium Currency","Weak Currency"))</f>
        <v>Strong Currency</v>
      </c>
      <c r="O906" s="11">
        <f>(Table1[[#This Row],[Living_Cost_Index]]/123.3)*1850</f>
        <v>963.26034063260352</v>
      </c>
      <c r="P906" s="11">
        <f>Table1[[#This Row],[Monthly_Estimated_Living_cost]]*12</f>
        <v>11559.124087591243</v>
      </c>
      <c r="Q906" s="13">
        <f>Table1[[#This Row],[Tuition_USD]]+Table1[[#This Row],[Rent_USD]]+Table1[[#This Row],[Insurance_USD]]+Table1[[#This Row],[Visa_Fee_USD]]+Table1[[#This Row],[Annual_Estimated_Living_cost]]</f>
        <v>17359.124087591241</v>
      </c>
    </row>
    <row r="907" spans="1:17" x14ac:dyDescent="0.25">
      <c r="A907" s="2" t="s">
        <v>12</v>
      </c>
      <c r="B907" s="1" t="s">
        <v>149</v>
      </c>
      <c r="C907" s="1" t="s">
        <v>150</v>
      </c>
      <c r="D907" s="1" t="s">
        <v>241</v>
      </c>
      <c r="E907" s="1" t="s">
        <v>1353</v>
      </c>
      <c r="F907" s="1">
        <v>5</v>
      </c>
      <c r="G907" s="1" t="str">
        <f>CONCATENATE(Table1[[#This Row],[Duration_Years]]," ","years")</f>
        <v>5 years</v>
      </c>
      <c r="H907" s="11">
        <v>50000</v>
      </c>
      <c r="I907" s="1">
        <v>77.8</v>
      </c>
      <c r="J907" s="11">
        <v>2000</v>
      </c>
      <c r="K907" s="11">
        <v>160</v>
      </c>
      <c r="L907" s="11">
        <v>1500</v>
      </c>
      <c r="M907" s="22">
        <v>1</v>
      </c>
      <c r="N907" s="3" t="str">
        <f>IF(Table1[[#This Row],[Exchange_Rate]]&lt;5,"Strong Currency", IF(Table1[[#This Row],[Exchange_Rate]]&lt;=1000, "Medium Currency","Weak Currency"))</f>
        <v>Strong Currency</v>
      </c>
      <c r="O907" s="11">
        <f>(Table1[[#This Row],[Living_Cost_Index]]/123.3)*1850</f>
        <v>1167.315490673155</v>
      </c>
      <c r="P907" s="11">
        <f>Table1[[#This Row],[Monthly_Estimated_Living_cost]]*12</f>
        <v>14007.785888077859</v>
      </c>
      <c r="Q907" s="13">
        <f>Table1[[#This Row],[Tuition_USD]]+Table1[[#This Row],[Rent_USD]]+Table1[[#This Row],[Insurance_USD]]+Table1[[#This Row],[Visa_Fee_USD]]+Table1[[#This Row],[Annual_Estimated_Living_cost]]</f>
        <v>67667.785888077866</v>
      </c>
    </row>
    <row r="908" spans="1:17" x14ac:dyDescent="0.25">
      <c r="A908" s="7" t="s">
        <v>17</v>
      </c>
      <c r="B908" s="8" t="s">
        <v>301</v>
      </c>
      <c r="C908" s="8" t="s">
        <v>302</v>
      </c>
      <c r="D908" s="8" t="s">
        <v>251</v>
      </c>
      <c r="E908" s="8" t="s">
        <v>16</v>
      </c>
      <c r="F908" s="8">
        <v>2</v>
      </c>
      <c r="G908" s="8" t="str">
        <f>CONCATENATE(Table1[[#This Row],[Duration_Years]]," ","years")</f>
        <v>2 years</v>
      </c>
      <c r="H908" s="12">
        <v>34000</v>
      </c>
      <c r="I908" s="8">
        <v>61.2</v>
      </c>
      <c r="J908" s="12">
        <v>800</v>
      </c>
      <c r="K908" s="12">
        <v>485</v>
      </c>
      <c r="L908" s="12">
        <v>800</v>
      </c>
      <c r="M908" s="23">
        <v>0.79</v>
      </c>
      <c r="N908" s="9" t="str">
        <f>IF(Table1[[#This Row],[Exchange_Rate]]&lt;5,"Strong Currency", IF(Table1[[#This Row],[Exchange_Rate]]&lt;=1000, "Medium Currency","Weak Currency"))</f>
        <v>Strong Currency</v>
      </c>
      <c r="O908" s="12">
        <f>(Table1[[#This Row],[Living_Cost_Index]]/123.3)*1850</f>
        <v>918.24817518248187</v>
      </c>
      <c r="P908" s="12">
        <f>Table1[[#This Row],[Monthly_Estimated_Living_cost]]*12</f>
        <v>11018.978102189783</v>
      </c>
      <c r="Q908" s="13">
        <f>Table1[[#This Row],[Tuition_USD]]+Table1[[#This Row],[Rent_USD]]+Table1[[#This Row],[Insurance_USD]]+Table1[[#This Row],[Visa_Fee_USD]]+Table1[[#This Row],[Annual_Estimated_Living_cost]]</f>
        <v>47103.97810218978</v>
      </c>
    </row>
  </sheetData>
  <dataValidations count="9">
    <dataValidation type="textLength" errorStyle="warning" allowBlank="1" showInputMessage="1" showErrorMessage="1" errorTitle="Invalid data" error="You have inputted a wrong data text length. Kindly input a country with a minimum of 2 and a maximum of 25 text length" promptTitle="Country" prompt="Input Country with a minimum of 2 and a maximum of 25 text length." sqref="A909:A1048576" xr:uid="{12FAFA50-5CC0-4DF1-B975-AB391EEC2AD3}">
      <formula1>2</formula1>
      <formula2>25</formula2>
    </dataValidation>
    <dataValidation type="decimal" errorStyle="warning" allowBlank="1" showInputMessage="1" showErrorMessage="1" errorTitle="Incorrect data" error="Not allowed. Kindly input data with a minimum of 1 and a maximum of 5 years." promptTitle="Course Duration" prompt="Kindly, input duration of a minimum of 1 and a maximum of 5 years." sqref="F909:G1048576" xr:uid="{2DDFD392-4084-492E-8439-9DC64B1D856C}">
      <formula1>1</formula1>
      <formula2>5</formula2>
    </dataValidation>
    <dataValidation type="whole" allowBlank="1" showInputMessage="1" showErrorMessage="1" errorTitle="Invalid" error="Not allowed. Kindly,input data that is between 100 and 100000 USD." sqref="H909:H1048576" xr:uid="{E07D82BF-5879-4969-A41E-D3FB2C39FA36}">
      <formula1>100</formula1>
      <formula2>1000000</formula2>
    </dataValidation>
    <dataValidation type="decimal" allowBlank="1" showInputMessage="1" showErrorMessage="1" errorTitle="Invalid index" error="Kindly, input a minimum of 20.0 and a maximum of 200.0 index" promptTitle="Valid index" prompt="Minimum of 20.0 and a maximum of 200.0" sqref="I909:I1048576" xr:uid="{1D089BE5-B8F0-4353-AC0D-63231EF2FD7E}">
      <formula1>20</formula1>
      <formula2>200</formula2>
    </dataValidation>
    <dataValidation type="whole" operator="greaterThan" allowBlank="1" showInputMessage="1" showErrorMessage="1" errorTitle="Wrong data" error="Kindly, input rent greater than 700" sqref="J909:J1048576" xr:uid="{C5E04873-5598-4F04-A0DC-6B0A49C1511F}">
      <formula1>700</formula1>
    </dataValidation>
    <dataValidation type="whole" errorStyle="warning" operator="notEqual" allowBlank="1" showInputMessage="1" showErrorMessage="1" errorTitle="Invalid data" error="You have inputted a wrong data of 0. Kiindly, input data of more than 0 USD" promptTitle="Visa fee Permitted" prompt="Kindly, input visa more than 0 USD." sqref="K909:K1048576" xr:uid="{96EAC840-C1E4-4D84-AD1E-EB4AC2421566}">
      <formula1>0</formula1>
    </dataValidation>
    <dataValidation type="whole" operator="notEqual" allowBlank="1" showInputMessage="1" showErrorMessage="1" errorTitle="Invalid input" error="Kindly, input insurance that is not equal to 100 USD" promptTitle="Valid data" prompt="Only data that is not equal to 100 is permitted." sqref="L909:L1048576" xr:uid="{AB6DE527-D8AF-4261-B61A-85021574268D}">
      <formula1>100</formula1>
    </dataValidation>
    <dataValidation type="decimal" operator="greaterThan" allowBlank="1" showInputMessage="1" showErrorMessage="1" errorTitle="Invalid data" error="You have wrongly inputted data. Kindly input data greater than 1 for the exchange rate" sqref="M909:N1048576" xr:uid="{73471ED8-4861-48A5-9BE2-F88A65C2E15C}">
      <formula1>1</formula1>
    </dataValidation>
    <dataValidation type="list" allowBlank="1" showInputMessage="1" showErrorMessage="1" errorTitle="Invalid data" error="Kindly, input data from the dropdown list" sqref="E909:E1048576" xr:uid="{86F71F62-03E1-491A-9FD3-DE2AEEE36F16}">
      <formula1>#REF!</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87D38-4EDA-4DA7-B625-7AAEFF5D10C1}">
  <dimension ref="A1"/>
  <sheetViews>
    <sheetView showGridLines="0" zoomScale="110" zoomScaleNormal="110" workbookViewId="0">
      <selection activeCell="R41" sqref="R41"/>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B2D37-3407-46B7-8116-D7B5B4FBD6DA}">
  <dimension ref="A1"/>
  <sheetViews>
    <sheetView showGridLines="0" tabSelected="1" zoomScale="80" zoomScaleNormal="80" workbookViewId="0">
      <selection activeCell="AC32" sqref="AC32"/>
    </sheetView>
  </sheetViews>
  <sheetFormatPr defaultRowHeight="15" x14ac:dyDescent="0.25"/>
  <cols>
    <col min="1" max="16384" width="9.14062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76535-30A0-4DC9-AEA5-FD182EF356A3}">
  <dimension ref="A1"/>
  <sheetViews>
    <sheetView showGridLines="0" workbookViewId="0"/>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4D16B-954B-44D8-B296-8246DEACD058}">
  <dimension ref="A3:C10"/>
  <sheetViews>
    <sheetView workbookViewId="0">
      <selection activeCell="C20" sqref="C20"/>
    </sheetView>
  </sheetViews>
  <sheetFormatPr defaultRowHeight="15" x14ac:dyDescent="0.25"/>
  <cols>
    <col min="1" max="1" width="19.5703125" bestFit="1" customWidth="1"/>
    <col min="2" max="2" width="22.28515625" bestFit="1" customWidth="1"/>
    <col min="3" max="3" width="38.85546875" bestFit="1" customWidth="1"/>
  </cols>
  <sheetData>
    <row r="3" spans="1:3" x14ac:dyDescent="0.25">
      <c r="A3" s="15" t="s">
        <v>1357</v>
      </c>
      <c r="B3" t="s">
        <v>1359</v>
      </c>
      <c r="C3" t="s">
        <v>1360</v>
      </c>
    </row>
    <row r="4" spans="1:3" x14ac:dyDescent="0.25">
      <c r="A4" s="16" t="s">
        <v>358</v>
      </c>
      <c r="B4" s="13">
        <v>58933.333333333336</v>
      </c>
      <c r="C4" s="13">
        <v>18004.866180048662</v>
      </c>
    </row>
    <row r="5" spans="1:3" x14ac:dyDescent="0.25">
      <c r="A5" s="16" t="s">
        <v>14</v>
      </c>
      <c r="B5" s="13">
        <v>56700</v>
      </c>
      <c r="C5" s="13">
        <v>14908.02919708029</v>
      </c>
    </row>
    <row r="6" spans="1:3" x14ac:dyDescent="0.25">
      <c r="A6" s="16" t="s">
        <v>272</v>
      </c>
      <c r="B6" s="13">
        <v>56133.333333333336</v>
      </c>
      <c r="C6" s="13">
        <v>14830.008110300079</v>
      </c>
    </row>
    <row r="7" spans="1:3" x14ac:dyDescent="0.25">
      <c r="A7" s="16" t="s">
        <v>1328</v>
      </c>
      <c r="B7" s="13">
        <v>56000</v>
      </c>
      <c r="C7" s="13">
        <v>14781.99513381995</v>
      </c>
    </row>
    <row r="8" spans="1:3" x14ac:dyDescent="0.25">
      <c r="A8" s="16" t="s">
        <v>123</v>
      </c>
      <c r="B8" s="13">
        <v>55866.666666666664</v>
      </c>
      <c r="C8" s="13">
        <v>14932.035685320356</v>
      </c>
    </row>
    <row r="9" spans="1:3" x14ac:dyDescent="0.25">
      <c r="A9" s="16" t="s">
        <v>507</v>
      </c>
      <c r="B9" s="13">
        <v>54500</v>
      </c>
      <c r="C9" s="13">
        <v>14367.883211678831</v>
      </c>
    </row>
    <row r="10" spans="1:3" x14ac:dyDescent="0.25">
      <c r="A10" s="16" t="s">
        <v>1358</v>
      </c>
      <c r="B10" s="13">
        <v>56669.230769230766</v>
      </c>
      <c r="C10" s="13">
        <v>15558.974358974356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0919E-2878-4D51-9B2E-1F5D00DB4655}">
  <dimension ref="A3:B14"/>
  <sheetViews>
    <sheetView workbookViewId="0">
      <selection activeCell="J19" sqref="J19"/>
    </sheetView>
  </sheetViews>
  <sheetFormatPr defaultRowHeight="15" x14ac:dyDescent="0.25"/>
  <cols>
    <col min="1" max="1" width="25.28515625" bestFit="1" customWidth="1"/>
    <col min="2" max="2" width="20.7109375" bestFit="1" customWidth="1"/>
    <col min="3" max="3" width="38.85546875" bestFit="1" customWidth="1"/>
  </cols>
  <sheetData>
    <row r="3" spans="1:2" x14ac:dyDescent="0.25">
      <c r="A3" s="15" t="s">
        <v>1357</v>
      </c>
      <c r="B3" t="s">
        <v>1361</v>
      </c>
    </row>
    <row r="4" spans="1:2" x14ac:dyDescent="0.25">
      <c r="A4" s="16" t="s">
        <v>747</v>
      </c>
      <c r="B4" s="13">
        <v>64179.46472019465</v>
      </c>
    </row>
    <row r="5" spans="1:2" x14ac:dyDescent="0.25">
      <c r="A5" s="16" t="s">
        <v>96</v>
      </c>
      <c r="B5" s="13">
        <v>57195.523114355237</v>
      </c>
    </row>
    <row r="6" spans="1:2" x14ac:dyDescent="0.25">
      <c r="A6" s="16" t="s">
        <v>416</v>
      </c>
      <c r="B6" s="13">
        <v>54891.946472019466</v>
      </c>
    </row>
    <row r="7" spans="1:2" x14ac:dyDescent="0.25">
      <c r="A7" s="16" t="s">
        <v>174</v>
      </c>
      <c r="B7" s="13">
        <v>52412.891321978917</v>
      </c>
    </row>
    <row r="8" spans="1:2" x14ac:dyDescent="0.25">
      <c r="A8" s="16" t="s">
        <v>412</v>
      </c>
      <c r="B8" s="13">
        <v>51891.946472019466</v>
      </c>
    </row>
    <row r="9" spans="1:2" x14ac:dyDescent="0.25">
      <c r="A9" s="16" t="s">
        <v>415</v>
      </c>
      <c r="B9" s="13">
        <v>51191.946472019466</v>
      </c>
    </row>
    <row r="10" spans="1:2" x14ac:dyDescent="0.25">
      <c r="A10" s="16" t="s">
        <v>413</v>
      </c>
      <c r="B10" s="13">
        <v>50791.946472019466</v>
      </c>
    </row>
    <row r="11" spans="1:2" x14ac:dyDescent="0.25">
      <c r="A11" s="16" t="s">
        <v>628</v>
      </c>
      <c r="B11" s="13">
        <v>49894.053527980534</v>
      </c>
    </row>
    <row r="12" spans="1:2" x14ac:dyDescent="0.25">
      <c r="A12" s="16" t="s">
        <v>408</v>
      </c>
      <c r="B12" s="13">
        <v>48191.946472019466</v>
      </c>
    </row>
    <row r="13" spans="1:2" x14ac:dyDescent="0.25">
      <c r="A13" s="16" t="s">
        <v>177</v>
      </c>
      <c r="B13" s="13">
        <v>46854.46472019465</v>
      </c>
    </row>
    <row r="14" spans="1:2" x14ac:dyDescent="0.25">
      <c r="A14" s="16" t="s">
        <v>1358</v>
      </c>
      <c r="B14" s="13">
        <v>51993.632907542589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C4FD0-ACC2-4AD0-965A-F21E0F2A922B}">
  <dimension ref="A3:B14"/>
  <sheetViews>
    <sheetView workbookViewId="0">
      <selection activeCell="J13" sqref="J13"/>
    </sheetView>
  </sheetViews>
  <sheetFormatPr defaultRowHeight="15" x14ac:dyDescent="0.25"/>
  <cols>
    <col min="1" max="1" width="13.42578125" bestFit="1" customWidth="1"/>
    <col min="2" max="2" width="27.7109375" bestFit="1" customWidth="1"/>
    <col min="3" max="3" width="38.85546875" bestFit="1" customWidth="1"/>
  </cols>
  <sheetData>
    <row r="3" spans="1:2" x14ac:dyDescent="0.25">
      <c r="A3" s="15" t="s">
        <v>1357</v>
      </c>
      <c r="B3" t="s">
        <v>1362</v>
      </c>
    </row>
    <row r="4" spans="1:2" x14ac:dyDescent="0.25">
      <c r="A4" s="16" t="s">
        <v>48</v>
      </c>
      <c r="B4" s="19">
        <v>97.820000000000007</v>
      </c>
    </row>
    <row r="5" spans="1:2" x14ac:dyDescent="0.25">
      <c r="A5" s="16" t="s">
        <v>41</v>
      </c>
      <c r="B5" s="19">
        <v>82.022222222222211</v>
      </c>
    </row>
    <row r="6" spans="1:2" x14ac:dyDescent="0.25">
      <c r="A6" s="16" t="s">
        <v>971</v>
      </c>
      <c r="B6" s="19">
        <v>81.75</v>
      </c>
    </row>
    <row r="7" spans="1:2" x14ac:dyDescent="0.25">
      <c r="A7" s="16" t="s">
        <v>980</v>
      </c>
      <c r="B7" s="19">
        <v>78.900000000000006</v>
      </c>
    </row>
    <row r="8" spans="1:2" x14ac:dyDescent="0.25">
      <c r="A8" s="16" t="s">
        <v>103</v>
      </c>
      <c r="B8" s="19">
        <v>78.599999999999994</v>
      </c>
    </row>
    <row r="9" spans="1:2" x14ac:dyDescent="0.25">
      <c r="A9" s="16" t="s">
        <v>12</v>
      </c>
      <c r="B9" s="19">
        <v>77.796153846153871</v>
      </c>
    </row>
    <row r="10" spans="1:2" x14ac:dyDescent="0.25">
      <c r="A10" s="16" t="s">
        <v>109</v>
      </c>
      <c r="B10" s="19">
        <v>76.2</v>
      </c>
    </row>
    <row r="11" spans="1:2" x14ac:dyDescent="0.25">
      <c r="A11" s="16" t="s">
        <v>64</v>
      </c>
      <c r="B11" s="19">
        <v>74.752173913043492</v>
      </c>
    </row>
    <row r="12" spans="1:2" x14ac:dyDescent="0.25">
      <c r="A12" s="16" t="s">
        <v>56</v>
      </c>
      <c r="B12" s="19">
        <v>73.72</v>
      </c>
    </row>
    <row r="13" spans="1:2" x14ac:dyDescent="0.25">
      <c r="A13" s="16" t="s">
        <v>76</v>
      </c>
      <c r="B13" s="19">
        <v>72.86666666666666</v>
      </c>
    </row>
    <row r="14" spans="1:2" x14ac:dyDescent="0.25">
      <c r="A14" s="16" t="s">
        <v>1358</v>
      </c>
      <c r="B14" s="19">
        <v>79.659550561797744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CA248-1E06-489F-8EBA-C2F39CABAC5F}">
  <dimension ref="A3:B10"/>
  <sheetViews>
    <sheetView workbookViewId="0">
      <selection activeCell="N11" sqref="N11"/>
    </sheetView>
  </sheetViews>
  <sheetFormatPr defaultRowHeight="15" x14ac:dyDescent="0.25"/>
  <cols>
    <col min="1" max="1" width="13.42578125" bestFit="1" customWidth="1"/>
    <col min="2" max="2" width="23.85546875" bestFit="1" customWidth="1"/>
    <col min="3" max="3" width="17.5703125" bestFit="1" customWidth="1"/>
    <col min="4" max="4" width="7.7109375" bestFit="1" customWidth="1"/>
    <col min="5" max="5" width="7.140625" bestFit="1" customWidth="1"/>
    <col min="6" max="6" width="9.7109375" bestFit="1" customWidth="1"/>
    <col min="7" max="7" width="10.140625" bestFit="1" customWidth="1"/>
    <col min="8" max="8" width="5.85546875" bestFit="1" customWidth="1"/>
    <col min="9" max="9" width="8.85546875" bestFit="1" customWidth="1"/>
    <col min="10" max="10" width="6.5703125" bestFit="1" customWidth="1"/>
    <col min="11" max="11" width="8.42578125" bestFit="1" customWidth="1"/>
    <col min="12" max="12" width="9.85546875" bestFit="1" customWidth="1"/>
    <col min="13" max="13" width="6" bestFit="1" customWidth="1"/>
    <col min="14" max="15" width="7.7109375" bestFit="1" customWidth="1"/>
    <col min="16" max="16" width="10.42578125" bestFit="1" customWidth="1"/>
    <col min="17" max="17" width="7.140625" bestFit="1" customWidth="1"/>
    <col min="18" max="18" width="7.85546875" bestFit="1" customWidth="1"/>
    <col min="19" max="19" width="11.28515625" bestFit="1" customWidth="1"/>
    <col min="20" max="20" width="7.7109375" bestFit="1" customWidth="1"/>
    <col min="21" max="21" width="7" bestFit="1" customWidth="1"/>
    <col min="22" max="22" width="9.7109375" bestFit="1" customWidth="1"/>
    <col min="23" max="24" width="7.5703125" bestFit="1" customWidth="1"/>
    <col min="25" max="25" width="8.42578125" bestFit="1" customWidth="1"/>
    <col min="26" max="27" width="9" bestFit="1" customWidth="1"/>
    <col min="28" max="28" width="6.140625" bestFit="1" customWidth="1"/>
    <col min="29" max="29" width="6.7109375" bestFit="1" customWidth="1"/>
    <col min="30" max="30" width="7.28515625" bestFit="1" customWidth="1"/>
    <col min="31" max="31" width="8" bestFit="1" customWidth="1"/>
    <col min="32" max="32" width="7.28515625" bestFit="1" customWidth="1"/>
    <col min="34" max="35" width="6.7109375" bestFit="1" customWidth="1"/>
    <col min="36" max="36" width="7.7109375" bestFit="1" customWidth="1"/>
    <col min="37" max="37" width="9.7109375" bestFit="1" customWidth="1"/>
    <col min="38" max="38" width="8.7109375" bestFit="1" customWidth="1"/>
    <col min="39" max="39" width="9.85546875" bestFit="1" customWidth="1"/>
    <col min="40" max="40" width="5.85546875" bestFit="1" customWidth="1"/>
    <col min="41" max="41" width="8.42578125" bestFit="1" customWidth="1"/>
    <col min="42" max="42" width="9.85546875" bestFit="1" customWidth="1"/>
    <col min="43" max="43" width="11.7109375" bestFit="1" customWidth="1"/>
    <col min="44" max="44" width="5.85546875" bestFit="1" customWidth="1"/>
    <col min="45" max="45" width="5" bestFit="1" customWidth="1"/>
    <col min="46" max="46" width="7.140625" bestFit="1" customWidth="1"/>
    <col min="47" max="47" width="6.42578125" bestFit="1" customWidth="1"/>
    <col min="48" max="48" width="7.28515625" bestFit="1" customWidth="1"/>
    <col min="49" max="49" width="8.85546875" bestFit="1" customWidth="1"/>
    <col min="50" max="50" width="6.42578125" bestFit="1" customWidth="1"/>
    <col min="51" max="51" width="7.28515625" bestFit="1" customWidth="1"/>
    <col min="52" max="52" width="8.85546875" bestFit="1" customWidth="1"/>
    <col min="53" max="53" width="6.28515625" bestFit="1" customWidth="1"/>
    <col min="54" max="54" width="5.140625" bestFit="1" customWidth="1"/>
    <col min="55" max="55" width="9.7109375" bestFit="1" customWidth="1"/>
    <col min="56" max="56" width="6.5703125" bestFit="1" customWidth="1"/>
    <col min="57" max="57" width="11.7109375" bestFit="1" customWidth="1"/>
    <col min="58" max="58" width="7.28515625" bestFit="1" customWidth="1"/>
    <col min="59" max="59" width="6.5703125" bestFit="1" customWidth="1"/>
    <col min="60" max="60" width="7.140625" bestFit="1" customWidth="1"/>
    <col min="61" max="61" width="8.140625" bestFit="1" customWidth="1"/>
    <col min="62" max="62" width="5.5703125" bestFit="1" customWidth="1"/>
    <col min="63" max="63" width="9.42578125" bestFit="1" customWidth="1"/>
    <col min="64" max="64" width="10" bestFit="1" customWidth="1"/>
    <col min="65" max="65" width="7.28515625" bestFit="1" customWidth="1"/>
    <col min="66" max="66" width="8" bestFit="1" customWidth="1"/>
    <col min="67" max="67" width="5.85546875" bestFit="1" customWidth="1"/>
    <col min="68" max="68" width="7" bestFit="1" customWidth="1"/>
    <col min="69" max="69" width="13.5703125" bestFit="1" customWidth="1"/>
    <col min="70" max="70" width="8" bestFit="1" customWidth="1"/>
    <col min="71" max="71" width="8.85546875" bestFit="1" customWidth="1"/>
    <col min="72" max="73" width="6.85546875" bestFit="1" customWidth="1"/>
    <col min="74" max="74" width="8.7109375" bestFit="1" customWidth="1"/>
    <col min="75" max="75" width="12.85546875" bestFit="1" customWidth="1"/>
    <col min="76" max="76" width="10" bestFit="1" customWidth="1"/>
    <col min="77" max="77" width="9.42578125" bestFit="1" customWidth="1"/>
    <col min="78" max="78" width="12.7109375" bestFit="1" customWidth="1"/>
    <col min="79" max="79" width="8.140625" bestFit="1" customWidth="1"/>
    <col min="80" max="80" width="7" bestFit="1" customWidth="1"/>
    <col min="81" max="81" width="6" bestFit="1" customWidth="1"/>
    <col min="82" max="82" width="6.42578125" bestFit="1" customWidth="1"/>
    <col min="83" max="83" width="7" bestFit="1" customWidth="1"/>
    <col min="84" max="84" width="5.85546875" bestFit="1" customWidth="1"/>
    <col min="85" max="85" width="7.7109375" bestFit="1" customWidth="1"/>
    <col min="86" max="86" width="4.5703125" bestFit="1" customWidth="1"/>
    <col min="87" max="87" width="10.85546875" bestFit="1" customWidth="1"/>
    <col min="88" max="88" width="10" bestFit="1" customWidth="1"/>
    <col min="89" max="89" width="9.28515625" bestFit="1" customWidth="1"/>
    <col min="90" max="90" width="11.42578125" bestFit="1" customWidth="1"/>
    <col min="91" max="91" width="10.85546875" bestFit="1" customWidth="1"/>
    <col min="92" max="92" width="7.28515625" bestFit="1" customWidth="1"/>
    <col min="93" max="93" width="10.140625" bestFit="1" customWidth="1"/>
    <col min="94" max="94" width="11.28515625" bestFit="1" customWidth="1"/>
    <col min="95" max="95" width="5.85546875" bestFit="1" customWidth="1"/>
    <col min="96" max="96" width="7.28515625" bestFit="1" customWidth="1"/>
    <col min="98" max="98" width="8.5703125" bestFit="1" customWidth="1"/>
    <col min="99" max="99" width="9.7109375" bestFit="1" customWidth="1"/>
    <col min="100" max="100" width="10.85546875" bestFit="1" customWidth="1"/>
    <col min="101" max="101" width="8.28515625" bestFit="1" customWidth="1"/>
    <col min="102" max="102" width="8.85546875" bestFit="1" customWidth="1"/>
    <col min="103" max="103" width="6.28515625" bestFit="1" customWidth="1"/>
    <col min="104" max="104" width="8.140625" bestFit="1" customWidth="1"/>
    <col min="105" max="105" width="10.85546875" bestFit="1" customWidth="1"/>
    <col min="106" max="106" width="12.7109375" bestFit="1" customWidth="1"/>
    <col min="107" max="107" width="12.140625" bestFit="1" customWidth="1"/>
    <col min="108" max="108" width="8.7109375" bestFit="1" customWidth="1"/>
    <col min="109" max="109" width="15" bestFit="1" customWidth="1"/>
    <col min="110" max="110" width="8.5703125" bestFit="1" customWidth="1"/>
    <col min="111" max="112" width="10.28515625" bestFit="1" customWidth="1"/>
    <col min="113" max="113" width="12.140625" bestFit="1" customWidth="1"/>
    <col min="114" max="114" width="12.42578125" bestFit="1" customWidth="1"/>
    <col min="115" max="115" width="8.7109375" bestFit="1" customWidth="1"/>
    <col min="116" max="116" width="5.28515625" bestFit="1" customWidth="1"/>
    <col min="117" max="117" width="9" bestFit="1" customWidth="1"/>
    <col min="118" max="118" width="9.28515625" bestFit="1" customWidth="1"/>
    <col min="119" max="120" width="7.85546875" bestFit="1" customWidth="1"/>
    <col min="121" max="121" width="6.7109375" bestFit="1" customWidth="1"/>
    <col min="122" max="122" width="10" bestFit="1" customWidth="1"/>
    <col min="123" max="123" width="6.7109375" bestFit="1" customWidth="1"/>
    <col min="124" max="124" width="8.5703125" bestFit="1" customWidth="1"/>
    <col min="125" max="125" width="9.5703125" bestFit="1" customWidth="1"/>
    <col min="126" max="126" width="10.42578125" bestFit="1" customWidth="1"/>
    <col min="127" max="127" width="7.28515625" bestFit="1" customWidth="1"/>
    <col min="128" max="128" width="6.140625" bestFit="1" customWidth="1"/>
    <col min="129" max="129" width="6" bestFit="1" customWidth="1"/>
    <col min="130" max="130" width="11.85546875" bestFit="1" customWidth="1"/>
    <col min="131" max="131" width="9.85546875" bestFit="1" customWidth="1"/>
    <col min="132" max="132" width="5.5703125" bestFit="1" customWidth="1"/>
    <col min="133" max="133" width="5.85546875" bestFit="1" customWidth="1"/>
    <col min="134" max="134" width="9.5703125" bestFit="1" customWidth="1"/>
    <col min="135" max="135" width="7.5703125" bestFit="1" customWidth="1"/>
    <col min="136" max="136" width="8.5703125" bestFit="1" customWidth="1"/>
    <col min="137" max="137" width="6.5703125" bestFit="1" customWidth="1"/>
    <col min="138" max="138" width="11.7109375" bestFit="1" customWidth="1"/>
    <col min="139" max="139" width="7.140625" bestFit="1" customWidth="1"/>
    <col min="140" max="140" width="9" bestFit="1" customWidth="1"/>
    <col min="141" max="141" width="8.7109375" bestFit="1" customWidth="1"/>
    <col min="142" max="142" width="6.28515625" bestFit="1" customWidth="1"/>
    <col min="143" max="143" width="7" bestFit="1" customWidth="1"/>
    <col min="144" max="144" width="10.28515625" bestFit="1" customWidth="1"/>
    <col min="145" max="145" width="8.140625" bestFit="1" customWidth="1"/>
    <col min="146" max="146" width="8.7109375" bestFit="1" customWidth="1"/>
    <col min="147" max="147" width="8.140625" bestFit="1" customWidth="1"/>
    <col min="148" max="148" width="10.140625" bestFit="1" customWidth="1"/>
    <col min="149" max="149" width="10.28515625" bestFit="1" customWidth="1"/>
    <col min="150" max="150" width="10.5703125" bestFit="1" customWidth="1"/>
    <col min="151" max="151" width="9.85546875" bestFit="1" customWidth="1"/>
    <col min="152" max="152" width="7.7109375" bestFit="1" customWidth="1"/>
    <col min="153" max="153" width="16" bestFit="1" customWidth="1"/>
    <col min="154" max="154" width="9.28515625" bestFit="1" customWidth="1"/>
    <col min="155" max="155" width="6.5703125" bestFit="1" customWidth="1"/>
    <col min="156" max="156" width="6.28515625" bestFit="1" customWidth="1"/>
    <col min="157" max="157" width="6.85546875" bestFit="1" customWidth="1"/>
    <col min="158" max="158" width="10.5703125" bestFit="1" customWidth="1"/>
    <col min="159" max="159" width="4.85546875" bestFit="1" customWidth="1"/>
    <col min="160" max="160" width="4" bestFit="1" customWidth="1"/>
    <col min="161" max="161" width="8.85546875" bestFit="1" customWidth="1"/>
    <col min="162" max="162" width="12.7109375" bestFit="1" customWidth="1"/>
    <col min="164" max="165" width="8.42578125" bestFit="1" customWidth="1"/>
    <col min="166" max="166" width="8.140625" bestFit="1" customWidth="1"/>
    <col min="167" max="167" width="8.42578125" bestFit="1" customWidth="1"/>
    <col min="168" max="168" width="8" bestFit="1" customWidth="1"/>
    <col min="169" max="169" width="6.7109375" bestFit="1" customWidth="1"/>
    <col min="170" max="170" width="11.140625" bestFit="1" customWidth="1"/>
    <col min="171" max="171" width="7.42578125" bestFit="1" customWidth="1"/>
    <col min="172" max="172" width="7.7109375" bestFit="1" customWidth="1"/>
    <col min="173" max="173" width="7.85546875" bestFit="1" customWidth="1"/>
    <col min="174" max="174" width="6.5703125" bestFit="1" customWidth="1"/>
    <col min="175" max="175" width="6" bestFit="1" customWidth="1"/>
    <col min="176" max="176" width="4.85546875" bestFit="1" customWidth="1"/>
    <col min="177" max="177" width="7.7109375" bestFit="1" customWidth="1"/>
    <col min="178" max="178" width="8.5703125" bestFit="1" customWidth="1"/>
    <col min="179" max="179" width="11" bestFit="1" customWidth="1"/>
    <col min="180" max="180" width="11.7109375" bestFit="1" customWidth="1"/>
    <col min="181" max="181" width="8.42578125" bestFit="1" customWidth="1"/>
    <col min="182" max="182" width="5" bestFit="1" customWidth="1"/>
    <col min="183" max="183" width="10.7109375" bestFit="1" customWidth="1"/>
    <col min="184" max="184" width="9.42578125" bestFit="1" customWidth="1"/>
    <col min="185" max="185" width="10.42578125" bestFit="1" customWidth="1"/>
    <col min="186" max="186" width="11.5703125" bestFit="1" customWidth="1"/>
    <col min="187" max="187" width="11" bestFit="1" customWidth="1"/>
    <col min="188" max="188" width="10" bestFit="1" customWidth="1"/>
    <col min="189" max="189" width="8.7109375" bestFit="1" customWidth="1"/>
    <col min="190" max="190" width="5.28515625" bestFit="1" customWidth="1"/>
    <col min="191" max="191" width="13.28515625" bestFit="1" customWidth="1"/>
    <col min="192" max="192" width="7.28515625" bestFit="1" customWidth="1"/>
    <col min="194" max="194" width="9.28515625" bestFit="1" customWidth="1"/>
    <col min="195" max="195" width="9.85546875" bestFit="1" customWidth="1"/>
    <col min="196" max="196" width="9.7109375" bestFit="1" customWidth="1"/>
    <col min="197" max="197" width="7.85546875" bestFit="1" customWidth="1"/>
    <col min="198" max="198" width="7.28515625" bestFit="1" customWidth="1"/>
    <col min="199" max="199" width="7.5703125" bestFit="1" customWidth="1"/>
    <col min="200" max="200" width="11" bestFit="1" customWidth="1"/>
    <col min="201" max="201" width="8.42578125" bestFit="1" customWidth="1"/>
    <col min="202" max="202" width="9.7109375" bestFit="1" customWidth="1"/>
    <col min="203" max="203" width="11.7109375" bestFit="1" customWidth="1"/>
    <col min="204" max="204" width="8.140625" bestFit="1" customWidth="1"/>
    <col min="205" max="205" width="10.28515625" bestFit="1" customWidth="1"/>
    <col min="206" max="206" width="3.5703125" bestFit="1" customWidth="1"/>
    <col min="207" max="207" width="16.28515625" bestFit="1" customWidth="1"/>
    <col min="208" max="208" width="7.140625" bestFit="1" customWidth="1"/>
    <col min="209" max="209" width="10.5703125" bestFit="1" customWidth="1"/>
    <col min="210" max="210" width="7.28515625" bestFit="1" customWidth="1"/>
    <col min="211" max="211" width="4.7109375" bestFit="1" customWidth="1"/>
    <col min="212" max="212" width="10.7109375" bestFit="1" customWidth="1"/>
    <col min="213" max="213" width="4.140625" bestFit="1" customWidth="1"/>
    <col min="214" max="214" width="8.28515625" bestFit="1" customWidth="1"/>
    <col min="215" max="215" width="9.85546875" bestFit="1" customWidth="1"/>
    <col min="216" max="217" width="8.7109375" bestFit="1" customWidth="1"/>
    <col min="218" max="218" width="7.5703125" bestFit="1" customWidth="1"/>
    <col min="219" max="219" width="8.28515625" bestFit="1" customWidth="1"/>
    <col min="220" max="220" width="6.42578125" bestFit="1" customWidth="1"/>
    <col min="221" max="221" width="5.42578125" bestFit="1" customWidth="1"/>
    <col min="222" max="222" width="7.140625" bestFit="1" customWidth="1"/>
    <col min="223" max="223" width="7.28515625" bestFit="1" customWidth="1"/>
    <col min="224" max="224" width="5" bestFit="1" customWidth="1"/>
    <col min="225" max="225" width="8.42578125" bestFit="1" customWidth="1"/>
    <col min="226" max="226" width="11.42578125" bestFit="1" customWidth="1"/>
    <col min="227" max="227" width="8" bestFit="1" customWidth="1"/>
    <col min="228" max="228" width="11.5703125" bestFit="1" customWidth="1"/>
    <col min="229" max="229" width="9.5703125" bestFit="1" customWidth="1"/>
    <col min="230" max="230" width="7.28515625" bestFit="1" customWidth="1"/>
    <col min="231" max="231" width="9.5703125" bestFit="1" customWidth="1"/>
    <col min="232" max="232" width="8.28515625" bestFit="1" customWidth="1"/>
    <col min="234" max="234" width="7.5703125" bestFit="1" customWidth="1"/>
    <col min="235" max="235" width="6.140625" bestFit="1" customWidth="1"/>
    <col min="236" max="236" width="11" bestFit="1" customWidth="1"/>
    <col min="237" max="237" width="6.140625" bestFit="1" customWidth="1"/>
    <col min="238" max="238" width="5.140625" bestFit="1" customWidth="1"/>
    <col min="239" max="239" width="7.5703125" bestFit="1" customWidth="1"/>
    <col min="240" max="240" width="10.42578125" bestFit="1" customWidth="1"/>
    <col min="241" max="241" width="7.140625" bestFit="1" customWidth="1"/>
    <col min="242" max="242" width="8.85546875" bestFit="1" customWidth="1"/>
    <col min="243" max="243" width="9.5703125" bestFit="1" customWidth="1"/>
    <col min="244" max="244" width="10.28515625" bestFit="1" customWidth="1"/>
    <col min="245" max="245" width="5.5703125" bestFit="1" customWidth="1"/>
    <col min="246" max="246" width="7.7109375" bestFit="1" customWidth="1"/>
    <col min="247" max="247" width="6.42578125" bestFit="1" customWidth="1"/>
    <col min="248" max="248" width="10.42578125" bestFit="1" customWidth="1"/>
    <col min="249" max="249" width="6.28515625" bestFit="1" customWidth="1"/>
    <col min="250" max="250" width="10.7109375" bestFit="1" customWidth="1"/>
    <col min="251" max="251" width="7.42578125" bestFit="1" customWidth="1"/>
    <col min="252" max="252" width="12.140625" bestFit="1" customWidth="1"/>
    <col min="253" max="253" width="13.28515625" bestFit="1" customWidth="1"/>
    <col min="254" max="254" width="8.140625" bestFit="1" customWidth="1"/>
    <col min="255" max="255" width="7.5703125" bestFit="1" customWidth="1"/>
    <col min="256" max="256" width="7.28515625" bestFit="1" customWidth="1"/>
    <col min="257" max="257" width="11.140625" bestFit="1" customWidth="1"/>
    <col min="258" max="258" width="4.7109375" bestFit="1" customWidth="1"/>
    <col min="259" max="259" width="6.140625" bestFit="1" customWidth="1"/>
    <col min="260" max="260" width="11.42578125" bestFit="1" customWidth="1"/>
    <col min="261" max="261" width="7.85546875" bestFit="1" customWidth="1"/>
    <col min="262" max="262" width="10.7109375" bestFit="1" customWidth="1"/>
    <col min="263" max="263" width="6.140625" bestFit="1" customWidth="1"/>
    <col min="264" max="264" width="9.7109375" bestFit="1" customWidth="1"/>
    <col min="265" max="265" width="13.42578125" bestFit="1" customWidth="1"/>
    <col min="266" max="266" width="7.85546875" bestFit="1" customWidth="1"/>
    <col min="267" max="267" width="9.5703125" bestFit="1" customWidth="1"/>
    <col min="268" max="268" width="6.42578125" bestFit="1" customWidth="1"/>
    <col min="269" max="269" width="9.42578125" bestFit="1" customWidth="1"/>
    <col min="270" max="270" width="7.140625" bestFit="1" customWidth="1"/>
    <col min="271" max="271" width="7.7109375" bestFit="1" customWidth="1"/>
    <col min="272" max="272" width="7.5703125" bestFit="1" customWidth="1"/>
    <col min="273" max="273" width="5.85546875" bestFit="1" customWidth="1"/>
    <col min="274" max="274" width="4.85546875" bestFit="1" customWidth="1"/>
    <col min="275" max="275" width="5.28515625" bestFit="1" customWidth="1"/>
    <col min="276" max="276" width="9" bestFit="1" customWidth="1"/>
    <col min="277" max="277" width="8.7109375" bestFit="1" customWidth="1"/>
    <col min="278" max="278" width="10.85546875" bestFit="1" customWidth="1"/>
    <col min="279" max="279" width="4.5703125" bestFit="1" customWidth="1"/>
    <col min="280" max="280" width="7" bestFit="1" customWidth="1"/>
    <col min="281" max="281" width="8.28515625" bestFit="1" customWidth="1"/>
    <col min="282" max="282" width="9.42578125" bestFit="1" customWidth="1"/>
    <col min="284" max="284" width="5.140625" bestFit="1" customWidth="1"/>
    <col min="285" max="285" width="4.7109375" bestFit="1" customWidth="1"/>
    <col min="286" max="286" width="7.7109375" bestFit="1" customWidth="1"/>
    <col min="287" max="287" width="11" bestFit="1" customWidth="1"/>
    <col min="288" max="288" width="11.7109375" bestFit="1" customWidth="1"/>
    <col min="289" max="289" width="14" bestFit="1" customWidth="1"/>
    <col min="290" max="290" width="8" bestFit="1" customWidth="1"/>
    <col min="291" max="291" width="8.28515625" bestFit="1" customWidth="1"/>
    <col min="292" max="292" width="7.42578125" bestFit="1" customWidth="1"/>
    <col min="293" max="293" width="5.42578125" bestFit="1" customWidth="1"/>
    <col min="294" max="294" width="16.42578125" bestFit="1" customWidth="1"/>
    <col min="295" max="295" width="4.5703125" bestFit="1" customWidth="1"/>
    <col min="296" max="296" width="7.28515625" bestFit="1" customWidth="1"/>
    <col min="297" max="297" width="5.28515625" bestFit="1" customWidth="1"/>
    <col min="298" max="298" width="10.42578125" bestFit="1" customWidth="1"/>
    <col min="299" max="299" width="8.5703125" bestFit="1" customWidth="1"/>
    <col min="300" max="300" width="7.140625" bestFit="1" customWidth="1"/>
    <col min="301" max="301" width="7.7109375" bestFit="1" customWidth="1"/>
    <col min="302" max="302" width="7.28515625" bestFit="1" customWidth="1"/>
    <col min="303" max="303" width="10.85546875" bestFit="1" customWidth="1"/>
    <col min="304" max="304" width="8.42578125" bestFit="1" customWidth="1"/>
    <col min="305" max="305" width="11.5703125" bestFit="1" customWidth="1"/>
    <col min="306" max="306" width="9.7109375" bestFit="1" customWidth="1"/>
    <col min="307" max="307" width="7.85546875" bestFit="1" customWidth="1"/>
    <col min="308" max="308" width="10.28515625" bestFit="1" customWidth="1"/>
    <col min="309" max="309" width="9.28515625" bestFit="1" customWidth="1"/>
    <col min="310" max="310" width="9" bestFit="1" customWidth="1"/>
    <col min="311" max="311" width="9.85546875" bestFit="1" customWidth="1"/>
    <col min="312" max="312" width="8.85546875" bestFit="1" customWidth="1"/>
    <col min="313" max="313" width="7.5703125" bestFit="1" customWidth="1"/>
    <col min="314" max="314" width="7.28515625" bestFit="1" customWidth="1"/>
    <col min="315" max="315" width="10.7109375" bestFit="1" customWidth="1"/>
    <col min="316" max="316" width="9" bestFit="1" customWidth="1"/>
    <col min="317" max="317" width="7.140625" bestFit="1" customWidth="1"/>
    <col min="318" max="318" width="11.5703125" bestFit="1" customWidth="1"/>
    <col min="319" max="319" width="5.85546875" bestFit="1" customWidth="1"/>
    <col min="320" max="320" width="12" bestFit="1" customWidth="1"/>
    <col min="321" max="321" width="7.85546875" bestFit="1" customWidth="1"/>
    <col min="322" max="322" width="4.140625" bestFit="1" customWidth="1"/>
    <col min="323" max="324" width="8.85546875" bestFit="1" customWidth="1"/>
    <col min="325" max="325" width="5.85546875" bestFit="1" customWidth="1"/>
    <col min="326" max="326" width="10.28515625" bestFit="1" customWidth="1"/>
    <col min="327" max="327" width="11.7109375" bestFit="1" customWidth="1"/>
    <col min="328" max="328" width="11.42578125" bestFit="1" customWidth="1"/>
    <col min="329" max="329" width="9" bestFit="1" customWidth="1"/>
    <col min="330" max="330" width="8.28515625" bestFit="1" customWidth="1"/>
    <col min="331" max="331" width="9.42578125" bestFit="1" customWidth="1"/>
    <col min="332" max="332" width="8.140625" bestFit="1" customWidth="1"/>
    <col min="333" max="334" width="7.5703125" bestFit="1" customWidth="1"/>
    <col min="335" max="335" width="19" bestFit="1" customWidth="1"/>
    <col min="336" max="336" width="10.42578125" bestFit="1" customWidth="1"/>
    <col min="337" max="337" width="7.85546875" bestFit="1" customWidth="1"/>
    <col min="338" max="338" width="7.28515625" bestFit="1" customWidth="1"/>
    <col min="339" max="339" width="9.42578125" bestFit="1" customWidth="1"/>
    <col min="340" max="340" width="10.28515625" bestFit="1" customWidth="1"/>
    <col min="341" max="341" width="11.140625" bestFit="1" customWidth="1"/>
    <col min="342" max="342" width="9.42578125" bestFit="1" customWidth="1"/>
    <col min="343" max="343" width="10.42578125" bestFit="1" customWidth="1"/>
    <col min="344" max="344" width="5.140625" bestFit="1" customWidth="1"/>
    <col min="345" max="345" width="7.7109375" bestFit="1" customWidth="1"/>
    <col min="346" max="346" width="9.7109375" bestFit="1" customWidth="1"/>
    <col min="347" max="347" width="5.140625" bestFit="1" customWidth="1"/>
    <col min="348" max="348" width="4" bestFit="1" customWidth="1"/>
    <col min="349" max="349" width="12.42578125" bestFit="1" customWidth="1"/>
    <col min="350" max="350" width="11.5703125" bestFit="1" customWidth="1"/>
    <col min="351" max="351" width="11.85546875" bestFit="1" customWidth="1"/>
    <col min="352" max="352" width="8.85546875" bestFit="1" customWidth="1"/>
    <col min="353" max="353" width="11.7109375" bestFit="1" customWidth="1"/>
    <col min="354" max="354" width="8" bestFit="1" customWidth="1"/>
    <col min="355" max="355" width="6.7109375" bestFit="1" customWidth="1"/>
    <col min="356" max="356" width="5.28515625" bestFit="1" customWidth="1"/>
    <col min="357" max="357" width="6.42578125" bestFit="1" customWidth="1"/>
    <col min="358" max="358" width="6.7109375" bestFit="1" customWidth="1"/>
    <col min="359" max="359" width="5.140625" bestFit="1" customWidth="1"/>
    <col min="360" max="360" width="7.28515625" bestFit="1" customWidth="1"/>
    <col min="361" max="361" width="6.28515625" bestFit="1" customWidth="1"/>
    <col min="362" max="362" width="5.28515625" bestFit="1" customWidth="1"/>
    <col min="363" max="363" width="7.140625" bestFit="1" customWidth="1"/>
    <col min="364" max="364" width="15" bestFit="1" customWidth="1"/>
    <col min="365" max="365" width="6.42578125" bestFit="1" customWidth="1"/>
    <col min="366" max="366" width="17" bestFit="1" customWidth="1"/>
    <col min="367" max="367" width="12.140625" bestFit="1" customWidth="1"/>
    <col min="368" max="368" width="7.5703125" bestFit="1" customWidth="1"/>
    <col min="369" max="369" width="5.42578125" bestFit="1" customWidth="1"/>
    <col min="370" max="370" width="14.85546875" bestFit="1" customWidth="1"/>
    <col min="371" max="371" width="6.5703125" bestFit="1" customWidth="1"/>
    <col min="372" max="372" width="9.5703125" bestFit="1" customWidth="1"/>
    <col min="373" max="373" width="5.28515625" bestFit="1" customWidth="1"/>
    <col min="374" max="374" width="7.5703125" bestFit="1" customWidth="1"/>
    <col min="375" max="375" width="5.85546875" bestFit="1" customWidth="1"/>
    <col min="376" max="376" width="12.140625" bestFit="1" customWidth="1"/>
    <col min="377" max="377" width="7.28515625" bestFit="1" customWidth="1"/>
    <col min="378" max="378" width="7.7109375" bestFit="1" customWidth="1"/>
    <col min="379" max="379" width="4.7109375" bestFit="1" customWidth="1"/>
    <col min="380" max="380" width="10.28515625" bestFit="1" customWidth="1"/>
    <col min="381" max="381" width="5.5703125" bestFit="1" customWidth="1"/>
    <col min="382" max="382" width="7.5703125" bestFit="1" customWidth="1"/>
    <col min="383" max="383" width="9.5703125" bestFit="1" customWidth="1"/>
    <col min="384" max="384" width="7.5703125" bestFit="1" customWidth="1"/>
    <col min="385" max="385" width="9" bestFit="1" customWidth="1"/>
    <col min="386" max="386" width="8.5703125" bestFit="1" customWidth="1"/>
    <col min="387" max="387" width="5.85546875" bestFit="1" customWidth="1"/>
    <col min="388" max="388" width="12" bestFit="1" customWidth="1"/>
    <col min="389" max="389" width="11.5703125" bestFit="1" customWidth="1"/>
    <col min="390" max="390" width="7.42578125" bestFit="1" customWidth="1"/>
    <col min="391" max="391" width="7.140625" bestFit="1" customWidth="1"/>
    <col min="392" max="392" width="13.85546875" bestFit="1" customWidth="1"/>
    <col min="393" max="393" width="9.7109375" bestFit="1" customWidth="1"/>
    <col min="394" max="394" width="7.140625" bestFit="1" customWidth="1"/>
    <col min="395" max="395" width="11.85546875" bestFit="1" customWidth="1"/>
    <col min="396" max="396" width="5.5703125" bestFit="1" customWidth="1"/>
    <col min="397" max="397" width="12.140625" bestFit="1" customWidth="1"/>
    <col min="398" max="398" width="11.7109375" bestFit="1" customWidth="1"/>
    <col min="399" max="399" width="10.140625" bestFit="1" customWidth="1"/>
    <col min="400" max="400" width="6" bestFit="1" customWidth="1"/>
    <col min="401" max="401" width="6.140625" bestFit="1" customWidth="1"/>
    <col min="402" max="402" width="8.7109375" bestFit="1" customWidth="1"/>
    <col min="403" max="403" width="7.7109375" bestFit="1" customWidth="1"/>
    <col min="404" max="404" width="14.7109375" bestFit="1" customWidth="1"/>
    <col min="405" max="405" width="8.28515625" bestFit="1" customWidth="1"/>
    <col min="406" max="406" width="6.85546875" bestFit="1" customWidth="1"/>
    <col min="407" max="407" width="7.140625" bestFit="1" customWidth="1"/>
    <col min="408" max="408" width="7.85546875" bestFit="1" customWidth="1"/>
    <col min="409" max="409" width="9.5703125" bestFit="1" customWidth="1"/>
    <col min="410" max="410" width="7.85546875" bestFit="1" customWidth="1"/>
    <col min="411" max="411" width="5.28515625" bestFit="1" customWidth="1"/>
    <col min="412" max="412" width="6.5703125" bestFit="1" customWidth="1"/>
    <col min="413" max="413" width="13.7109375" bestFit="1" customWidth="1"/>
    <col min="414" max="414" width="6.7109375" bestFit="1" customWidth="1"/>
    <col min="415" max="415" width="7.140625" bestFit="1" customWidth="1"/>
    <col min="416" max="416" width="6.28515625" bestFit="1" customWidth="1"/>
    <col min="417" max="417" width="7.85546875" bestFit="1" customWidth="1"/>
    <col min="418" max="418" width="8.85546875" bestFit="1" customWidth="1"/>
    <col min="419" max="419" width="14.85546875" bestFit="1" customWidth="1"/>
    <col min="420" max="420" width="10.5703125" bestFit="1" customWidth="1"/>
    <col min="421" max="421" width="14.85546875" bestFit="1" customWidth="1"/>
    <col min="422" max="422" width="5.5703125" bestFit="1" customWidth="1"/>
    <col min="423" max="423" width="16" bestFit="1" customWidth="1"/>
    <col min="424" max="424" width="6.5703125" bestFit="1" customWidth="1"/>
    <col min="425" max="425" width="10.5703125" bestFit="1" customWidth="1"/>
    <col min="426" max="426" width="8" bestFit="1" customWidth="1"/>
    <col min="427" max="427" width="5.5703125" bestFit="1" customWidth="1"/>
    <col min="428" max="428" width="8.7109375" bestFit="1" customWidth="1"/>
    <col min="429" max="429" width="8.5703125" bestFit="1" customWidth="1"/>
    <col min="430" max="430" width="7.5703125" bestFit="1" customWidth="1"/>
    <col min="431" max="431" width="10.85546875" bestFit="1" customWidth="1"/>
    <col min="432" max="432" width="10" bestFit="1" customWidth="1"/>
    <col min="433" max="433" width="13.42578125" bestFit="1" customWidth="1"/>
    <col min="434" max="434" width="14.7109375" bestFit="1" customWidth="1"/>
    <col min="435" max="435" width="10.7109375" bestFit="1" customWidth="1"/>
    <col min="436" max="436" width="10" bestFit="1" customWidth="1"/>
    <col min="437" max="437" width="12.42578125" bestFit="1" customWidth="1"/>
    <col min="438" max="438" width="9.7109375" bestFit="1" customWidth="1"/>
    <col min="439" max="439" width="11.140625" bestFit="1" customWidth="1"/>
    <col min="440" max="440" width="8.7109375" bestFit="1" customWidth="1"/>
    <col min="441" max="441" width="14.85546875" bestFit="1" customWidth="1"/>
    <col min="442" max="442" width="9.7109375" bestFit="1" customWidth="1"/>
    <col min="443" max="443" width="8.42578125" bestFit="1" customWidth="1"/>
    <col min="444" max="444" width="10.28515625" bestFit="1" customWidth="1"/>
    <col min="445" max="445" width="7.42578125" bestFit="1" customWidth="1"/>
    <col min="446" max="446" width="9.85546875" bestFit="1" customWidth="1"/>
    <col min="447" max="447" width="7.140625" bestFit="1" customWidth="1"/>
    <col min="448" max="448" width="6.140625" bestFit="1" customWidth="1"/>
    <col min="449" max="449" width="7.140625" bestFit="1" customWidth="1"/>
    <col min="450" max="450" width="4.85546875" bestFit="1" customWidth="1"/>
    <col min="451" max="451" width="10.28515625" bestFit="1" customWidth="1"/>
    <col min="453" max="453" width="7.7109375" bestFit="1" customWidth="1"/>
    <col min="454" max="454" width="9.28515625" bestFit="1" customWidth="1"/>
    <col min="455" max="455" width="9.85546875" bestFit="1" customWidth="1"/>
    <col min="456" max="456" width="11.42578125" bestFit="1" customWidth="1"/>
    <col min="457" max="457" width="6.42578125" bestFit="1" customWidth="1"/>
    <col min="458" max="458" width="6.140625" bestFit="1" customWidth="1"/>
    <col min="459" max="459" width="10" bestFit="1" customWidth="1"/>
    <col min="460" max="460" width="8.5703125" bestFit="1" customWidth="1"/>
    <col min="461" max="461" width="5.42578125" bestFit="1" customWidth="1"/>
    <col min="462" max="462" width="5.5703125" bestFit="1" customWidth="1"/>
    <col min="464" max="464" width="10.5703125" bestFit="1" customWidth="1"/>
    <col min="465" max="465" width="7.5703125" bestFit="1" customWidth="1"/>
    <col min="466" max="466" width="13.28515625" bestFit="1" customWidth="1"/>
    <col min="467" max="467" width="5.140625" bestFit="1" customWidth="1"/>
    <col min="468" max="468" width="9.7109375" bestFit="1" customWidth="1"/>
    <col min="469" max="469" width="9.42578125" bestFit="1" customWidth="1"/>
    <col min="470" max="470" width="8.7109375" bestFit="1" customWidth="1"/>
    <col min="471" max="471" width="9.85546875" bestFit="1" customWidth="1"/>
    <col min="472" max="472" width="10.5703125" bestFit="1" customWidth="1"/>
    <col min="473" max="473" width="10.7109375" bestFit="1" customWidth="1"/>
    <col min="474" max="474" width="11.28515625" bestFit="1" customWidth="1"/>
    <col min="475" max="476" width="8.85546875" bestFit="1" customWidth="1"/>
    <col min="477" max="477" width="8.42578125" bestFit="1" customWidth="1"/>
    <col min="478" max="478" width="15.28515625" bestFit="1" customWidth="1"/>
    <col min="480" max="480" width="6.85546875" bestFit="1" customWidth="1"/>
    <col min="481" max="481" width="7.42578125" bestFit="1" customWidth="1"/>
    <col min="482" max="482" width="7" bestFit="1" customWidth="1"/>
    <col min="483" max="483" width="8.85546875" bestFit="1" customWidth="1"/>
    <col min="484" max="484" width="7.5703125" bestFit="1" customWidth="1"/>
    <col min="485" max="485" width="6.7109375" bestFit="1" customWidth="1"/>
    <col min="486" max="486" width="7.42578125" bestFit="1" customWidth="1"/>
    <col min="487" max="488" width="6.28515625" bestFit="1" customWidth="1"/>
    <col min="489" max="489" width="4.28515625" bestFit="1" customWidth="1"/>
    <col min="490" max="490" width="6.42578125" bestFit="1" customWidth="1"/>
    <col min="491" max="491" width="7.42578125" bestFit="1" customWidth="1"/>
    <col min="492" max="492" width="8.85546875" bestFit="1" customWidth="1"/>
    <col min="493" max="493" width="7.5703125" bestFit="1" customWidth="1"/>
    <col min="495" max="495" width="7.140625" bestFit="1" customWidth="1"/>
    <col min="496" max="496" width="7.85546875" bestFit="1" customWidth="1"/>
    <col min="497" max="497" width="7.140625" bestFit="1" customWidth="1"/>
    <col min="498" max="498" width="12.28515625" bestFit="1" customWidth="1"/>
    <col min="499" max="499" width="12" bestFit="1" customWidth="1"/>
    <col min="500" max="500" width="7.42578125" bestFit="1" customWidth="1"/>
    <col min="501" max="501" width="7.140625" bestFit="1" customWidth="1"/>
    <col min="502" max="502" width="9.7109375" bestFit="1" customWidth="1"/>
    <col min="503" max="503" width="8.7109375" bestFit="1" customWidth="1"/>
    <col min="504" max="504" width="6.28515625" bestFit="1" customWidth="1"/>
    <col min="505" max="505" width="6.85546875" bestFit="1" customWidth="1"/>
    <col min="506" max="506" width="11.85546875" bestFit="1" customWidth="1"/>
    <col min="507" max="507" width="8" bestFit="1" customWidth="1"/>
    <col min="508" max="508" width="9.28515625" bestFit="1" customWidth="1"/>
    <col min="509" max="509" width="10.5703125" bestFit="1" customWidth="1"/>
    <col min="510" max="510" width="6.7109375" bestFit="1" customWidth="1"/>
    <col min="511" max="511" width="13.7109375" bestFit="1" customWidth="1"/>
    <col min="512" max="512" width="8.7109375" bestFit="1" customWidth="1"/>
    <col min="513" max="513" width="10.7109375" bestFit="1" customWidth="1"/>
    <col min="514" max="514" width="7.28515625" bestFit="1" customWidth="1"/>
    <col min="515" max="515" width="8.42578125" bestFit="1" customWidth="1"/>
    <col min="516" max="516" width="5.85546875" bestFit="1" customWidth="1"/>
    <col min="517" max="517" width="5.5703125" bestFit="1" customWidth="1"/>
    <col min="518" max="519" width="6" bestFit="1" customWidth="1"/>
    <col min="520" max="520" width="6.42578125" bestFit="1" customWidth="1"/>
    <col min="521" max="521" width="7.28515625" bestFit="1" customWidth="1"/>
    <col min="522" max="522" width="8.140625" bestFit="1" customWidth="1"/>
    <col min="523" max="523" width="7.28515625" bestFit="1" customWidth="1"/>
    <col min="524" max="524" width="18.42578125" bestFit="1" customWidth="1"/>
    <col min="525" max="525" width="7.7109375" bestFit="1" customWidth="1"/>
    <col min="526" max="526" width="8.140625" bestFit="1" customWidth="1"/>
    <col min="527" max="527" width="6.140625" bestFit="1" customWidth="1"/>
    <col min="528" max="528" width="8.5703125" bestFit="1" customWidth="1"/>
    <col min="529" max="529" width="10.42578125" bestFit="1" customWidth="1"/>
    <col min="530" max="530" width="6" bestFit="1" customWidth="1"/>
    <col min="531" max="531" width="9.85546875" bestFit="1" customWidth="1"/>
    <col min="532" max="532" width="7.85546875" bestFit="1" customWidth="1"/>
    <col min="533" max="533" width="7.140625" bestFit="1" customWidth="1"/>
    <col min="534" max="534" width="8.7109375" bestFit="1" customWidth="1"/>
    <col min="535" max="535" width="6" bestFit="1" customWidth="1"/>
    <col min="536" max="536" width="12.140625" bestFit="1" customWidth="1"/>
    <col min="537" max="537" width="12.42578125" bestFit="1" customWidth="1"/>
    <col min="538" max="538" width="8" bestFit="1" customWidth="1"/>
    <col min="539" max="539" width="8.5703125" bestFit="1" customWidth="1"/>
    <col min="540" max="540" width="10.140625" bestFit="1" customWidth="1"/>
    <col min="541" max="541" width="9.28515625" bestFit="1" customWidth="1"/>
    <col min="542" max="542" width="10.85546875" bestFit="1" customWidth="1"/>
    <col min="543" max="543" width="14.7109375" bestFit="1" customWidth="1"/>
    <col min="544" max="544" width="12.7109375" bestFit="1" customWidth="1"/>
    <col min="545" max="545" width="8.5703125" bestFit="1" customWidth="1"/>
    <col min="546" max="546" width="9.5703125" bestFit="1" customWidth="1"/>
    <col min="547" max="547" width="10.85546875" bestFit="1" customWidth="1"/>
    <col min="548" max="548" width="11.7109375" bestFit="1" customWidth="1"/>
    <col min="549" max="549" width="8.7109375" bestFit="1" customWidth="1"/>
    <col min="550" max="550" width="7.28515625" bestFit="1" customWidth="1"/>
    <col min="551" max="551" width="6.7109375" bestFit="1" customWidth="1"/>
    <col min="552" max="552" width="5.28515625" bestFit="1" customWidth="1"/>
    <col min="553" max="553" width="13.7109375" bestFit="1" customWidth="1"/>
    <col min="554" max="554" width="10.7109375" bestFit="1" customWidth="1"/>
    <col min="555" max="555" width="5.85546875" bestFit="1" customWidth="1"/>
    <col min="556" max="556" width="7" bestFit="1" customWidth="1"/>
    <col min="557" max="557" width="8.7109375" bestFit="1" customWidth="1"/>
    <col min="558" max="558" width="6.5703125" bestFit="1" customWidth="1"/>
    <col min="559" max="559" width="11.28515625" bestFit="1" customWidth="1"/>
  </cols>
  <sheetData>
    <row r="3" spans="1:2" x14ac:dyDescent="0.25">
      <c r="A3" s="15" t="s">
        <v>1357</v>
      </c>
      <c r="B3" t="s">
        <v>1365</v>
      </c>
    </row>
    <row r="4" spans="1:2" x14ac:dyDescent="0.25">
      <c r="A4" s="16" t="s">
        <v>17</v>
      </c>
      <c r="B4" s="13">
        <v>487.68817204301075</v>
      </c>
    </row>
    <row r="5" spans="1:2" x14ac:dyDescent="0.25">
      <c r="A5" s="16" t="s">
        <v>25</v>
      </c>
      <c r="B5" s="13">
        <v>450</v>
      </c>
    </row>
    <row r="6" spans="1:2" x14ac:dyDescent="0.25">
      <c r="A6" s="16" t="s">
        <v>56</v>
      </c>
      <c r="B6" s="13">
        <v>338</v>
      </c>
    </row>
    <row r="7" spans="1:2" x14ac:dyDescent="0.25">
      <c r="A7" s="16" t="s">
        <v>192</v>
      </c>
      <c r="B7" s="13">
        <v>329.09090909090907</v>
      </c>
    </row>
    <row r="8" spans="1:2" x14ac:dyDescent="0.25">
      <c r="A8" s="16" t="s">
        <v>76</v>
      </c>
      <c r="B8" s="13">
        <v>320.55555555555554</v>
      </c>
    </row>
    <row r="9" spans="1:2" x14ac:dyDescent="0.25">
      <c r="A9" s="16" t="s">
        <v>354</v>
      </c>
      <c r="B9" s="13">
        <v>270</v>
      </c>
    </row>
    <row r="10" spans="1:2" x14ac:dyDescent="0.25">
      <c r="A10" s="16" t="s">
        <v>1358</v>
      </c>
      <c r="B10" s="13">
        <v>440.4954954954955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26D75-2321-4B52-9707-084D40563052}">
  <dimension ref="A3:B7"/>
  <sheetViews>
    <sheetView workbookViewId="0">
      <selection activeCell="B4" sqref="B4"/>
    </sheetView>
  </sheetViews>
  <sheetFormatPr defaultRowHeight="15" x14ac:dyDescent="0.25"/>
  <cols>
    <col min="1" max="1" width="13.42578125" bestFit="1" customWidth="1"/>
    <col min="2" max="2" width="17.5703125" bestFit="1" customWidth="1"/>
    <col min="3" max="3" width="38.85546875" bestFit="1" customWidth="1"/>
  </cols>
  <sheetData>
    <row r="3" spans="1:2" x14ac:dyDescent="0.25">
      <c r="A3" s="15" t="s">
        <v>1357</v>
      </c>
      <c r="B3" t="s">
        <v>1368</v>
      </c>
    </row>
    <row r="4" spans="1:2" x14ac:dyDescent="0.25">
      <c r="A4" s="16" t="s">
        <v>75</v>
      </c>
      <c r="B4" s="18">
        <v>0.36444372163841854</v>
      </c>
    </row>
    <row r="5" spans="1:2" x14ac:dyDescent="0.25">
      <c r="A5" s="16" t="s">
        <v>16</v>
      </c>
      <c r="B5" s="18">
        <v>0.45427985188935688</v>
      </c>
    </row>
    <row r="6" spans="1:2" x14ac:dyDescent="0.25">
      <c r="A6" s="16" t="s">
        <v>1353</v>
      </c>
      <c r="B6" s="18">
        <v>0.18127642647222456</v>
      </c>
    </row>
    <row r="7" spans="1:2" x14ac:dyDescent="0.25">
      <c r="A7" s="16" t="s">
        <v>1358</v>
      </c>
      <c r="B7" s="18">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9AD2-5B5A-4B63-8481-B2C9270FC981}">
  <dimension ref="A3:E12"/>
  <sheetViews>
    <sheetView workbookViewId="0">
      <selection activeCell="I21" sqref="I21"/>
    </sheetView>
  </sheetViews>
  <sheetFormatPr defaultRowHeight="15" x14ac:dyDescent="0.25"/>
  <cols>
    <col min="1" max="1" width="13.5703125" bestFit="1" customWidth="1"/>
    <col min="2" max="2" width="20.140625" bestFit="1" customWidth="1"/>
    <col min="3" max="3" width="24.85546875" bestFit="1" customWidth="1"/>
    <col min="4" max="4" width="13" customWidth="1"/>
    <col min="5" max="5" width="24.42578125" customWidth="1"/>
  </cols>
  <sheetData>
    <row r="3" spans="1:5" x14ac:dyDescent="0.25">
      <c r="A3" s="15" t="s">
        <v>1357</v>
      </c>
      <c r="B3" t="s">
        <v>1367</v>
      </c>
      <c r="C3" t="s">
        <v>1366</v>
      </c>
      <c r="D3" s="16"/>
      <c r="E3" s="13"/>
    </row>
    <row r="4" spans="1:5" x14ac:dyDescent="0.25">
      <c r="A4" s="16" t="s">
        <v>357</v>
      </c>
      <c r="B4" s="13">
        <v>2500</v>
      </c>
      <c r="C4" s="13">
        <v>1500</v>
      </c>
      <c r="D4" s="16"/>
      <c r="E4" s="13"/>
    </row>
    <row r="5" spans="1:5" x14ac:dyDescent="0.25">
      <c r="A5" s="16" t="s">
        <v>638</v>
      </c>
      <c r="B5" s="13">
        <v>2400</v>
      </c>
      <c r="C5" s="13">
        <v>1500</v>
      </c>
      <c r="D5" s="16"/>
      <c r="E5" s="13"/>
    </row>
    <row r="6" spans="1:5" x14ac:dyDescent="0.25">
      <c r="A6" s="16" t="s">
        <v>120</v>
      </c>
      <c r="B6" s="13">
        <v>2325</v>
      </c>
      <c r="C6" s="13">
        <v>1500</v>
      </c>
      <c r="D6" s="16"/>
      <c r="E6" s="13"/>
    </row>
    <row r="7" spans="1:5" x14ac:dyDescent="0.25">
      <c r="A7" s="16" t="s">
        <v>510</v>
      </c>
      <c r="B7" s="13">
        <v>2200</v>
      </c>
      <c r="C7" s="13">
        <v>1500</v>
      </c>
      <c r="D7" s="16"/>
      <c r="E7" s="13"/>
    </row>
    <row r="8" spans="1:5" x14ac:dyDescent="0.25">
      <c r="A8" s="16" t="s">
        <v>122</v>
      </c>
      <c r="B8" s="13">
        <v>2140</v>
      </c>
      <c r="C8" s="13">
        <v>1500</v>
      </c>
      <c r="D8" s="16"/>
      <c r="E8" s="13"/>
    </row>
    <row r="9" spans="1:5" x14ac:dyDescent="0.25">
      <c r="A9" s="16" t="s">
        <v>1358</v>
      </c>
      <c r="B9" s="13">
        <v>2288.2352941176468</v>
      </c>
      <c r="C9" s="13">
        <v>1500</v>
      </c>
      <c r="D9" s="16"/>
      <c r="E9" s="13"/>
    </row>
    <row r="10" spans="1:5" x14ac:dyDescent="0.25">
      <c r="D10" s="16"/>
      <c r="E10" s="13"/>
    </row>
    <row r="11" spans="1:5" x14ac:dyDescent="0.25">
      <c r="D11" s="16"/>
      <c r="E11" s="13"/>
    </row>
    <row r="12" spans="1:5" x14ac:dyDescent="0.25">
      <c r="D12" s="16"/>
      <c r="E12" s="13"/>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Original Dataset</vt:lpstr>
      <vt:lpstr>International_Education_Costs</vt:lpstr>
      <vt:lpstr>Pre-analysis board</vt:lpstr>
      <vt:lpstr>Dashboard</vt:lpstr>
      <vt:lpstr>Post Analysis Board</vt:lpstr>
      <vt:lpstr>Average Tuition fee By Living</vt:lpstr>
      <vt:lpstr>Top 10 programs by totalcost</vt:lpstr>
      <vt:lpstr>Country by living cost index</vt:lpstr>
      <vt:lpstr>Country byVisa_fee</vt:lpstr>
      <vt:lpstr>Program level by total cost</vt:lpstr>
      <vt:lpstr>Rent &amp; Insurance By 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OYIBO DORCAS</dc:creator>
  <cp:lastModifiedBy>OYIBO DORCAS</cp:lastModifiedBy>
  <dcterms:created xsi:type="dcterms:W3CDTF">2025-07-09T19:24:01Z</dcterms:created>
  <dcterms:modified xsi:type="dcterms:W3CDTF">2025-11-06T12:55:30Z</dcterms:modified>
</cp:coreProperties>
</file>